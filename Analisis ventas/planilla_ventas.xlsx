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ickson\Desktop\"/>
    </mc:Choice>
  </mc:AlternateContent>
  <xr:revisionPtr revIDLastSave="0" documentId="13_ncr:1_{032AEF40-A4D6-4675-9820-FA4A31F90846}" xr6:coauthVersionLast="47" xr6:coauthVersionMax="47" xr10:uidLastSave="{00000000-0000-0000-0000-000000000000}"/>
  <bookViews>
    <workbookView xWindow="-108" yWindow="-108" windowWidth="23256" windowHeight="12576" firstSheet="1" activeTab="5" xr2:uid="{09409789-203D-4513-B050-73BEC0ED2D08}"/>
  </bookViews>
  <sheets>
    <sheet name="Tablas Aux" sheetId="1" r:id="rId1"/>
    <sheet name="Tablas de Ventas" sheetId="2" r:id="rId2"/>
    <sheet name="Ventas" sheetId="7" r:id="rId3"/>
    <sheet name="Clientes" sheetId="3" r:id="rId4"/>
    <sheet name="Vendedores" sheetId="8" r:id="rId5"/>
    <sheet name="Productos" sheetId="6" r:id="rId6"/>
  </sheets>
  <definedNames>
    <definedName name="_xlchart.v1.0" hidden="1">Clientes!$C$36:$C$311</definedName>
    <definedName name="_xlcn.WorksheetConnection_ClientesB33J3091" hidden="1">Clientes!$B$35:$J$311</definedName>
    <definedName name="DatosExternos_1" localSheetId="1" hidden="1">'Tablas de Ventas'!$A$1:$Q$1021</definedName>
    <definedName name="edadesPgraf">Clientes!$G$36:$G$311</definedName>
    <definedName name="Frecuente">'Tablas Aux'!$B$18</definedName>
    <definedName name="listaClientes">Clientes!$B$36:$B$311</definedName>
    <definedName name="Nclientes">Clientes!$B$36:$B$311</definedName>
    <definedName name="Premium">'Tablas Aux'!$B$19</definedName>
    <definedName name="SegmentaciónDeDatos_Años__fecha_venta">#N/A</definedName>
    <definedName name="totalesPorCliente">Clientes!$B$36:$C$311</definedName>
  </definedNames>
  <calcPr calcId="191029"/>
  <pivotCaches>
    <pivotCache cacheId="19" r:id="rId7"/>
    <pivotCache cacheId="1" r:id="rId8"/>
    <pivotCache cacheId="3" r:id="rId9"/>
    <pivotCache cacheId="9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Clientes!$B$33:$J$30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8" i="3" l="1"/>
  <c r="C3" i="7"/>
  <c r="C4" i="6"/>
  <c r="D4" i="6"/>
  <c r="D3" i="6"/>
  <c r="C3" i="6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6" i="3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C9" i="7"/>
  <c r="D9" i="7"/>
  <c r="D8" i="7"/>
  <c r="C8" i="7" s="1"/>
  <c r="D7" i="7"/>
  <c r="C7" i="7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7" i="2"/>
  <c r="N48" i="2"/>
  <c r="N46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5" i="2"/>
  <c r="N196" i="2"/>
  <c r="N194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6" i="2"/>
  <c r="N267" i="2"/>
  <c r="N268" i="2"/>
  <c r="N265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9" i="2"/>
  <c r="N310" i="2"/>
  <c r="N308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2" i="2"/>
  <c r="N423" i="2"/>
  <c r="N424" i="2"/>
  <c r="N425" i="2"/>
  <c r="N421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8" i="2"/>
  <c r="N499" i="2"/>
  <c r="N500" i="2"/>
  <c r="N497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9" i="2"/>
  <c r="N540" i="2"/>
  <c r="N541" i="2"/>
  <c r="N538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9" i="2"/>
  <c r="N560" i="2"/>
  <c r="N561" i="2"/>
  <c r="N562" i="2"/>
  <c r="N558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3" i="2"/>
  <c r="N654" i="2"/>
  <c r="N655" i="2"/>
  <c r="N656" i="2"/>
  <c r="N652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1" i="2"/>
  <c r="N712" i="2"/>
  <c r="N710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4" i="2"/>
  <c r="N755" i="2"/>
  <c r="N753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8" i="2"/>
  <c r="N789" i="2"/>
  <c r="N790" i="2"/>
  <c r="N791" i="2"/>
  <c r="N792" i="2"/>
  <c r="N787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50" i="2"/>
  <c r="N951" i="2"/>
  <c r="N952" i="2"/>
  <c r="N953" i="2"/>
  <c r="N954" i="2"/>
  <c r="N949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80" i="2"/>
  <c r="N981" i="2"/>
  <c r="N982" i="2"/>
  <c r="N979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6" i="2"/>
  <c r="N1015" i="2"/>
  <c r="N1017" i="2"/>
  <c r="N1018" i="2"/>
  <c r="N1019" i="2"/>
  <c r="N1020" i="2"/>
  <c r="N1021" i="2"/>
  <c r="N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7" i="2"/>
  <c r="K48" i="2"/>
  <c r="K46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5" i="2"/>
  <c r="K196" i="2"/>
  <c r="K194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6" i="2"/>
  <c r="K267" i="2"/>
  <c r="K268" i="2"/>
  <c r="K265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9" i="2"/>
  <c r="K310" i="2"/>
  <c r="K308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2" i="2"/>
  <c r="K423" i="2"/>
  <c r="K424" i="2"/>
  <c r="K425" i="2"/>
  <c r="K421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8" i="2"/>
  <c r="K499" i="2"/>
  <c r="K500" i="2"/>
  <c r="K497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9" i="2"/>
  <c r="K540" i="2"/>
  <c r="K541" i="2"/>
  <c r="K538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9" i="2"/>
  <c r="K560" i="2"/>
  <c r="K561" i="2"/>
  <c r="K562" i="2"/>
  <c r="K558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3" i="2"/>
  <c r="K654" i="2"/>
  <c r="K655" i="2"/>
  <c r="K656" i="2"/>
  <c r="K652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1" i="2"/>
  <c r="K712" i="2"/>
  <c r="K710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4" i="2"/>
  <c r="K755" i="2"/>
  <c r="K753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8" i="2"/>
  <c r="K789" i="2"/>
  <c r="K790" i="2"/>
  <c r="K791" i="2"/>
  <c r="K792" i="2"/>
  <c r="K787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50" i="2"/>
  <c r="K951" i="2"/>
  <c r="K952" i="2"/>
  <c r="K953" i="2"/>
  <c r="K954" i="2"/>
  <c r="K949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80" i="2"/>
  <c r="K981" i="2"/>
  <c r="K982" i="2"/>
  <c r="K979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6" i="2"/>
  <c r="K1015" i="2"/>
  <c r="K1017" i="2"/>
  <c r="K1018" i="2"/>
  <c r="K1019" i="2"/>
  <c r="K1020" i="2"/>
  <c r="K1021" i="2"/>
  <c r="K2" i="2"/>
  <c r="R680" i="2"/>
  <c r="R976" i="2"/>
  <c r="R251" i="2"/>
  <c r="R645" i="2"/>
  <c r="R348" i="2"/>
  <c r="R414" i="2"/>
  <c r="R786" i="2"/>
  <c r="R151" i="2"/>
  <c r="R1009" i="2"/>
  <c r="R761" i="2"/>
  <c r="R732" i="2"/>
  <c r="R485" i="2"/>
  <c r="R464" i="2"/>
  <c r="R382" i="2"/>
  <c r="R337" i="2"/>
  <c r="R510" i="2"/>
  <c r="R269" i="2"/>
  <c r="R921" i="2"/>
  <c r="R822" i="2"/>
  <c r="R596" i="2"/>
  <c r="R638" i="2"/>
  <c r="R280" i="2"/>
  <c r="R767" i="2"/>
  <c r="R147" i="2"/>
  <c r="R492" i="2"/>
  <c r="R60" i="2"/>
  <c r="R747" i="2"/>
  <c r="R360" i="2"/>
  <c r="R324" i="2"/>
  <c r="R157" i="2"/>
  <c r="R344" i="2"/>
  <c r="R239" i="2"/>
  <c r="R887" i="2"/>
  <c r="R875" i="2"/>
  <c r="R527" i="2"/>
  <c r="R779" i="2"/>
  <c r="R486" i="2"/>
  <c r="R453" i="2"/>
  <c r="R293" i="2"/>
  <c r="R53" i="2"/>
  <c r="R650" i="2"/>
  <c r="R977" i="2"/>
  <c r="R681" i="2"/>
  <c r="R885" i="2"/>
  <c r="R553" i="2"/>
  <c r="R580" i="2"/>
  <c r="R450" i="2"/>
  <c r="R152" i="2"/>
  <c r="R589" i="2"/>
  <c r="R948" i="2"/>
  <c r="R529" i="2"/>
  <c r="R1010" i="2"/>
  <c r="R493" i="2"/>
  <c r="R689" i="2"/>
  <c r="R897" i="2"/>
  <c r="R574" i="2"/>
  <c r="R165" i="2"/>
  <c r="R743" i="2"/>
  <c r="R839" i="2"/>
  <c r="R441" i="2"/>
  <c r="R252" i="2"/>
  <c r="R700" i="2"/>
  <c r="R444" i="2"/>
  <c r="R185" i="2"/>
  <c r="R329" i="2"/>
  <c r="R92" i="2"/>
  <c r="R43" i="2"/>
  <c r="R175" i="2"/>
  <c r="R990" i="2"/>
  <c r="R861" i="2"/>
  <c r="R426" i="2"/>
  <c r="R207" i="2"/>
  <c r="R881" i="2"/>
  <c r="R311" i="2"/>
  <c r="R863" i="2"/>
  <c r="R506" i="2"/>
  <c r="R345" i="2"/>
  <c r="R325" i="2"/>
  <c r="R181" i="2"/>
  <c r="R227" i="2"/>
  <c r="R530" i="2"/>
  <c r="R357" i="2"/>
  <c r="R853" i="2"/>
  <c r="R581" i="2"/>
  <c r="R202" i="2"/>
  <c r="R217" i="2"/>
  <c r="R891" i="2"/>
  <c r="R737" i="2"/>
  <c r="R661" i="2"/>
  <c r="R751" i="2"/>
  <c r="R862" i="2"/>
  <c r="R694" i="2"/>
  <c r="R899" i="2"/>
  <c r="R583" i="2"/>
  <c r="R49" i="2"/>
  <c r="R744" i="2"/>
  <c r="R199" i="2"/>
  <c r="R432" i="2"/>
  <c r="R1013" i="2"/>
  <c r="R762" i="2"/>
  <c r="R409" i="2"/>
  <c r="R211" i="2"/>
  <c r="R83" i="2"/>
  <c r="R88" i="2"/>
  <c r="R264" i="2"/>
  <c r="R273" i="2"/>
  <c r="R964" i="2"/>
  <c r="R756" i="2"/>
  <c r="R602" i="2"/>
  <c r="R1000" i="2"/>
  <c r="R946" i="2"/>
  <c r="R338" i="2"/>
  <c r="R132" i="2"/>
  <c r="R20" i="2"/>
  <c r="R75" i="2"/>
  <c r="R377" i="2"/>
  <c r="R415" i="2"/>
  <c r="R780" i="2"/>
  <c r="R243" i="2"/>
  <c r="R133" i="2"/>
  <c r="R554" i="2"/>
  <c r="R597" i="2"/>
  <c r="R878" i="2"/>
  <c r="R967" i="2"/>
  <c r="R555" i="2"/>
  <c r="R618" i="2"/>
  <c r="R281" i="2"/>
  <c r="R30" i="2"/>
  <c r="R922" i="2"/>
  <c r="R168" i="2"/>
  <c r="R36" i="2"/>
  <c r="R442" i="2"/>
  <c r="R662" i="2"/>
  <c r="R307" i="2"/>
  <c r="R218" i="2"/>
  <c r="R923" i="2"/>
  <c r="R916" i="2"/>
  <c r="R294" i="2"/>
  <c r="R788" i="2"/>
  <c r="R864" i="2"/>
  <c r="R89" i="2"/>
  <c r="R430" i="2"/>
  <c r="R420" i="2"/>
  <c r="R568" i="2"/>
  <c r="R163" i="2"/>
  <c r="R291" i="2"/>
  <c r="R67" i="2"/>
  <c r="R274" i="2"/>
  <c r="R1017" i="2"/>
  <c r="R793" i="2"/>
  <c r="R190" i="2"/>
  <c r="R286" i="2"/>
  <c r="R771" i="2"/>
  <c r="R295" i="2"/>
  <c r="R379" i="2"/>
  <c r="R51" i="2"/>
  <c r="R738" i="2"/>
  <c r="R809" i="2"/>
  <c r="R34" i="2"/>
  <c r="R997" i="2"/>
  <c r="R95" i="2"/>
  <c r="R352" i="2"/>
  <c r="R556" i="2"/>
  <c r="R831" i="2"/>
  <c r="R543" i="2"/>
  <c r="R76" i="2"/>
  <c r="R366" i="2"/>
  <c r="R127" i="2"/>
  <c r="R256" i="2"/>
  <c r="R437" i="2"/>
  <c r="R511" i="2"/>
  <c r="R305" i="2"/>
  <c r="R282" i="2"/>
  <c r="R164" i="2"/>
  <c r="R15" i="2"/>
  <c r="R776" i="2"/>
  <c r="R856" i="2"/>
  <c r="R2" i="2"/>
  <c r="R183" i="2"/>
  <c r="R745" i="2"/>
  <c r="R219" i="2"/>
  <c r="R121" i="2"/>
  <c r="R287" i="2"/>
  <c r="R112" i="2"/>
  <c r="R467" i="2"/>
  <c r="R783" i="2"/>
  <c r="R102" i="2"/>
  <c r="R663" i="2"/>
  <c r="R309" i="2"/>
  <c r="R929" i="2"/>
  <c r="R882" i="2"/>
  <c r="R960" i="2"/>
  <c r="R54" i="2"/>
  <c r="R917" i="2"/>
  <c r="R835" i="2"/>
  <c r="R93" i="2"/>
  <c r="R615" i="2"/>
  <c r="R312" i="2"/>
  <c r="R832" i="2"/>
  <c r="R443" i="2"/>
  <c r="R961" i="2"/>
  <c r="R367" i="2"/>
  <c r="R991" i="2"/>
  <c r="R519" i="2"/>
  <c r="R214" i="2"/>
  <c r="R586" i="2"/>
  <c r="R6" i="2"/>
  <c r="R892" i="2"/>
  <c r="R847" i="2"/>
  <c r="R865" i="2"/>
  <c r="R321" i="2"/>
  <c r="R569" i="2"/>
  <c r="R363" i="2"/>
  <c r="R784" i="2"/>
  <c r="R592" i="2"/>
  <c r="R587" i="2"/>
  <c r="R37" i="2"/>
  <c r="R909" i="2"/>
  <c r="R987" i="2"/>
  <c r="R886" i="2"/>
  <c r="R487" i="2"/>
  <c r="R906" i="2"/>
  <c r="R197" i="2"/>
  <c r="R84" i="2"/>
  <c r="R763" i="2"/>
  <c r="R3" i="2"/>
  <c r="R622" i="2"/>
  <c r="R619" i="2"/>
  <c r="R169" i="2"/>
  <c r="R397" i="2"/>
  <c r="R811" i="2"/>
  <c r="R940" i="2"/>
  <c r="R427" i="2"/>
  <c r="R549" i="2"/>
  <c r="R261" i="2"/>
  <c r="R502" i="2"/>
  <c r="R94" i="2"/>
  <c r="R590" i="2"/>
  <c r="R383" i="2"/>
  <c r="R72" i="2"/>
  <c r="R512" i="2"/>
  <c r="R910" i="2"/>
  <c r="R978" i="2"/>
  <c r="R266" i="2"/>
  <c r="R109" i="2"/>
  <c r="R422" i="2"/>
  <c r="R80" i="2"/>
  <c r="R364" i="2"/>
  <c r="R248" i="2"/>
  <c r="R61" i="2"/>
  <c r="R258" i="2"/>
  <c r="R494" i="2"/>
  <c r="R32" i="2"/>
  <c r="R38" i="2"/>
  <c r="R158" i="2"/>
  <c r="R203" i="2"/>
  <c r="R777" i="2"/>
  <c r="R980" i="2"/>
  <c r="R232" i="2"/>
  <c r="R668" i="2"/>
  <c r="R404" i="2"/>
  <c r="R103" i="2"/>
  <c r="R557" i="2"/>
  <c r="R801" i="2"/>
  <c r="R802" i="2"/>
  <c r="R128" i="2"/>
  <c r="R725" i="2"/>
  <c r="R96" i="2"/>
  <c r="R559" i="2"/>
  <c r="R883" i="2"/>
  <c r="R392" i="2"/>
  <c r="R513" i="2"/>
  <c r="R77" i="2"/>
  <c r="R514" i="2"/>
  <c r="R623" i="2"/>
  <c r="R339" i="2"/>
  <c r="R575" i="2"/>
  <c r="R9" i="2"/>
  <c r="R495" i="2"/>
  <c r="R646" i="2"/>
  <c r="R380" i="2"/>
  <c r="R275" i="2"/>
  <c r="R470" i="2"/>
  <c r="R253" i="2"/>
  <c r="R934" i="2"/>
  <c r="R704" i="2"/>
  <c r="R306" i="2"/>
  <c r="R673" i="2"/>
  <c r="R134" i="2"/>
  <c r="R368" i="2"/>
  <c r="R55" i="2"/>
  <c r="R319" i="2"/>
  <c r="R39" i="2"/>
  <c r="R170" i="2"/>
  <c r="R611" i="2"/>
  <c r="R172" i="2"/>
  <c r="R238" i="2"/>
  <c r="R603" i="2"/>
  <c r="R110" i="2"/>
  <c r="R757" i="2"/>
  <c r="R718" i="2"/>
  <c r="R471" i="2"/>
  <c r="R416" i="2"/>
  <c r="R898" i="2"/>
  <c r="R900" i="2"/>
  <c r="R171" i="2"/>
  <c r="R806" i="2"/>
  <c r="R461" i="2"/>
  <c r="R220" i="2"/>
  <c r="R866" i="2"/>
  <c r="R44" i="2"/>
  <c r="R927" i="2"/>
  <c r="R798" i="2"/>
  <c r="R373" i="2"/>
  <c r="R803" i="2"/>
  <c r="R713" i="2"/>
  <c r="R701" i="2"/>
  <c r="R998" i="2"/>
  <c r="R45" i="2"/>
  <c r="R472" i="2"/>
  <c r="R221" i="2"/>
  <c r="R935" i="2"/>
  <c r="R300" i="2"/>
  <c r="R433" i="2"/>
  <c r="R901" i="2"/>
  <c r="R428" i="2"/>
  <c r="R276" i="2"/>
  <c r="R503" i="2"/>
  <c r="R419" i="2"/>
  <c r="R350" i="2"/>
  <c r="R107" i="2"/>
  <c r="R115" i="2"/>
  <c r="R212" i="2"/>
  <c r="R598" i="2"/>
  <c r="R758" i="2"/>
  <c r="R159" i="2"/>
  <c r="R222" i="2"/>
  <c r="R47" i="2"/>
  <c r="R708" i="2"/>
  <c r="R857" i="2"/>
  <c r="R582" i="2"/>
  <c r="R630" i="2"/>
  <c r="R142" i="2"/>
  <c r="R818" i="2"/>
  <c r="R726" i="2"/>
  <c r="R496" i="2"/>
  <c r="R520" i="2"/>
  <c r="R322" i="2"/>
  <c r="R310" i="2"/>
  <c r="R10" i="2"/>
  <c r="R955" i="2"/>
  <c r="R719" i="2"/>
  <c r="R349" i="2"/>
  <c r="R4" i="2"/>
  <c r="R477" i="2"/>
  <c r="R669" i="2"/>
  <c r="R844" i="2"/>
  <c r="R983" i="2"/>
  <c r="R888" i="2"/>
  <c r="R64" i="2"/>
  <c r="R313" i="2"/>
  <c r="R599" i="2"/>
  <c r="R845" i="2"/>
  <c r="R240" i="2"/>
  <c r="R674" i="2"/>
  <c r="R733" i="2"/>
  <c r="R893" i="2"/>
  <c r="R241" i="2"/>
  <c r="R651" i="2"/>
  <c r="R166" i="2"/>
  <c r="R1004" i="2"/>
  <c r="R789" i="2"/>
  <c r="R930" i="2"/>
  <c r="R288" i="2"/>
  <c r="R641" i="2"/>
  <c r="R99" i="2"/>
  <c r="R445" i="2"/>
  <c r="R423" i="2"/>
  <c r="R455" i="2"/>
  <c r="R631" i="2"/>
  <c r="R138" i="2"/>
  <c r="R570" i="2"/>
  <c r="R33" i="2"/>
  <c r="R565" i="2"/>
  <c r="R314" i="2"/>
  <c r="R850" i="2"/>
  <c r="R854" i="2"/>
  <c r="R52" i="2"/>
  <c r="R748" i="2"/>
  <c r="R833" i="2"/>
  <c r="R746" i="2"/>
  <c r="R604" i="2"/>
  <c r="R507" i="2"/>
  <c r="R208" i="2"/>
  <c r="R1005" i="2"/>
  <c r="R653" i="2"/>
  <c r="R647" i="2"/>
  <c r="R374" i="2"/>
  <c r="R804" i="2"/>
  <c r="R267" i="2"/>
  <c r="R370" i="2"/>
  <c r="R620" i="2"/>
  <c r="R957" i="2"/>
  <c r="R867" i="2"/>
  <c r="R186" i="2"/>
  <c r="R944" i="2"/>
  <c r="R858" i="2"/>
  <c r="R498" i="2"/>
  <c r="R968" i="2"/>
  <c r="R296" i="2"/>
  <c r="R714" i="2"/>
  <c r="R544" i="2"/>
  <c r="R468" i="2"/>
  <c r="R690" i="2"/>
  <c r="R1001" i="2"/>
  <c r="R624" i="2"/>
  <c r="R632" i="2"/>
  <c r="R417" i="2"/>
  <c r="R223" i="2"/>
  <c r="R730" i="2"/>
  <c r="R605" i="2"/>
  <c r="R244" i="2"/>
  <c r="R819" i="2"/>
  <c r="R320" i="2"/>
  <c r="R371" i="2"/>
  <c r="R499" i="2"/>
  <c r="R992" i="2"/>
  <c r="R658" i="2"/>
  <c r="R148" i="2"/>
  <c r="R678" i="2"/>
  <c r="R879" i="2"/>
  <c r="R384" i="2"/>
  <c r="R135" i="2"/>
  <c r="R531" i="2"/>
  <c r="R412" i="2"/>
  <c r="R871" i="2"/>
  <c r="R21" i="2"/>
  <c r="R1018" i="2"/>
  <c r="R516" i="2"/>
  <c r="R191" i="2"/>
  <c r="R50" i="2"/>
  <c r="R759" i="2"/>
  <c r="R434" i="2"/>
  <c r="R224" i="2"/>
  <c r="R727" i="2"/>
  <c r="R768" i="2"/>
  <c r="R537" i="2"/>
  <c r="R988" i="2"/>
  <c r="R772" i="2"/>
  <c r="R462" i="2"/>
  <c r="R315" i="2"/>
  <c r="R969" i="2"/>
  <c r="R1014" i="2"/>
  <c r="R521" i="2"/>
  <c r="R97" i="2"/>
  <c r="R387" i="2"/>
  <c r="R358" i="2"/>
  <c r="R361" i="2"/>
  <c r="R385" i="2"/>
  <c r="R790" i="2"/>
  <c r="R122" i="2"/>
  <c r="R532" i="2"/>
  <c r="R1006" i="2"/>
  <c r="R551" i="2"/>
  <c r="R48" i="2"/>
  <c r="R591" i="2"/>
  <c r="R739" i="2"/>
  <c r="R504" i="2"/>
  <c r="R924" i="2"/>
  <c r="R323" i="2"/>
  <c r="R840" i="2"/>
  <c r="R333" i="2"/>
  <c r="R936" i="2"/>
  <c r="R178" i="2"/>
  <c r="R720" i="2"/>
  <c r="R981" i="2"/>
  <c r="R807" i="2"/>
  <c r="R209" i="2"/>
  <c r="R429" i="2"/>
  <c r="R560" i="2"/>
  <c r="R642" i="2"/>
  <c r="R233" i="2"/>
  <c r="R545" i="2"/>
  <c r="R764" i="2"/>
  <c r="R334" i="2"/>
  <c r="R22" i="2"/>
  <c r="R292" i="2"/>
  <c r="R117" i="2"/>
  <c r="R965" i="2"/>
  <c r="R192" i="2"/>
  <c r="R907" i="2"/>
  <c r="R478" i="2"/>
  <c r="R28" i="2"/>
  <c r="R836" i="2"/>
  <c r="R925" i="2"/>
  <c r="R705" i="2"/>
  <c r="R193" i="2"/>
  <c r="R812" i="2"/>
  <c r="R372" i="2"/>
  <c r="R715" i="2"/>
  <c r="R517" i="2"/>
  <c r="R153" i="2"/>
  <c r="R588" i="2"/>
  <c r="R118" i="2"/>
  <c r="R685" i="2"/>
  <c r="R518" i="2"/>
  <c r="R612" i="2"/>
  <c r="R709" i="2"/>
  <c r="R1011" i="2"/>
  <c r="R297" i="2"/>
  <c r="R848" i="2"/>
  <c r="R81" i="2"/>
  <c r="R993" i="2"/>
  <c r="R154" i="2"/>
  <c r="R123" i="2"/>
  <c r="R431" i="2"/>
  <c r="R263" i="2"/>
  <c r="R40" i="2"/>
  <c r="R928" i="2"/>
  <c r="R500" i="2"/>
  <c r="R722" i="2"/>
  <c r="R393" i="2"/>
  <c r="R234" i="2"/>
  <c r="R799" i="2"/>
  <c r="R846" i="2"/>
  <c r="R813" i="2"/>
  <c r="R62" i="2"/>
  <c r="R902" i="2"/>
  <c r="R129" i="2"/>
  <c r="R675" i="2"/>
  <c r="R576" i="2"/>
  <c r="R711" i="2"/>
  <c r="R435" i="2"/>
  <c r="R187" i="2"/>
  <c r="R195" i="2"/>
  <c r="R795" i="2"/>
  <c r="R254" i="2"/>
  <c r="R228" i="2"/>
  <c r="R104" i="2"/>
  <c r="R837" i="2"/>
  <c r="R483" i="2"/>
  <c r="R633" i="2"/>
  <c r="R716" i="2"/>
  <c r="R749" i="2"/>
  <c r="R242" i="2"/>
  <c r="R346" i="2"/>
  <c r="R785" i="2"/>
  <c r="R335" i="2"/>
  <c r="R413" i="2"/>
  <c r="R607" i="2"/>
  <c r="R931" i="2"/>
  <c r="R277" i="2"/>
  <c r="R340" i="2"/>
  <c r="R473" i="2"/>
  <c r="R958" i="2"/>
  <c r="R515" i="2"/>
  <c r="R410" i="2"/>
  <c r="R872" i="2"/>
  <c r="R994" i="2"/>
  <c r="R982" i="2"/>
  <c r="R533" i="2"/>
  <c r="R731" i="2"/>
  <c r="R676" i="2"/>
  <c r="R698" i="2"/>
  <c r="R262" i="2"/>
  <c r="R691" i="2"/>
  <c r="R584" i="2"/>
  <c r="R362" i="2"/>
  <c r="R962" i="2"/>
  <c r="R124" i="2"/>
  <c r="R734" i="2"/>
  <c r="R479" i="2"/>
  <c r="R198" i="2"/>
  <c r="R501" i="2"/>
  <c r="R679" i="2"/>
  <c r="R723" i="2"/>
  <c r="R796" i="2"/>
  <c r="R341" i="2"/>
  <c r="R87" i="2"/>
  <c r="R143" i="2"/>
  <c r="R298" i="2"/>
  <c r="R249" i="2"/>
  <c r="R660" i="2"/>
  <c r="R204" i="2"/>
  <c r="R139" i="2"/>
  <c r="R23" i="2"/>
  <c r="R616" i="2"/>
  <c r="R488" i="2"/>
  <c r="R63" i="2"/>
  <c r="R742" i="2"/>
  <c r="R841" i="2"/>
  <c r="R670" i="2"/>
  <c r="R474" i="2"/>
  <c r="R41" i="2"/>
  <c r="R654" i="2"/>
  <c r="R682" i="2"/>
  <c r="R475" i="2"/>
  <c r="R270" i="2"/>
  <c r="R797" i="2"/>
  <c r="R160" i="2"/>
  <c r="R995" i="2"/>
  <c r="R855" i="2"/>
  <c r="R90" i="2"/>
  <c r="R465" i="2"/>
  <c r="R539" i="2"/>
  <c r="R225" i="2"/>
  <c r="R438" i="2"/>
  <c r="R375" i="2"/>
  <c r="R889" i="2"/>
  <c r="R769" i="2"/>
  <c r="R7" i="2"/>
  <c r="R911" i="2"/>
  <c r="R659" i="2"/>
  <c r="R937" i="2"/>
  <c r="R735" i="2"/>
  <c r="R577" i="2"/>
  <c r="R593" i="2"/>
  <c r="R963" i="2"/>
  <c r="R932" i="2"/>
  <c r="R643" i="2"/>
  <c r="R639" i="2"/>
  <c r="R540" i="2"/>
  <c r="R326" i="2"/>
  <c r="R594" i="2"/>
  <c r="R161" i="2"/>
  <c r="R235" i="2"/>
  <c r="R546" i="2"/>
  <c r="R328" i="2"/>
  <c r="R740" i="2"/>
  <c r="R271" i="2"/>
  <c r="R182" i="2"/>
  <c r="R1002" i="2"/>
  <c r="R547" i="2"/>
  <c r="R245" i="2"/>
  <c r="R970" i="2"/>
  <c r="R29" i="2"/>
  <c r="R196" i="2"/>
  <c r="R24" i="2"/>
  <c r="R173" i="2"/>
  <c r="R933" i="2"/>
  <c r="R278" i="2"/>
  <c r="R174" i="2"/>
  <c r="R353" i="2"/>
  <c r="R971" i="2"/>
  <c r="R456" i="2"/>
  <c r="R966" i="2"/>
  <c r="R868" i="2"/>
  <c r="R918" i="2"/>
  <c r="R702" i="2"/>
  <c r="R484" i="2"/>
  <c r="R613" i="2"/>
  <c r="R851" i="2"/>
  <c r="R859" i="2"/>
  <c r="R327" i="2"/>
  <c r="R119" i="2"/>
  <c r="R457" i="2"/>
  <c r="R398" i="2"/>
  <c r="R268" i="2"/>
  <c r="R1007" i="2"/>
  <c r="R330" i="2"/>
  <c r="R405" i="2"/>
  <c r="R699" i="2"/>
  <c r="R149" i="2"/>
  <c r="R648" i="2"/>
  <c r="R825" i="2"/>
  <c r="R773" i="2"/>
  <c r="R677" i="2"/>
  <c r="R938" i="2"/>
  <c r="R176" i="2"/>
  <c r="R179" i="2"/>
  <c r="R736" i="2"/>
  <c r="R108" i="2"/>
  <c r="R947" i="2"/>
  <c r="R903" i="2"/>
  <c r="R640" i="2"/>
  <c r="R200" i="2"/>
  <c r="R144" i="2"/>
  <c r="R446" i="2"/>
  <c r="R447" i="2"/>
  <c r="R721" i="2"/>
  <c r="R259" i="2"/>
  <c r="R378" i="2"/>
  <c r="R649" i="2"/>
  <c r="R984" i="2"/>
  <c r="R609" i="2"/>
  <c r="R82" i="2"/>
  <c r="R1012" i="2"/>
  <c r="R827" i="2"/>
  <c r="R388" i="2"/>
  <c r="R91" i="2"/>
  <c r="R644" i="2"/>
  <c r="R25" i="2"/>
  <c r="R229" i="2"/>
  <c r="R177" i="2"/>
  <c r="R394" i="2"/>
  <c r="R162" i="2"/>
  <c r="R116" i="2"/>
  <c r="R621" i="2"/>
  <c r="R595" i="2"/>
  <c r="R686" i="2"/>
  <c r="R140" i="2"/>
  <c r="R303" i="2"/>
  <c r="R11" i="2"/>
  <c r="R765" i="2"/>
  <c r="R941" i="2"/>
  <c r="R750" i="2"/>
  <c r="R781" i="2"/>
  <c r="R876" i="2"/>
  <c r="R260" i="2"/>
  <c r="R125" i="2"/>
  <c r="R585" i="2"/>
  <c r="R1016" i="2"/>
  <c r="R155" i="2"/>
  <c r="R458" i="2"/>
  <c r="R336" i="2"/>
  <c r="R522" i="2"/>
  <c r="R834" i="2"/>
  <c r="R459" i="2"/>
  <c r="R852" i="2"/>
  <c r="R283" i="2"/>
  <c r="R939" i="2"/>
  <c r="R566" i="2"/>
  <c r="R548" i="2"/>
  <c r="R213" i="2"/>
  <c r="R625" i="2"/>
  <c r="R451" i="2"/>
  <c r="R439" i="2"/>
  <c r="R760" i="2"/>
  <c r="R342" i="2"/>
  <c r="R1019" i="2"/>
  <c r="R561" i="2"/>
  <c r="R523" i="2"/>
  <c r="R774" i="2"/>
  <c r="R974" i="2"/>
  <c r="R395" i="2"/>
  <c r="R255" i="2"/>
  <c r="R354" i="2"/>
  <c r="R316" i="2"/>
  <c r="R188" i="2"/>
  <c r="R959" i="2"/>
  <c r="R120" i="2"/>
  <c r="R728" i="2"/>
  <c r="R16" i="2"/>
  <c r="R778" i="2"/>
  <c r="R550" i="2"/>
  <c r="R351" i="2"/>
  <c r="R145" i="2"/>
  <c r="R655" i="2"/>
  <c r="R463" i="2"/>
  <c r="R805" i="2"/>
  <c r="R626" i="2"/>
  <c r="R424" i="2"/>
  <c r="R794" i="2"/>
  <c r="R448" i="2"/>
  <c r="R57" i="2"/>
  <c r="R634" i="2"/>
  <c r="R146" i="2"/>
  <c r="R610" i="2"/>
  <c r="R693" i="2"/>
  <c r="R230" i="2"/>
  <c r="R399" i="2"/>
  <c r="R826" i="2"/>
  <c r="R440" i="2"/>
  <c r="R12" i="2"/>
  <c r="R999" i="2"/>
  <c r="R912" i="2"/>
  <c r="R791" i="2"/>
  <c r="R113" i="2"/>
  <c r="R534" i="2"/>
  <c r="R476" i="2"/>
  <c r="R65" i="2"/>
  <c r="R528" i="2"/>
  <c r="R389" i="2"/>
  <c r="R656" i="2"/>
  <c r="R386" i="2"/>
  <c r="R136" i="2"/>
  <c r="R17" i="2"/>
  <c r="R600" i="2"/>
  <c r="R535" i="2"/>
  <c r="R215" i="2"/>
  <c r="R8" i="2"/>
  <c r="R775" i="2"/>
  <c r="R972" i="2"/>
  <c r="R1003" i="2"/>
  <c r="R31" i="2"/>
  <c r="R508" i="2"/>
  <c r="R167" i="2"/>
  <c r="R524" i="2"/>
  <c r="R942" i="2"/>
  <c r="R849" i="2"/>
  <c r="R571" i="2"/>
  <c r="R985" i="2"/>
  <c r="R216" i="2"/>
  <c r="R505" i="2"/>
  <c r="R78" i="2"/>
  <c r="R782" i="2"/>
  <c r="R671" i="2"/>
  <c r="R66" i="2"/>
  <c r="R58" i="2"/>
  <c r="R436" i="2"/>
  <c r="R369" i="2"/>
  <c r="R18" i="2"/>
  <c r="R950" i="2"/>
  <c r="R480" i="2"/>
  <c r="R250" i="2"/>
  <c r="R469" i="2"/>
  <c r="R943" i="2"/>
  <c r="R418" i="2"/>
  <c r="R828" i="2"/>
  <c r="R301" i="2"/>
  <c r="R752" i="2"/>
  <c r="R331" i="2"/>
  <c r="R578" i="2"/>
  <c r="R608" i="2"/>
  <c r="R717" i="2"/>
  <c r="R137" i="2"/>
  <c r="R664" i="2"/>
  <c r="R908" i="2"/>
  <c r="R842" i="2"/>
  <c r="R877" i="2"/>
  <c r="R829" i="2"/>
  <c r="R26" i="2"/>
  <c r="R637" i="2"/>
  <c r="R926" i="2"/>
  <c r="R820" i="2"/>
  <c r="R873" i="2"/>
  <c r="R712" i="2"/>
  <c r="R111" i="2"/>
  <c r="R951" i="2"/>
  <c r="R59" i="2"/>
  <c r="R184" i="2"/>
  <c r="R365" i="2"/>
  <c r="R299" i="2"/>
  <c r="R672" i="2"/>
  <c r="R406" i="2"/>
  <c r="R884" i="2"/>
  <c r="R68" i="2"/>
  <c r="R692" i="2"/>
  <c r="R407" i="2"/>
  <c r="R69" i="2"/>
  <c r="R525" i="2"/>
  <c r="R975" i="2"/>
  <c r="R466" i="2"/>
  <c r="R874" i="2"/>
  <c r="R130" i="2"/>
  <c r="R536" i="2"/>
  <c r="R800" i="2"/>
  <c r="R729" i="2"/>
  <c r="R56" i="2"/>
  <c r="R913" i="2"/>
  <c r="R810" i="2"/>
  <c r="R904" i="2"/>
  <c r="R683" i="2"/>
  <c r="R814" i="2"/>
  <c r="R408" i="2"/>
  <c r="R860" i="2"/>
  <c r="R572" i="2"/>
  <c r="R411" i="2"/>
  <c r="R952" i="2"/>
  <c r="R27" i="2"/>
  <c r="R989" i="2"/>
  <c r="R1020" i="2"/>
  <c r="R635" i="2"/>
  <c r="R201" i="2"/>
  <c r="R284" i="2"/>
  <c r="R5" i="2"/>
  <c r="R400" i="2"/>
  <c r="R13" i="2"/>
  <c r="R657" i="2"/>
  <c r="R105" i="2"/>
  <c r="R880" i="2"/>
  <c r="R156" i="2"/>
  <c r="R606" i="2"/>
  <c r="R401" i="2"/>
  <c r="R815" i="2"/>
  <c r="R356" i="2"/>
  <c r="R706" i="2"/>
  <c r="R914" i="2"/>
  <c r="R257" i="2"/>
  <c r="R695" i="2"/>
  <c r="R70" i="2"/>
  <c r="R141" i="2"/>
  <c r="R628" i="2"/>
  <c r="R73" i="2"/>
  <c r="R106" i="2"/>
  <c r="R279" i="2"/>
  <c r="R100" i="2"/>
  <c r="R601" i="2"/>
  <c r="R304" i="2"/>
  <c r="R85" i="2"/>
  <c r="R246" i="2"/>
  <c r="R189" i="2"/>
  <c r="R823" i="2"/>
  <c r="R272" i="2"/>
  <c r="R1008" i="2"/>
  <c r="R915" i="2"/>
  <c r="R402" i="2"/>
  <c r="R302" i="2"/>
  <c r="R236" i="2"/>
  <c r="R381" i="2"/>
  <c r="R226" i="2"/>
  <c r="R449" i="2"/>
  <c r="R14" i="2"/>
  <c r="R816" i="2"/>
  <c r="R894" i="2"/>
  <c r="R210" i="2"/>
  <c r="R359" i="2"/>
  <c r="R98" i="2"/>
  <c r="R42" i="2"/>
  <c r="R573" i="2"/>
  <c r="R285" i="2"/>
  <c r="R317" i="2"/>
  <c r="R890" i="2"/>
  <c r="R838" i="2"/>
  <c r="R396" i="2"/>
  <c r="R665" i="2"/>
  <c r="R824" i="2"/>
  <c r="R919" i="2"/>
  <c r="R318" i="2"/>
  <c r="R696" i="2"/>
  <c r="R460" i="2"/>
  <c r="R101" i="2"/>
  <c r="R869" i="2"/>
  <c r="R509" i="2"/>
  <c r="R180" i="2"/>
  <c r="R956" i="2"/>
  <c r="R627" i="2"/>
  <c r="R205" i="2"/>
  <c r="R454" i="2"/>
  <c r="R953" i="2"/>
  <c r="R920" i="2"/>
  <c r="R206" i="2"/>
  <c r="R403" i="2"/>
  <c r="R541" i="2"/>
  <c r="R552" i="2"/>
  <c r="R703" i="2"/>
  <c r="R666" i="2"/>
  <c r="R724" i="2"/>
  <c r="R425" i="2"/>
  <c r="R754" i="2"/>
  <c r="R390" i="2"/>
  <c r="R684" i="2"/>
  <c r="R19" i="2"/>
  <c r="R35" i="2"/>
  <c r="R376" i="2"/>
  <c r="R792" i="2"/>
  <c r="R697" i="2"/>
  <c r="R808" i="2"/>
  <c r="R231" i="2"/>
  <c r="R945" i="2"/>
  <c r="R766" i="2"/>
  <c r="R355" i="2"/>
  <c r="R905" i="2"/>
  <c r="R636" i="2"/>
  <c r="R895" i="2"/>
  <c r="R707" i="2"/>
  <c r="R150" i="2"/>
  <c r="R1021" i="2"/>
  <c r="R131" i="2"/>
  <c r="R79" i="2"/>
  <c r="R481" i="2"/>
  <c r="R289" i="2"/>
  <c r="R986" i="2"/>
  <c r="R114" i="2"/>
  <c r="R830" i="2"/>
  <c r="R821" i="2"/>
  <c r="R489" i="2"/>
  <c r="R817" i="2"/>
  <c r="R687" i="2"/>
  <c r="R71" i="2"/>
  <c r="R452" i="2"/>
  <c r="R490" i="2"/>
  <c r="R237" i="2"/>
  <c r="R74" i="2"/>
  <c r="R741" i="2"/>
  <c r="R343" i="2"/>
  <c r="R579" i="2"/>
  <c r="R482" i="2"/>
  <c r="R86" i="2"/>
  <c r="R563" i="2"/>
  <c r="R614" i="2"/>
  <c r="R332" i="2"/>
  <c r="R667" i="2"/>
  <c r="R290" i="2"/>
  <c r="R770" i="2"/>
  <c r="R755" i="2"/>
  <c r="R542" i="2"/>
  <c r="R247" i="2"/>
  <c r="R347" i="2"/>
  <c r="R973" i="2"/>
  <c r="R567" i="2"/>
  <c r="R564" i="2"/>
  <c r="R629" i="2"/>
  <c r="R126" i="2"/>
  <c r="R870" i="2"/>
  <c r="R617" i="2"/>
  <c r="R562" i="2"/>
  <c r="R526" i="2"/>
  <c r="R391" i="2"/>
  <c r="R896" i="2"/>
  <c r="R710" i="2"/>
  <c r="R843" i="2"/>
  <c r="R1015" i="2"/>
  <c r="R652" i="2"/>
  <c r="R979" i="2"/>
  <c r="R954" i="2"/>
  <c r="R558" i="2"/>
  <c r="R753" i="2"/>
  <c r="R46" i="2"/>
  <c r="R949" i="2"/>
  <c r="R538" i="2"/>
  <c r="R421" i="2"/>
  <c r="R688" i="2"/>
  <c r="R497" i="2"/>
  <c r="R491" i="2"/>
  <c r="R308" i="2"/>
  <c r="R265" i="2"/>
  <c r="R787" i="2"/>
  <c r="R996" i="2"/>
  <c r="R194" i="2"/>
  <c r="S680" i="2"/>
  <c r="S976" i="2"/>
  <c r="S251" i="2"/>
  <c r="S645" i="2"/>
  <c r="S348" i="2"/>
  <c r="S414" i="2"/>
  <c r="S786" i="2"/>
  <c r="S151" i="2"/>
  <c r="S1009" i="2"/>
  <c r="S761" i="2"/>
  <c r="S732" i="2"/>
  <c r="S485" i="2"/>
  <c r="S464" i="2"/>
  <c r="S382" i="2"/>
  <c r="S337" i="2"/>
  <c r="S510" i="2"/>
  <c r="S269" i="2"/>
  <c r="S921" i="2"/>
  <c r="S822" i="2"/>
  <c r="S596" i="2"/>
  <c r="S638" i="2"/>
  <c r="S280" i="2"/>
  <c r="S767" i="2"/>
  <c r="S147" i="2"/>
  <c r="S492" i="2"/>
  <c r="S60" i="2"/>
  <c r="S747" i="2"/>
  <c r="S360" i="2"/>
  <c r="S324" i="2"/>
  <c r="S157" i="2"/>
  <c r="S344" i="2"/>
  <c r="S239" i="2"/>
  <c r="S887" i="2"/>
  <c r="S875" i="2"/>
  <c r="S527" i="2"/>
  <c r="S779" i="2"/>
  <c r="S486" i="2"/>
  <c r="S453" i="2"/>
  <c r="S293" i="2"/>
  <c r="S53" i="2"/>
  <c r="S650" i="2"/>
  <c r="S977" i="2"/>
  <c r="S681" i="2"/>
  <c r="S885" i="2"/>
  <c r="S553" i="2"/>
  <c r="S580" i="2"/>
  <c r="S450" i="2"/>
  <c r="S152" i="2"/>
  <c r="S589" i="2"/>
  <c r="S948" i="2"/>
  <c r="S529" i="2"/>
  <c r="S1010" i="2"/>
  <c r="S493" i="2"/>
  <c r="S689" i="2"/>
  <c r="S897" i="2"/>
  <c r="S574" i="2"/>
  <c r="S165" i="2"/>
  <c r="S743" i="2"/>
  <c r="S839" i="2"/>
  <c r="S441" i="2"/>
  <c r="S252" i="2"/>
  <c r="S700" i="2"/>
  <c r="S444" i="2"/>
  <c r="S185" i="2"/>
  <c r="S329" i="2"/>
  <c r="S92" i="2"/>
  <c r="S43" i="2"/>
  <c r="S175" i="2"/>
  <c r="S990" i="2"/>
  <c r="S861" i="2"/>
  <c r="S426" i="2"/>
  <c r="S207" i="2"/>
  <c r="S881" i="2"/>
  <c r="S311" i="2"/>
  <c r="S863" i="2"/>
  <c r="S506" i="2"/>
  <c r="S345" i="2"/>
  <c r="S325" i="2"/>
  <c r="S181" i="2"/>
  <c r="S227" i="2"/>
  <c r="S530" i="2"/>
  <c r="S357" i="2"/>
  <c r="S853" i="2"/>
  <c r="S581" i="2"/>
  <c r="S202" i="2"/>
  <c r="S217" i="2"/>
  <c r="S891" i="2"/>
  <c r="S737" i="2"/>
  <c r="S661" i="2"/>
  <c r="S751" i="2"/>
  <c r="S862" i="2"/>
  <c r="S694" i="2"/>
  <c r="S899" i="2"/>
  <c r="S583" i="2"/>
  <c r="S49" i="2"/>
  <c r="S744" i="2"/>
  <c r="S199" i="2"/>
  <c r="S432" i="2"/>
  <c r="S1013" i="2"/>
  <c r="S762" i="2"/>
  <c r="S409" i="2"/>
  <c r="S211" i="2"/>
  <c r="S83" i="2"/>
  <c r="S88" i="2"/>
  <c r="S264" i="2"/>
  <c r="S273" i="2"/>
  <c r="S964" i="2"/>
  <c r="S756" i="2"/>
  <c r="S602" i="2"/>
  <c r="S1000" i="2"/>
  <c r="S946" i="2"/>
  <c r="S338" i="2"/>
  <c r="S132" i="2"/>
  <c r="S20" i="2"/>
  <c r="S75" i="2"/>
  <c r="S377" i="2"/>
  <c r="S415" i="2"/>
  <c r="S780" i="2"/>
  <c r="S243" i="2"/>
  <c r="S133" i="2"/>
  <c r="S554" i="2"/>
  <c r="S597" i="2"/>
  <c r="S878" i="2"/>
  <c r="S967" i="2"/>
  <c r="S555" i="2"/>
  <c r="S618" i="2"/>
  <c r="S281" i="2"/>
  <c r="S30" i="2"/>
  <c r="S922" i="2"/>
  <c r="S168" i="2"/>
  <c r="S36" i="2"/>
  <c r="S442" i="2"/>
  <c r="S662" i="2"/>
  <c r="S307" i="2"/>
  <c r="S218" i="2"/>
  <c r="S923" i="2"/>
  <c r="S916" i="2"/>
  <c r="S294" i="2"/>
  <c r="S788" i="2"/>
  <c r="S864" i="2"/>
  <c r="S89" i="2"/>
  <c r="S430" i="2"/>
  <c r="S420" i="2"/>
  <c r="S568" i="2"/>
  <c r="S163" i="2"/>
  <c r="S291" i="2"/>
  <c r="S67" i="2"/>
  <c r="S274" i="2"/>
  <c r="S1017" i="2"/>
  <c r="S793" i="2"/>
  <c r="S190" i="2"/>
  <c r="S286" i="2"/>
  <c r="S771" i="2"/>
  <c r="S295" i="2"/>
  <c r="S379" i="2"/>
  <c r="S51" i="2"/>
  <c r="S738" i="2"/>
  <c r="S809" i="2"/>
  <c r="S34" i="2"/>
  <c r="S997" i="2"/>
  <c r="S95" i="2"/>
  <c r="S352" i="2"/>
  <c r="S556" i="2"/>
  <c r="S831" i="2"/>
  <c r="S543" i="2"/>
  <c r="S76" i="2"/>
  <c r="S366" i="2"/>
  <c r="S127" i="2"/>
  <c r="S256" i="2"/>
  <c r="S437" i="2"/>
  <c r="S511" i="2"/>
  <c r="S305" i="2"/>
  <c r="S282" i="2"/>
  <c r="S164" i="2"/>
  <c r="S15" i="2"/>
  <c r="S776" i="2"/>
  <c r="S856" i="2"/>
  <c r="S2" i="2"/>
  <c r="S183" i="2"/>
  <c r="S745" i="2"/>
  <c r="S219" i="2"/>
  <c r="S121" i="2"/>
  <c r="S287" i="2"/>
  <c r="S112" i="2"/>
  <c r="S467" i="2"/>
  <c r="S783" i="2"/>
  <c r="S102" i="2"/>
  <c r="S663" i="2"/>
  <c r="S309" i="2"/>
  <c r="S929" i="2"/>
  <c r="S882" i="2"/>
  <c r="S960" i="2"/>
  <c r="S54" i="2"/>
  <c r="S917" i="2"/>
  <c r="S835" i="2"/>
  <c r="S93" i="2"/>
  <c r="S615" i="2"/>
  <c r="S312" i="2"/>
  <c r="S832" i="2"/>
  <c r="S443" i="2"/>
  <c r="S961" i="2"/>
  <c r="S367" i="2"/>
  <c r="S991" i="2"/>
  <c r="S519" i="2"/>
  <c r="S214" i="2"/>
  <c r="S586" i="2"/>
  <c r="S6" i="2"/>
  <c r="S892" i="2"/>
  <c r="S847" i="2"/>
  <c r="S865" i="2"/>
  <c r="S321" i="2"/>
  <c r="S569" i="2"/>
  <c r="S363" i="2"/>
  <c r="S784" i="2"/>
  <c r="S592" i="2"/>
  <c r="S587" i="2"/>
  <c r="S37" i="2"/>
  <c r="S909" i="2"/>
  <c r="S987" i="2"/>
  <c r="S886" i="2"/>
  <c r="S487" i="2"/>
  <c r="S906" i="2"/>
  <c r="S197" i="2"/>
  <c r="S84" i="2"/>
  <c r="S763" i="2"/>
  <c r="S3" i="2"/>
  <c r="S622" i="2"/>
  <c r="S619" i="2"/>
  <c r="S169" i="2"/>
  <c r="S397" i="2"/>
  <c r="S811" i="2"/>
  <c r="S940" i="2"/>
  <c r="S427" i="2"/>
  <c r="S549" i="2"/>
  <c r="S261" i="2"/>
  <c r="S502" i="2"/>
  <c r="S94" i="2"/>
  <c r="S590" i="2"/>
  <c r="S383" i="2"/>
  <c r="S72" i="2"/>
  <c r="S512" i="2"/>
  <c r="S910" i="2"/>
  <c r="S978" i="2"/>
  <c r="S266" i="2"/>
  <c r="S109" i="2"/>
  <c r="S422" i="2"/>
  <c r="S80" i="2"/>
  <c r="S364" i="2"/>
  <c r="S248" i="2"/>
  <c r="S61" i="2"/>
  <c r="S258" i="2"/>
  <c r="S494" i="2"/>
  <c r="S32" i="2"/>
  <c r="S38" i="2"/>
  <c r="S158" i="2"/>
  <c r="S203" i="2"/>
  <c r="S777" i="2"/>
  <c r="S980" i="2"/>
  <c r="S232" i="2"/>
  <c r="S668" i="2"/>
  <c r="S404" i="2"/>
  <c r="S103" i="2"/>
  <c r="S557" i="2"/>
  <c r="S801" i="2"/>
  <c r="S802" i="2"/>
  <c r="S128" i="2"/>
  <c r="S725" i="2"/>
  <c r="S96" i="2"/>
  <c r="S559" i="2"/>
  <c r="S883" i="2"/>
  <c r="S392" i="2"/>
  <c r="S513" i="2"/>
  <c r="S77" i="2"/>
  <c r="S514" i="2"/>
  <c r="S623" i="2"/>
  <c r="S339" i="2"/>
  <c r="S575" i="2"/>
  <c r="S9" i="2"/>
  <c r="S495" i="2"/>
  <c r="S646" i="2"/>
  <c r="S380" i="2"/>
  <c r="S275" i="2"/>
  <c r="S470" i="2"/>
  <c r="S253" i="2"/>
  <c r="S934" i="2"/>
  <c r="S704" i="2"/>
  <c r="S306" i="2"/>
  <c r="S673" i="2"/>
  <c r="S134" i="2"/>
  <c r="S368" i="2"/>
  <c r="S55" i="2"/>
  <c r="S319" i="2"/>
  <c r="S39" i="2"/>
  <c r="S170" i="2"/>
  <c r="S611" i="2"/>
  <c r="S172" i="2"/>
  <c r="S238" i="2"/>
  <c r="S603" i="2"/>
  <c r="S110" i="2"/>
  <c r="S757" i="2"/>
  <c r="S718" i="2"/>
  <c r="S471" i="2"/>
  <c r="S416" i="2"/>
  <c r="S898" i="2"/>
  <c r="S900" i="2"/>
  <c r="S171" i="2"/>
  <c r="S806" i="2"/>
  <c r="S461" i="2"/>
  <c r="S220" i="2"/>
  <c r="S866" i="2"/>
  <c r="S44" i="2"/>
  <c r="S927" i="2"/>
  <c r="S798" i="2"/>
  <c r="S373" i="2"/>
  <c r="S803" i="2"/>
  <c r="S713" i="2"/>
  <c r="S701" i="2"/>
  <c r="S998" i="2"/>
  <c r="S45" i="2"/>
  <c r="S472" i="2"/>
  <c r="S221" i="2"/>
  <c r="S935" i="2"/>
  <c r="S300" i="2"/>
  <c r="S433" i="2"/>
  <c r="S901" i="2"/>
  <c r="S428" i="2"/>
  <c r="S276" i="2"/>
  <c r="S503" i="2"/>
  <c r="S419" i="2"/>
  <c r="S350" i="2"/>
  <c r="S107" i="2"/>
  <c r="S115" i="2"/>
  <c r="S212" i="2"/>
  <c r="S598" i="2"/>
  <c r="S758" i="2"/>
  <c r="S159" i="2"/>
  <c r="S222" i="2"/>
  <c r="S47" i="2"/>
  <c r="S708" i="2"/>
  <c r="S857" i="2"/>
  <c r="S582" i="2"/>
  <c r="S630" i="2"/>
  <c r="S142" i="2"/>
  <c r="S818" i="2"/>
  <c r="S726" i="2"/>
  <c r="S496" i="2"/>
  <c r="S520" i="2"/>
  <c r="S322" i="2"/>
  <c r="S310" i="2"/>
  <c r="S10" i="2"/>
  <c r="S955" i="2"/>
  <c r="S719" i="2"/>
  <c r="S349" i="2"/>
  <c r="S4" i="2"/>
  <c r="S477" i="2"/>
  <c r="S669" i="2"/>
  <c r="S844" i="2"/>
  <c r="S983" i="2"/>
  <c r="S888" i="2"/>
  <c r="S64" i="2"/>
  <c r="S313" i="2"/>
  <c r="S599" i="2"/>
  <c r="S845" i="2"/>
  <c r="S240" i="2"/>
  <c r="S674" i="2"/>
  <c r="S733" i="2"/>
  <c r="S893" i="2"/>
  <c r="S241" i="2"/>
  <c r="S651" i="2"/>
  <c r="S166" i="2"/>
  <c r="S1004" i="2"/>
  <c r="S789" i="2"/>
  <c r="S930" i="2"/>
  <c r="S288" i="2"/>
  <c r="S641" i="2"/>
  <c r="S99" i="2"/>
  <c r="S445" i="2"/>
  <c r="S423" i="2"/>
  <c r="S455" i="2"/>
  <c r="S631" i="2"/>
  <c r="S138" i="2"/>
  <c r="S570" i="2"/>
  <c r="S33" i="2"/>
  <c r="S565" i="2"/>
  <c r="S314" i="2"/>
  <c r="S850" i="2"/>
  <c r="S854" i="2"/>
  <c r="S52" i="2"/>
  <c r="S748" i="2"/>
  <c r="S833" i="2"/>
  <c r="S746" i="2"/>
  <c r="S604" i="2"/>
  <c r="S507" i="2"/>
  <c r="S208" i="2"/>
  <c r="S1005" i="2"/>
  <c r="S653" i="2"/>
  <c r="S647" i="2"/>
  <c r="S374" i="2"/>
  <c r="S804" i="2"/>
  <c r="S267" i="2"/>
  <c r="S370" i="2"/>
  <c r="S620" i="2"/>
  <c r="S957" i="2"/>
  <c r="S867" i="2"/>
  <c r="S186" i="2"/>
  <c r="S944" i="2"/>
  <c r="S858" i="2"/>
  <c r="S498" i="2"/>
  <c r="S968" i="2"/>
  <c r="S296" i="2"/>
  <c r="S714" i="2"/>
  <c r="S544" i="2"/>
  <c r="S468" i="2"/>
  <c r="S690" i="2"/>
  <c r="S1001" i="2"/>
  <c r="S624" i="2"/>
  <c r="S632" i="2"/>
  <c r="S417" i="2"/>
  <c r="S223" i="2"/>
  <c r="S730" i="2"/>
  <c r="S605" i="2"/>
  <c r="S244" i="2"/>
  <c r="S819" i="2"/>
  <c r="S320" i="2"/>
  <c r="S371" i="2"/>
  <c r="S499" i="2"/>
  <c r="S992" i="2"/>
  <c r="S658" i="2"/>
  <c r="S148" i="2"/>
  <c r="S678" i="2"/>
  <c r="S879" i="2"/>
  <c r="S384" i="2"/>
  <c r="S135" i="2"/>
  <c r="S531" i="2"/>
  <c r="S412" i="2"/>
  <c r="S871" i="2"/>
  <c r="S21" i="2"/>
  <c r="S1018" i="2"/>
  <c r="S516" i="2"/>
  <c r="S191" i="2"/>
  <c r="S50" i="2"/>
  <c r="S759" i="2"/>
  <c r="S434" i="2"/>
  <c r="S224" i="2"/>
  <c r="S727" i="2"/>
  <c r="S768" i="2"/>
  <c r="S537" i="2"/>
  <c r="S988" i="2"/>
  <c r="S772" i="2"/>
  <c r="S462" i="2"/>
  <c r="S315" i="2"/>
  <c r="S969" i="2"/>
  <c r="S1014" i="2"/>
  <c r="S521" i="2"/>
  <c r="S97" i="2"/>
  <c r="S387" i="2"/>
  <c r="S358" i="2"/>
  <c r="S361" i="2"/>
  <c r="S385" i="2"/>
  <c r="S790" i="2"/>
  <c r="S122" i="2"/>
  <c r="S532" i="2"/>
  <c r="S1006" i="2"/>
  <c r="S551" i="2"/>
  <c r="S48" i="2"/>
  <c r="S591" i="2"/>
  <c r="S739" i="2"/>
  <c r="S504" i="2"/>
  <c r="S924" i="2"/>
  <c r="S323" i="2"/>
  <c r="S840" i="2"/>
  <c r="S333" i="2"/>
  <c r="S936" i="2"/>
  <c r="S178" i="2"/>
  <c r="S720" i="2"/>
  <c r="S981" i="2"/>
  <c r="S807" i="2"/>
  <c r="S209" i="2"/>
  <c r="S429" i="2"/>
  <c r="S560" i="2"/>
  <c r="S642" i="2"/>
  <c r="S233" i="2"/>
  <c r="S545" i="2"/>
  <c r="S764" i="2"/>
  <c r="S334" i="2"/>
  <c r="S22" i="2"/>
  <c r="S292" i="2"/>
  <c r="S117" i="2"/>
  <c r="S965" i="2"/>
  <c r="S192" i="2"/>
  <c r="S907" i="2"/>
  <c r="S478" i="2"/>
  <c r="S28" i="2"/>
  <c r="S836" i="2"/>
  <c r="S925" i="2"/>
  <c r="S705" i="2"/>
  <c r="S193" i="2"/>
  <c r="S812" i="2"/>
  <c r="S372" i="2"/>
  <c r="S715" i="2"/>
  <c r="S517" i="2"/>
  <c r="S153" i="2"/>
  <c r="S588" i="2"/>
  <c r="S118" i="2"/>
  <c r="S685" i="2"/>
  <c r="S518" i="2"/>
  <c r="S612" i="2"/>
  <c r="S709" i="2"/>
  <c r="S1011" i="2"/>
  <c r="S297" i="2"/>
  <c r="S848" i="2"/>
  <c r="S81" i="2"/>
  <c r="S993" i="2"/>
  <c r="S154" i="2"/>
  <c r="S123" i="2"/>
  <c r="S431" i="2"/>
  <c r="S263" i="2"/>
  <c r="S40" i="2"/>
  <c r="S928" i="2"/>
  <c r="S500" i="2"/>
  <c r="S722" i="2"/>
  <c r="S393" i="2"/>
  <c r="S234" i="2"/>
  <c r="S799" i="2"/>
  <c r="S846" i="2"/>
  <c r="S813" i="2"/>
  <c r="S62" i="2"/>
  <c r="S902" i="2"/>
  <c r="S129" i="2"/>
  <c r="S675" i="2"/>
  <c r="S576" i="2"/>
  <c r="S711" i="2"/>
  <c r="S435" i="2"/>
  <c r="S187" i="2"/>
  <c r="S195" i="2"/>
  <c r="S795" i="2"/>
  <c r="S254" i="2"/>
  <c r="S228" i="2"/>
  <c r="S104" i="2"/>
  <c r="S837" i="2"/>
  <c r="S483" i="2"/>
  <c r="S633" i="2"/>
  <c r="S716" i="2"/>
  <c r="S749" i="2"/>
  <c r="S242" i="2"/>
  <c r="S346" i="2"/>
  <c r="S785" i="2"/>
  <c r="S335" i="2"/>
  <c r="S413" i="2"/>
  <c r="S607" i="2"/>
  <c r="S931" i="2"/>
  <c r="S277" i="2"/>
  <c r="S340" i="2"/>
  <c r="S473" i="2"/>
  <c r="S958" i="2"/>
  <c r="S515" i="2"/>
  <c r="S410" i="2"/>
  <c r="S872" i="2"/>
  <c r="S994" i="2"/>
  <c r="S982" i="2"/>
  <c r="S533" i="2"/>
  <c r="S731" i="2"/>
  <c r="S676" i="2"/>
  <c r="S698" i="2"/>
  <c r="S262" i="2"/>
  <c r="S691" i="2"/>
  <c r="S584" i="2"/>
  <c r="S362" i="2"/>
  <c r="S962" i="2"/>
  <c r="S124" i="2"/>
  <c r="S734" i="2"/>
  <c r="S479" i="2"/>
  <c r="S198" i="2"/>
  <c r="S501" i="2"/>
  <c r="S679" i="2"/>
  <c r="S723" i="2"/>
  <c r="S796" i="2"/>
  <c r="S341" i="2"/>
  <c r="S87" i="2"/>
  <c r="S143" i="2"/>
  <c r="S298" i="2"/>
  <c r="S249" i="2"/>
  <c r="S660" i="2"/>
  <c r="S204" i="2"/>
  <c r="S139" i="2"/>
  <c r="S23" i="2"/>
  <c r="S616" i="2"/>
  <c r="S488" i="2"/>
  <c r="S63" i="2"/>
  <c r="S742" i="2"/>
  <c r="S841" i="2"/>
  <c r="S670" i="2"/>
  <c r="S474" i="2"/>
  <c r="S41" i="2"/>
  <c r="S654" i="2"/>
  <c r="S682" i="2"/>
  <c r="S475" i="2"/>
  <c r="S270" i="2"/>
  <c r="S797" i="2"/>
  <c r="S160" i="2"/>
  <c r="S995" i="2"/>
  <c r="S855" i="2"/>
  <c r="S90" i="2"/>
  <c r="S465" i="2"/>
  <c r="S539" i="2"/>
  <c r="S225" i="2"/>
  <c r="S438" i="2"/>
  <c r="S375" i="2"/>
  <c r="S889" i="2"/>
  <c r="S769" i="2"/>
  <c r="S7" i="2"/>
  <c r="S911" i="2"/>
  <c r="S659" i="2"/>
  <c r="S937" i="2"/>
  <c r="S735" i="2"/>
  <c r="S577" i="2"/>
  <c r="S593" i="2"/>
  <c r="S963" i="2"/>
  <c r="S932" i="2"/>
  <c r="S643" i="2"/>
  <c r="S639" i="2"/>
  <c r="S540" i="2"/>
  <c r="S326" i="2"/>
  <c r="S594" i="2"/>
  <c r="S161" i="2"/>
  <c r="S235" i="2"/>
  <c r="S546" i="2"/>
  <c r="S328" i="2"/>
  <c r="S740" i="2"/>
  <c r="S271" i="2"/>
  <c r="S182" i="2"/>
  <c r="S1002" i="2"/>
  <c r="S547" i="2"/>
  <c r="S245" i="2"/>
  <c r="S970" i="2"/>
  <c r="S29" i="2"/>
  <c r="S196" i="2"/>
  <c r="S24" i="2"/>
  <c r="S173" i="2"/>
  <c r="S933" i="2"/>
  <c r="S278" i="2"/>
  <c r="S174" i="2"/>
  <c r="S353" i="2"/>
  <c r="S971" i="2"/>
  <c r="S456" i="2"/>
  <c r="S966" i="2"/>
  <c r="S868" i="2"/>
  <c r="S918" i="2"/>
  <c r="S702" i="2"/>
  <c r="S484" i="2"/>
  <c r="S613" i="2"/>
  <c r="S851" i="2"/>
  <c r="S859" i="2"/>
  <c r="S327" i="2"/>
  <c r="S119" i="2"/>
  <c r="S457" i="2"/>
  <c r="S398" i="2"/>
  <c r="S268" i="2"/>
  <c r="S1007" i="2"/>
  <c r="S330" i="2"/>
  <c r="S405" i="2"/>
  <c r="S699" i="2"/>
  <c r="S149" i="2"/>
  <c r="S648" i="2"/>
  <c r="S825" i="2"/>
  <c r="S773" i="2"/>
  <c r="S677" i="2"/>
  <c r="S938" i="2"/>
  <c r="S176" i="2"/>
  <c r="S179" i="2"/>
  <c r="S736" i="2"/>
  <c r="S108" i="2"/>
  <c r="S947" i="2"/>
  <c r="S903" i="2"/>
  <c r="S640" i="2"/>
  <c r="S200" i="2"/>
  <c r="S144" i="2"/>
  <c r="S446" i="2"/>
  <c r="S447" i="2"/>
  <c r="S721" i="2"/>
  <c r="S259" i="2"/>
  <c r="S378" i="2"/>
  <c r="S649" i="2"/>
  <c r="S984" i="2"/>
  <c r="S609" i="2"/>
  <c r="S82" i="2"/>
  <c r="S1012" i="2"/>
  <c r="S827" i="2"/>
  <c r="S388" i="2"/>
  <c r="S91" i="2"/>
  <c r="S644" i="2"/>
  <c r="S25" i="2"/>
  <c r="S229" i="2"/>
  <c r="S177" i="2"/>
  <c r="S394" i="2"/>
  <c r="S162" i="2"/>
  <c r="S116" i="2"/>
  <c r="S621" i="2"/>
  <c r="S595" i="2"/>
  <c r="S686" i="2"/>
  <c r="S140" i="2"/>
  <c r="S303" i="2"/>
  <c r="S11" i="2"/>
  <c r="S765" i="2"/>
  <c r="S941" i="2"/>
  <c r="S750" i="2"/>
  <c r="S781" i="2"/>
  <c r="S876" i="2"/>
  <c r="S260" i="2"/>
  <c r="S125" i="2"/>
  <c r="S585" i="2"/>
  <c r="S1016" i="2"/>
  <c r="S155" i="2"/>
  <c r="S458" i="2"/>
  <c r="S336" i="2"/>
  <c r="S522" i="2"/>
  <c r="S834" i="2"/>
  <c r="S459" i="2"/>
  <c r="S852" i="2"/>
  <c r="S283" i="2"/>
  <c r="S939" i="2"/>
  <c r="S566" i="2"/>
  <c r="S548" i="2"/>
  <c r="S213" i="2"/>
  <c r="S625" i="2"/>
  <c r="S451" i="2"/>
  <c r="S439" i="2"/>
  <c r="S760" i="2"/>
  <c r="S342" i="2"/>
  <c r="S1019" i="2"/>
  <c r="S561" i="2"/>
  <c r="S523" i="2"/>
  <c r="S774" i="2"/>
  <c r="S974" i="2"/>
  <c r="S395" i="2"/>
  <c r="S255" i="2"/>
  <c r="S354" i="2"/>
  <c r="S316" i="2"/>
  <c r="S188" i="2"/>
  <c r="S959" i="2"/>
  <c r="S120" i="2"/>
  <c r="S728" i="2"/>
  <c r="S16" i="2"/>
  <c r="S778" i="2"/>
  <c r="S550" i="2"/>
  <c r="S351" i="2"/>
  <c r="S145" i="2"/>
  <c r="S655" i="2"/>
  <c r="S463" i="2"/>
  <c r="S805" i="2"/>
  <c r="S626" i="2"/>
  <c r="S424" i="2"/>
  <c r="S794" i="2"/>
  <c r="S448" i="2"/>
  <c r="S57" i="2"/>
  <c r="S634" i="2"/>
  <c r="S146" i="2"/>
  <c r="S610" i="2"/>
  <c r="S693" i="2"/>
  <c r="S230" i="2"/>
  <c r="S399" i="2"/>
  <c r="S826" i="2"/>
  <c r="S440" i="2"/>
  <c r="S12" i="2"/>
  <c r="S999" i="2"/>
  <c r="S912" i="2"/>
  <c r="S791" i="2"/>
  <c r="S113" i="2"/>
  <c r="S534" i="2"/>
  <c r="S476" i="2"/>
  <c r="S65" i="2"/>
  <c r="S528" i="2"/>
  <c r="S389" i="2"/>
  <c r="S656" i="2"/>
  <c r="S386" i="2"/>
  <c r="S136" i="2"/>
  <c r="S17" i="2"/>
  <c r="S600" i="2"/>
  <c r="S535" i="2"/>
  <c r="S215" i="2"/>
  <c r="S8" i="2"/>
  <c r="S775" i="2"/>
  <c r="S972" i="2"/>
  <c r="S1003" i="2"/>
  <c r="S31" i="2"/>
  <c r="S508" i="2"/>
  <c r="S167" i="2"/>
  <c r="S524" i="2"/>
  <c r="S942" i="2"/>
  <c r="S849" i="2"/>
  <c r="S571" i="2"/>
  <c r="S985" i="2"/>
  <c r="S216" i="2"/>
  <c r="S505" i="2"/>
  <c r="S78" i="2"/>
  <c r="S782" i="2"/>
  <c r="S671" i="2"/>
  <c r="S66" i="2"/>
  <c r="S58" i="2"/>
  <c r="S436" i="2"/>
  <c r="S369" i="2"/>
  <c r="S18" i="2"/>
  <c r="S950" i="2"/>
  <c r="S480" i="2"/>
  <c r="S250" i="2"/>
  <c r="S469" i="2"/>
  <c r="S943" i="2"/>
  <c r="S418" i="2"/>
  <c r="S828" i="2"/>
  <c r="S301" i="2"/>
  <c r="S752" i="2"/>
  <c r="S331" i="2"/>
  <c r="S578" i="2"/>
  <c r="S608" i="2"/>
  <c r="S717" i="2"/>
  <c r="S137" i="2"/>
  <c r="S664" i="2"/>
  <c r="S908" i="2"/>
  <c r="S842" i="2"/>
  <c r="S877" i="2"/>
  <c r="S829" i="2"/>
  <c r="S26" i="2"/>
  <c r="S637" i="2"/>
  <c r="S926" i="2"/>
  <c r="S820" i="2"/>
  <c r="S873" i="2"/>
  <c r="S712" i="2"/>
  <c r="S111" i="2"/>
  <c r="S951" i="2"/>
  <c r="S59" i="2"/>
  <c r="S184" i="2"/>
  <c r="S365" i="2"/>
  <c r="S299" i="2"/>
  <c r="S672" i="2"/>
  <c r="S406" i="2"/>
  <c r="S884" i="2"/>
  <c r="S68" i="2"/>
  <c r="S692" i="2"/>
  <c r="S407" i="2"/>
  <c r="S69" i="2"/>
  <c r="S525" i="2"/>
  <c r="S975" i="2"/>
  <c r="S466" i="2"/>
  <c r="S874" i="2"/>
  <c r="S130" i="2"/>
  <c r="S536" i="2"/>
  <c r="S800" i="2"/>
  <c r="S729" i="2"/>
  <c r="S56" i="2"/>
  <c r="S913" i="2"/>
  <c r="S810" i="2"/>
  <c r="S904" i="2"/>
  <c r="S683" i="2"/>
  <c r="S814" i="2"/>
  <c r="S408" i="2"/>
  <c r="S860" i="2"/>
  <c r="S572" i="2"/>
  <c r="S411" i="2"/>
  <c r="S952" i="2"/>
  <c r="S27" i="2"/>
  <c r="S989" i="2"/>
  <c r="S1020" i="2"/>
  <c r="S635" i="2"/>
  <c r="S201" i="2"/>
  <c r="S284" i="2"/>
  <c r="S5" i="2"/>
  <c r="S400" i="2"/>
  <c r="S13" i="2"/>
  <c r="S657" i="2"/>
  <c r="S105" i="2"/>
  <c r="S880" i="2"/>
  <c r="S156" i="2"/>
  <c r="S606" i="2"/>
  <c r="S401" i="2"/>
  <c r="S815" i="2"/>
  <c r="S356" i="2"/>
  <c r="S706" i="2"/>
  <c r="S914" i="2"/>
  <c r="S257" i="2"/>
  <c r="S695" i="2"/>
  <c r="S70" i="2"/>
  <c r="S141" i="2"/>
  <c r="S628" i="2"/>
  <c r="S73" i="2"/>
  <c r="S106" i="2"/>
  <c r="S279" i="2"/>
  <c r="S100" i="2"/>
  <c r="S601" i="2"/>
  <c r="S304" i="2"/>
  <c r="S85" i="2"/>
  <c r="S246" i="2"/>
  <c r="S189" i="2"/>
  <c r="S823" i="2"/>
  <c r="S272" i="2"/>
  <c r="S1008" i="2"/>
  <c r="S915" i="2"/>
  <c r="S402" i="2"/>
  <c r="S302" i="2"/>
  <c r="S236" i="2"/>
  <c r="S381" i="2"/>
  <c r="S226" i="2"/>
  <c r="S449" i="2"/>
  <c r="S14" i="2"/>
  <c r="S816" i="2"/>
  <c r="S894" i="2"/>
  <c r="S210" i="2"/>
  <c r="S359" i="2"/>
  <c r="S98" i="2"/>
  <c r="S42" i="2"/>
  <c r="S573" i="2"/>
  <c r="S285" i="2"/>
  <c r="S317" i="2"/>
  <c r="S890" i="2"/>
  <c r="S838" i="2"/>
  <c r="S396" i="2"/>
  <c r="S665" i="2"/>
  <c r="S824" i="2"/>
  <c r="S919" i="2"/>
  <c r="S318" i="2"/>
  <c r="S696" i="2"/>
  <c r="S460" i="2"/>
  <c r="S101" i="2"/>
  <c r="S869" i="2"/>
  <c r="S509" i="2"/>
  <c r="S180" i="2"/>
  <c r="S956" i="2"/>
  <c r="S627" i="2"/>
  <c r="S205" i="2"/>
  <c r="S454" i="2"/>
  <c r="S953" i="2"/>
  <c r="S920" i="2"/>
  <c r="S206" i="2"/>
  <c r="S403" i="2"/>
  <c r="S541" i="2"/>
  <c r="S552" i="2"/>
  <c r="S703" i="2"/>
  <c r="S666" i="2"/>
  <c r="S724" i="2"/>
  <c r="S425" i="2"/>
  <c r="S754" i="2"/>
  <c r="S390" i="2"/>
  <c r="S684" i="2"/>
  <c r="S19" i="2"/>
  <c r="S35" i="2"/>
  <c r="S376" i="2"/>
  <c r="S792" i="2"/>
  <c r="S697" i="2"/>
  <c r="S808" i="2"/>
  <c r="S231" i="2"/>
  <c r="S945" i="2"/>
  <c r="S766" i="2"/>
  <c r="S355" i="2"/>
  <c r="S905" i="2"/>
  <c r="S636" i="2"/>
  <c r="S895" i="2"/>
  <c r="S707" i="2"/>
  <c r="S150" i="2"/>
  <c r="S1021" i="2"/>
  <c r="S131" i="2"/>
  <c r="S79" i="2"/>
  <c r="S481" i="2"/>
  <c r="S289" i="2"/>
  <c r="S986" i="2"/>
  <c r="S114" i="2"/>
  <c r="S830" i="2"/>
  <c r="S821" i="2"/>
  <c r="S489" i="2"/>
  <c r="S817" i="2"/>
  <c r="S687" i="2"/>
  <c r="S71" i="2"/>
  <c r="S452" i="2"/>
  <c r="S490" i="2"/>
  <c r="S237" i="2"/>
  <c r="S74" i="2"/>
  <c r="S741" i="2"/>
  <c r="S343" i="2"/>
  <c r="S579" i="2"/>
  <c r="S482" i="2"/>
  <c r="S86" i="2"/>
  <c r="S563" i="2"/>
  <c r="S614" i="2"/>
  <c r="S332" i="2"/>
  <c r="S667" i="2"/>
  <c r="S290" i="2"/>
  <c r="S770" i="2"/>
  <c r="S755" i="2"/>
  <c r="S542" i="2"/>
  <c r="S247" i="2"/>
  <c r="S347" i="2"/>
  <c r="S973" i="2"/>
  <c r="S567" i="2"/>
  <c r="S564" i="2"/>
  <c r="S629" i="2"/>
  <c r="S126" i="2"/>
  <c r="S870" i="2"/>
  <c r="S617" i="2"/>
  <c r="S562" i="2"/>
  <c r="S526" i="2"/>
  <c r="S391" i="2"/>
  <c r="S896" i="2"/>
  <c r="S710" i="2"/>
  <c r="S843" i="2"/>
  <c r="S1015" i="2"/>
  <c r="S652" i="2"/>
  <c r="S979" i="2"/>
  <c r="S954" i="2"/>
  <c r="S558" i="2"/>
  <c r="S753" i="2"/>
  <c r="S46" i="2"/>
  <c r="S949" i="2"/>
  <c r="S538" i="2"/>
  <c r="S421" i="2"/>
  <c r="S688" i="2"/>
  <c r="S497" i="2"/>
  <c r="S491" i="2"/>
  <c r="S308" i="2"/>
  <c r="S265" i="2"/>
  <c r="S787" i="2"/>
  <c r="S996" i="2"/>
  <c r="S194" i="2"/>
  <c r="T680" i="2"/>
  <c r="T976" i="2"/>
  <c r="T251" i="2"/>
  <c r="T645" i="2"/>
  <c r="T348" i="2"/>
  <c r="T414" i="2"/>
  <c r="T786" i="2"/>
  <c r="T151" i="2"/>
  <c r="T1009" i="2"/>
  <c r="T761" i="2"/>
  <c r="T732" i="2"/>
  <c r="T485" i="2"/>
  <c r="T464" i="2"/>
  <c r="T382" i="2"/>
  <c r="T337" i="2"/>
  <c r="T510" i="2"/>
  <c r="T269" i="2"/>
  <c r="T921" i="2"/>
  <c r="T822" i="2"/>
  <c r="T596" i="2"/>
  <c r="T638" i="2"/>
  <c r="T280" i="2"/>
  <c r="T767" i="2"/>
  <c r="T147" i="2"/>
  <c r="T492" i="2"/>
  <c r="T60" i="2"/>
  <c r="T747" i="2"/>
  <c r="T360" i="2"/>
  <c r="T324" i="2"/>
  <c r="T157" i="2"/>
  <c r="T344" i="2"/>
  <c r="T239" i="2"/>
  <c r="T887" i="2"/>
  <c r="T875" i="2"/>
  <c r="T527" i="2"/>
  <c r="T779" i="2"/>
  <c r="T486" i="2"/>
  <c r="T453" i="2"/>
  <c r="T293" i="2"/>
  <c r="T53" i="2"/>
  <c r="T650" i="2"/>
  <c r="T977" i="2"/>
  <c r="T681" i="2"/>
  <c r="T885" i="2"/>
  <c r="T553" i="2"/>
  <c r="T580" i="2"/>
  <c r="T450" i="2"/>
  <c r="T152" i="2"/>
  <c r="T589" i="2"/>
  <c r="T948" i="2"/>
  <c r="T529" i="2"/>
  <c r="T1010" i="2"/>
  <c r="T493" i="2"/>
  <c r="T689" i="2"/>
  <c r="T897" i="2"/>
  <c r="T574" i="2"/>
  <c r="T165" i="2"/>
  <c r="T743" i="2"/>
  <c r="T839" i="2"/>
  <c r="T441" i="2"/>
  <c r="T252" i="2"/>
  <c r="T700" i="2"/>
  <c r="T444" i="2"/>
  <c r="T185" i="2"/>
  <c r="T329" i="2"/>
  <c r="T92" i="2"/>
  <c r="T43" i="2"/>
  <c r="T175" i="2"/>
  <c r="T990" i="2"/>
  <c r="T861" i="2"/>
  <c r="T426" i="2"/>
  <c r="T207" i="2"/>
  <c r="T881" i="2"/>
  <c r="T311" i="2"/>
  <c r="T863" i="2"/>
  <c r="T506" i="2"/>
  <c r="T345" i="2"/>
  <c r="T325" i="2"/>
  <c r="T181" i="2"/>
  <c r="T227" i="2"/>
  <c r="T530" i="2"/>
  <c r="T357" i="2"/>
  <c r="T853" i="2"/>
  <c r="T581" i="2"/>
  <c r="T202" i="2"/>
  <c r="T217" i="2"/>
  <c r="T891" i="2"/>
  <c r="T737" i="2"/>
  <c r="T661" i="2"/>
  <c r="T751" i="2"/>
  <c r="T862" i="2"/>
  <c r="T694" i="2"/>
  <c r="T899" i="2"/>
  <c r="T583" i="2"/>
  <c r="T49" i="2"/>
  <c r="T744" i="2"/>
  <c r="T199" i="2"/>
  <c r="T432" i="2"/>
  <c r="T1013" i="2"/>
  <c r="T762" i="2"/>
  <c r="T409" i="2"/>
  <c r="T211" i="2"/>
  <c r="T83" i="2"/>
  <c r="T88" i="2"/>
  <c r="T264" i="2"/>
  <c r="T273" i="2"/>
  <c r="T964" i="2"/>
  <c r="T756" i="2"/>
  <c r="T602" i="2"/>
  <c r="T1000" i="2"/>
  <c r="T946" i="2"/>
  <c r="T338" i="2"/>
  <c r="T132" i="2"/>
  <c r="T20" i="2"/>
  <c r="T75" i="2"/>
  <c r="T377" i="2"/>
  <c r="T415" i="2"/>
  <c r="T780" i="2"/>
  <c r="T243" i="2"/>
  <c r="T133" i="2"/>
  <c r="T554" i="2"/>
  <c r="T597" i="2"/>
  <c r="T878" i="2"/>
  <c r="T967" i="2"/>
  <c r="T555" i="2"/>
  <c r="T618" i="2"/>
  <c r="T281" i="2"/>
  <c r="T30" i="2"/>
  <c r="T922" i="2"/>
  <c r="T168" i="2"/>
  <c r="T36" i="2"/>
  <c r="T442" i="2"/>
  <c r="T662" i="2"/>
  <c r="T307" i="2"/>
  <c r="T218" i="2"/>
  <c r="T923" i="2"/>
  <c r="T916" i="2"/>
  <c r="T294" i="2"/>
  <c r="T788" i="2"/>
  <c r="T864" i="2"/>
  <c r="T89" i="2"/>
  <c r="T430" i="2"/>
  <c r="T420" i="2"/>
  <c r="T568" i="2"/>
  <c r="T163" i="2"/>
  <c r="T291" i="2"/>
  <c r="T67" i="2"/>
  <c r="T274" i="2"/>
  <c r="T1017" i="2"/>
  <c r="T793" i="2"/>
  <c r="T190" i="2"/>
  <c r="T286" i="2"/>
  <c r="T771" i="2"/>
  <c r="T295" i="2"/>
  <c r="T379" i="2"/>
  <c r="T51" i="2"/>
  <c r="T738" i="2"/>
  <c r="T809" i="2"/>
  <c r="T34" i="2"/>
  <c r="T997" i="2"/>
  <c r="T95" i="2"/>
  <c r="T352" i="2"/>
  <c r="T556" i="2"/>
  <c r="T831" i="2"/>
  <c r="T543" i="2"/>
  <c r="T76" i="2"/>
  <c r="T366" i="2"/>
  <c r="T127" i="2"/>
  <c r="T256" i="2"/>
  <c r="T437" i="2"/>
  <c r="T511" i="2"/>
  <c r="T305" i="2"/>
  <c r="T282" i="2"/>
  <c r="T164" i="2"/>
  <c r="T15" i="2"/>
  <c r="T776" i="2"/>
  <c r="T856" i="2"/>
  <c r="T2" i="2"/>
  <c r="T183" i="2"/>
  <c r="T745" i="2"/>
  <c r="T219" i="2"/>
  <c r="T121" i="2"/>
  <c r="T287" i="2"/>
  <c r="T112" i="2"/>
  <c r="T467" i="2"/>
  <c r="T783" i="2"/>
  <c r="T102" i="2"/>
  <c r="T663" i="2"/>
  <c r="T309" i="2"/>
  <c r="T929" i="2"/>
  <c r="T882" i="2"/>
  <c r="T960" i="2"/>
  <c r="T54" i="2"/>
  <c r="T917" i="2"/>
  <c r="T835" i="2"/>
  <c r="T93" i="2"/>
  <c r="T615" i="2"/>
  <c r="T312" i="2"/>
  <c r="T832" i="2"/>
  <c r="T443" i="2"/>
  <c r="T961" i="2"/>
  <c r="T367" i="2"/>
  <c r="T991" i="2"/>
  <c r="T519" i="2"/>
  <c r="T214" i="2"/>
  <c r="T586" i="2"/>
  <c r="T6" i="2"/>
  <c r="T892" i="2"/>
  <c r="T847" i="2"/>
  <c r="T865" i="2"/>
  <c r="T321" i="2"/>
  <c r="T569" i="2"/>
  <c r="T363" i="2"/>
  <c r="T784" i="2"/>
  <c r="T592" i="2"/>
  <c r="T587" i="2"/>
  <c r="T37" i="2"/>
  <c r="T909" i="2"/>
  <c r="T987" i="2"/>
  <c r="T886" i="2"/>
  <c r="T487" i="2"/>
  <c r="T906" i="2"/>
  <c r="T197" i="2"/>
  <c r="T84" i="2"/>
  <c r="T763" i="2"/>
  <c r="T3" i="2"/>
  <c r="T622" i="2"/>
  <c r="T619" i="2"/>
  <c r="T169" i="2"/>
  <c r="T397" i="2"/>
  <c r="T811" i="2"/>
  <c r="T940" i="2"/>
  <c r="T427" i="2"/>
  <c r="T549" i="2"/>
  <c r="T261" i="2"/>
  <c r="T502" i="2"/>
  <c r="T94" i="2"/>
  <c r="T590" i="2"/>
  <c r="T383" i="2"/>
  <c r="T72" i="2"/>
  <c r="T512" i="2"/>
  <c r="T910" i="2"/>
  <c r="T978" i="2"/>
  <c r="T266" i="2"/>
  <c r="T109" i="2"/>
  <c r="T422" i="2"/>
  <c r="T80" i="2"/>
  <c r="T364" i="2"/>
  <c r="T248" i="2"/>
  <c r="T61" i="2"/>
  <c r="T258" i="2"/>
  <c r="T494" i="2"/>
  <c r="T32" i="2"/>
  <c r="T38" i="2"/>
  <c r="T158" i="2"/>
  <c r="T203" i="2"/>
  <c r="T777" i="2"/>
  <c r="T980" i="2"/>
  <c r="T232" i="2"/>
  <c r="T668" i="2"/>
  <c r="T404" i="2"/>
  <c r="T103" i="2"/>
  <c r="T557" i="2"/>
  <c r="T801" i="2"/>
  <c r="T802" i="2"/>
  <c r="T128" i="2"/>
  <c r="T725" i="2"/>
  <c r="T96" i="2"/>
  <c r="T559" i="2"/>
  <c r="T883" i="2"/>
  <c r="T392" i="2"/>
  <c r="T513" i="2"/>
  <c r="T77" i="2"/>
  <c r="T514" i="2"/>
  <c r="T623" i="2"/>
  <c r="T339" i="2"/>
  <c r="T575" i="2"/>
  <c r="T9" i="2"/>
  <c r="T495" i="2"/>
  <c r="T646" i="2"/>
  <c r="T380" i="2"/>
  <c r="T275" i="2"/>
  <c r="T470" i="2"/>
  <c r="T253" i="2"/>
  <c r="T934" i="2"/>
  <c r="T704" i="2"/>
  <c r="T306" i="2"/>
  <c r="T673" i="2"/>
  <c r="T134" i="2"/>
  <c r="T368" i="2"/>
  <c r="T55" i="2"/>
  <c r="T319" i="2"/>
  <c r="T39" i="2"/>
  <c r="T170" i="2"/>
  <c r="T611" i="2"/>
  <c r="T172" i="2"/>
  <c r="T238" i="2"/>
  <c r="T603" i="2"/>
  <c r="T110" i="2"/>
  <c r="T757" i="2"/>
  <c r="T718" i="2"/>
  <c r="T471" i="2"/>
  <c r="T416" i="2"/>
  <c r="T898" i="2"/>
  <c r="T900" i="2"/>
  <c r="T171" i="2"/>
  <c r="T806" i="2"/>
  <c r="T461" i="2"/>
  <c r="T220" i="2"/>
  <c r="T866" i="2"/>
  <c r="T44" i="2"/>
  <c r="T927" i="2"/>
  <c r="T798" i="2"/>
  <c r="T373" i="2"/>
  <c r="T803" i="2"/>
  <c r="T713" i="2"/>
  <c r="T701" i="2"/>
  <c r="T998" i="2"/>
  <c r="T45" i="2"/>
  <c r="T472" i="2"/>
  <c r="T221" i="2"/>
  <c r="T935" i="2"/>
  <c r="T300" i="2"/>
  <c r="T433" i="2"/>
  <c r="T901" i="2"/>
  <c r="T428" i="2"/>
  <c r="T276" i="2"/>
  <c r="T503" i="2"/>
  <c r="T419" i="2"/>
  <c r="T350" i="2"/>
  <c r="T107" i="2"/>
  <c r="T115" i="2"/>
  <c r="T212" i="2"/>
  <c r="T598" i="2"/>
  <c r="T758" i="2"/>
  <c r="T159" i="2"/>
  <c r="T222" i="2"/>
  <c r="T47" i="2"/>
  <c r="T708" i="2"/>
  <c r="T857" i="2"/>
  <c r="T582" i="2"/>
  <c r="T630" i="2"/>
  <c r="T142" i="2"/>
  <c r="T818" i="2"/>
  <c r="T726" i="2"/>
  <c r="T496" i="2"/>
  <c r="T520" i="2"/>
  <c r="T322" i="2"/>
  <c r="T310" i="2"/>
  <c r="T10" i="2"/>
  <c r="T955" i="2"/>
  <c r="T719" i="2"/>
  <c r="T349" i="2"/>
  <c r="T4" i="2"/>
  <c r="T477" i="2"/>
  <c r="T669" i="2"/>
  <c r="T844" i="2"/>
  <c r="T983" i="2"/>
  <c r="T888" i="2"/>
  <c r="T64" i="2"/>
  <c r="T313" i="2"/>
  <c r="T599" i="2"/>
  <c r="T845" i="2"/>
  <c r="T240" i="2"/>
  <c r="T674" i="2"/>
  <c r="T733" i="2"/>
  <c r="T893" i="2"/>
  <c r="T241" i="2"/>
  <c r="T651" i="2"/>
  <c r="T166" i="2"/>
  <c r="T1004" i="2"/>
  <c r="T789" i="2"/>
  <c r="T930" i="2"/>
  <c r="T288" i="2"/>
  <c r="T641" i="2"/>
  <c r="T99" i="2"/>
  <c r="T445" i="2"/>
  <c r="T423" i="2"/>
  <c r="T455" i="2"/>
  <c r="T631" i="2"/>
  <c r="T138" i="2"/>
  <c r="T570" i="2"/>
  <c r="T33" i="2"/>
  <c r="T565" i="2"/>
  <c r="T314" i="2"/>
  <c r="T850" i="2"/>
  <c r="T854" i="2"/>
  <c r="T52" i="2"/>
  <c r="T748" i="2"/>
  <c r="T833" i="2"/>
  <c r="T746" i="2"/>
  <c r="T604" i="2"/>
  <c r="T507" i="2"/>
  <c r="T208" i="2"/>
  <c r="T1005" i="2"/>
  <c r="T653" i="2"/>
  <c r="T647" i="2"/>
  <c r="T374" i="2"/>
  <c r="T804" i="2"/>
  <c r="T267" i="2"/>
  <c r="T370" i="2"/>
  <c r="T620" i="2"/>
  <c r="T957" i="2"/>
  <c r="T867" i="2"/>
  <c r="T186" i="2"/>
  <c r="T944" i="2"/>
  <c r="T858" i="2"/>
  <c r="T498" i="2"/>
  <c r="T968" i="2"/>
  <c r="T296" i="2"/>
  <c r="T714" i="2"/>
  <c r="T544" i="2"/>
  <c r="T468" i="2"/>
  <c r="T690" i="2"/>
  <c r="T1001" i="2"/>
  <c r="T624" i="2"/>
  <c r="T632" i="2"/>
  <c r="T417" i="2"/>
  <c r="T223" i="2"/>
  <c r="T730" i="2"/>
  <c r="T605" i="2"/>
  <c r="T244" i="2"/>
  <c r="T819" i="2"/>
  <c r="T320" i="2"/>
  <c r="T371" i="2"/>
  <c r="T499" i="2"/>
  <c r="T992" i="2"/>
  <c r="T658" i="2"/>
  <c r="T148" i="2"/>
  <c r="T678" i="2"/>
  <c r="T879" i="2"/>
  <c r="T384" i="2"/>
  <c r="T135" i="2"/>
  <c r="T531" i="2"/>
  <c r="T412" i="2"/>
  <c r="T871" i="2"/>
  <c r="T21" i="2"/>
  <c r="T1018" i="2"/>
  <c r="T516" i="2"/>
  <c r="T191" i="2"/>
  <c r="T50" i="2"/>
  <c r="T759" i="2"/>
  <c r="T434" i="2"/>
  <c r="T224" i="2"/>
  <c r="T727" i="2"/>
  <c r="T768" i="2"/>
  <c r="T537" i="2"/>
  <c r="T988" i="2"/>
  <c r="T772" i="2"/>
  <c r="T462" i="2"/>
  <c r="T315" i="2"/>
  <c r="T969" i="2"/>
  <c r="T1014" i="2"/>
  <c r="T521" i="2"/>
  <c r="T97" i="2"/>
  <c r="T387" i="2"/>
  <c r="T358" i="2"/>
  <c r="T361" i="2"/>
  <c r="T385" i="2"/>
  <c r="T790" i="2"/>
  <c r="T122" i="2"/>
  <c r="T532" i="2"/>
  <c r="T1006" i="2"/>
  <c r="T551" i="2"/>
  <c r="T48" i="2"/>
  <c r="T591" i="2"/>
  <c r="T739" i="2"/>
  <c r="T504" i="2"/>
  <c r="T924" i="2"/>
  <c r="T323" i="2"/>
  <c r="T840" i="2"/>
  <c r="T333" i="2"/>
  <c r="T936" i="2"/>
  <c r="T178" i="2"/>
  <c r="T720" i="2"/>
  <c r="T981" i="2"/>
  <c r="T807" i="2"/>
  <c r="T209" i="2"/>
  <c r="T429" i="2"/>
  <c r="T560" i="2"/>
  <c r="T642" i="2"/>
  <c r="T233" i="2"/>
  <c r="T545" i="2"/>
  <c r="T764" i="2"/>
  <c r="T334" i="2"/>
  <c r="T22" i="2"/>
  <c r="T292" i="2"/>
  <c r="T117" i="2"/>
  <c r="T965" i="2"/>
  <c r="T192" i="2"/>
  <c r="T907" i="2"/>
  <c r="T478" i="2"/>
  <c r="T28" i="2"/>
  <c r="T836" i="2"/>
  <c r="T925" i="2"/>
  <c r="T705" i="2"/>
  <c r="T193" i="2"/>
  <c r="T812" i="2"/>
  <c r="T372" i="2"/>
  <c r="T715" i="2"/>
  <c r="T517" i="2"/>
  <c r="T153" i="2"/>
  <c r="T588" i="2"/>
  <c r="T118" i="2"/>
  <c r="T685" i="2"/>
  <c r="T518" i="2"/>
  <c r="T612" i="2"/>
  <c r="T709" i="2"/>
  <c r="T1011" i="2"/>
  <c r="T297" i="2"/>
  <c r="T848" i="2"/>
  <c r="T81" i="2"/>
  <c r="T993" i="2"/>
  <c r="T154" i="2"/>
  <c r="T123" i="2"/>
  <c r="T431" i="2"/>
  <c r="T263" i="2"/>
  <c r="T40" i="2"/>
  <c r="T928" i="2"/>
  <c r="T500" i="2"/>
  <c r="T722" i="2"/>
  <c r="T393" i="2"/>
  <c r="T234" i="2"/>
  <c r="T799" i="2"/>
  <c r="T846" i="2"/>
  <c r="T813" i="2"/>
  <c r="T62" i="2"/>
  <c r="T902" i="2"/>
  <c r="T129" i="2"/>
  <c r="T675" i="2"/>
  <c r="T576" i="2"/>
  <c r="T711" i="2"/>
  <c r="T435" i="2"/>
  <c r="T187" i="2"/>
  <c r="T195" i="2"/>
  <c r="T795" i="2"/>
  <c r="T254" i="2"/>
  <c r="T228" i="2"/>
  <c r="T104" i="2"/>
  <c r="T837" i="2"/>
  <c r="T483" i="2"/>
  <c r="T633" i="2"/>
  <c r="T716" i="2"/>
  <c r="T749" i="2"/>
  <c r="T242" i="2"/>
  <c r="T346" i="2"/>
  <c r="T785" i="2"/>
  <c r="T335" i="2"/>
  <c r="T413" i="2"/>
  <c r="T607" i="2"/>
  <c r="T931" i="2"/>
  <c r="T277" i="2"/>
  <c r="T340" i="2"/>
  <c r="T473" i="2"/>
  <c r="T958" i="2"/>
  <c r="T515" i="2"/>
  <c r="T410" i="2"/>
  <c r="T872" i="2"/>
  <c r="T994" i="2"/>
  <c r="T982" i="2"/>
  <c r="T533" i="2"/>
  <c r="T731" i="2"/>
  <c r="T676" i="2"/>
  <c r="T698" i="2"/>
  <c r="T262" i="2"/>
  <c r="T691" i="2"/>
  <c r="T584" i="2"/>
  <c r="T362" i="2"/>
  <c r="T962" i="2"/>
  <c r="T124" i="2"/>
  <c r="T734" i="2"/>
  <c r="T479" i="2"/>
  <c r="T198" i="2"/>
  <c r="T501" i="2"/>
  <c r="T679" i="2"/>
  <c r="T723" i="2"/>
  <c r="T796" i="2"/>
  <c r="T341" i="2"/>
  <c r="T87" i="2"/>
  <c r="T143" i="2"/>
  <c r="T298" i="2"/>
  <c r="T249" i="2"/>
  <c r="T660" i="2"/>
  <c r="T204" i="2"/>
  <c r="T139" i="2"/>
  <c r="T23" i="2"/>
  <c r="T616" i="2"/>
  <c r="T488" i="2"/>
  <c r="T63" i="2"/>
  <c r="T742" i="2"/>
  <c r="T841" i="2"/>
  <c r="T670" i="2"/>
  <c r="T474" i="2"/>
  <c r="T41" i="2"/>
  <c r="T654" i="2"/>
  <c r="T682" i="2"/>
  <c r="T475" i="2"/>
  <c r="T270" i="2"/>
  <c r="T797" i="2"/>
  <c r="T160" i="2"/>
  <c r="T995" i="2"/>
  <c r="T855" i="2"/>
  <c r="T90" i="2"/>
  <c r="T465" i="2"/>
  <c r="T539" i="2"/>
  <c r="T225" i="2"/>
  <c r="T438" i="2"/>
  <c r="T375" i="2"/>
  <c r="T889" i="2"/>
  <c r="T769" i="2"/>
  <c r="T7" i="2"/>
  <c r="T911" i="2"/>
  <c r="T659" i="2"/>
  <c r="T937" i="2"/>
  <c r="T735" i="2"/>
  <c r="T577" i="2"/>
  <c r="T593" i="2"/>
  <c r="T963" i="2"/>
  <c r="T932" i="2"/>
  <c r="T643" i="2"/>
  <c r="T639" i="2"/>
  <c r="T540" i="2"/>
  <c r="T326" i="2"/>
  <c r="T594" i="2"/>
  <c r="T161" i="2"/>
  <c r="T235" i="2"/>
  <c r="T546" i="2"/>
  <c r="T328" i="2"/>
  <c r="T740" i="2"/>
  <c r="T271" i="2"/>
  <c r="T182" i="2"/>
  <c r="T1002" i="2"/>
  <c r="T547" i="2"/>
  <c r="T245" i="2"/>
  <c r="T970" i="2"/>
  <c r="T29" i="2"/>
  <c r="T196" i="2"/>
  <c r="T24" i="2"/>
  <c r="T173" i="2"/>
  <c r="T933" i="2"/>
  <c r="T278" i="2"/>
  <c r="T174" i="2"/>
  <c r="T353" i="2"/>
  <c r="T971" i="2"/>
  <c r="T456" i="2"/>
  <c r="T966" i="2"/>
  <c r="T868" i="2"/>
  <c r="T918" i="2"/>
  <c r="T702" i="2"/>
  <c r="T484" i="2"/>
  <c r="T613" i="2"/>
  <c r="T851" i="2"/>
  <c r="T859" i="2"/>
  <c r="T327" i="2"/>
  <c r="T119" i="2"/>
  <c r="T457" i="2"/>
  <c r="T398" i="2"/>
  <c r="T268" i="2"/>
  <c r="T1007" i="2"/>
  <c r="T330" i="2"/>
  <c r="T405" i="2"/>
  <c r="T699" i="2"/>
  <c r="T149" i="2"/>
  <c r="T648" i="2"/>
  <c r="T825" i="2"/>
  <c r="T773" i="2"/>
  <c r="T677" i="2"/>
  <c r="T938" i="2"/>
  <c r="T176" i="2"/>
  <c r="T179" i="2"/>
  <c r="T736" i="2"/>
  <c r="T108" i="2"/>
  <c r="T947" i="2"/>
  <c r="T903" i="2"/>
  <c r="T640" i="2"/>
  <c r="T200" i="2"/>
  <c r="T144" i="2"/>
  <c r="T446" i="2"/>
  <c r="T447" i="2"/>
  <c r="T721" i="2"/>
  <c r="T259" i="2"/>
  <c r="T378" i="2"/>
  <c r="T649" i="2"/>
  <c r="T984" i="2"/>
  <c r="T609" i="2"/>
  <c r="T82" i="2"/>
  <c r="T1012" i="2"/>
  <c r="T827" i="2"/>
  <c r="T388" i="2"/>
  <c r="T91" i="2"/>
  <c r="T644" i="2"/>
  <c r="T25" i="2"/>
  <c r="T229" i="2"/>
  <c r="T177" i="2"/>
  <c r="T394" i="2"/>
  <c r="T162" i="2"/>
  <c r="T116" i="2"/>
  <c r="T621" i="2"/>
  <c r="T595" i="2"/>
  <c r="T686" i="2"/>
  <c r="T140" i="2"/>
  <c r="T303" i="2"/>
  <c r="T11" i="2"/>
  <c r="T765" i="2"/>
  <c r="T941" i="2"/>
  <c r="T750" i="2"/>
  <c r="T781" i="2"/>
  <c r="T876" i="2"/>
  <c r="T260" i="2"/>
  <c r="T125" i="2"/>
  <c r="T585" i="2"/>
  <c r="T1016" i="2"/>
  <c r="T155" i="2"/>
  <c r="T458" i="2"/>
  <c r="T336" i="2"/>
  <c r="T522" i="2"/>
  <c r="T834" i="2"/>
  <c r="T459" i="2"/>
  <c r="T852" i="2"/>
  <c r="T283" i="2"/>
  <c r="T939" i="2"/>
  <c r="T566" i="2"/>
  <c r="T548" i="2"/>
  <c r="T213" i="2"/>
  <c r="T625" i="2"/>
  <c r="T451" i="2"/>
  <c r="T439" i="2"/>
  <c r="T760" i="2"/>
  <c r="T342" i="2"/>
  <c r="T1019" i="2"/>
  <c r="T561" i="2"/>
  <c r="T523" i="2"/>
  <c r="T774" i="2"/>
  <c r="T974" i="2"/>
  <c r="T395" i="2"/>
  <c r="T255" i="2"/>
  <c r="T354" i="2"/>
  <c r="T316" i="2"/>
  <c r="T188" i="2"/>
  <c r="T959" i="2"/>
  <c r="T120" i="2"/>
  <c r="T728" i="2"/>
  <c r="T16" i="2"/>
  <c r="T778" i="2"/>
  <c r="T550" i="2"/>
  <c r="T351" i="2"/>
  <c r="T145" i="2"/>
  <c r="T655" i="2"/>
  <c r="T463" i="2"/>
  <c r="T805" i="2"/>
  <c r="T626" i="2"/>
  <c r="T424" i="2"/>
  <c r="T794" i="2"/>
  <c r="T448" i="2"/>
  <c r="T57" i="2"/>
  <c r="T634" i="2"/>
  <c r="T146" i="2"/>
  <c r="T610" i="2"/>
  <c r="T693" i="2"/>
  <c r="T230" i="2"/>
  <c r="T399" i="2"/>
  <c r="T826" i="2"/>
  <c r="T440" i="2"/>
  <c r="T12" i="2"/>
  <c r="T999" i="2"/>
  <c r="T912" i="2"/>
  <c r="T791" i="2"/>
  <c r="T113" i="2"/>
  <c r="T534" i="2"/>
  <c r="T476" i="2"/>
  <c r="T65" i="2"/>
  <c r="T528" i="2"/>
  <c r="T389" i="2"/>
  <c r="T656" i="2"/>
  <c r="T386" i="2"/>
  <c r="T136" i="2"/>
  <c r="T17" i="2"/>
  <c r="T600" i="2"/>
  <c r="T535" i="2"/>
  <c r="T215" i="2"/>
  <c r="T8" i="2"/>
  <c r="T775" i="2"/>
  <c r="T972" i="2"/>
  <c r="T1003" i="2"/>
  <c r="T31" i="2"/>
  <c r="T508" i="2"/>
  <c r="T167" i="2"/>
  <c r="T524" i="2"/>
  <c r="T942" i="2"/>
  <c r="T849" i="2"/>
  <c r="T571" i="2"/>
  <c r="T985" i="2"/>
  <c r="T216" i="2"/>
  <c r="T505" i="2"/>
  <c r="T78" i="2"/>
  <c r="T782" i="2"/>
  <c r="T671" i="2"/>
  <c r="T66" i="2"/>
  <c r="T58" i="2"/>
  <c r="T436" i="2"/>
  <c r="T369" i="2"/>
  <c r="T18" i="2"/>
  <c r="T950" i="2"/>
  <c r="T480" i="2"/>
  <c r="T250" i="2"/>
  <c r="T469" i="2"/>
  <c r="T943" i="2"/>
  <c r="T418" i="2"/>
  <c r="T828" i="2"/>
  <c r="T301" i="2"/>
  <c r="T752" i="2"/>
  <c r="T331" i="2"/>
  <c r="T578" i="2"/>
  <c r="T608" i="2"/>
  <c r="T717" i="2"/>
  <c r="T137" i="2"/>
  <c r="T664" i="2"/>
  <c r="T908" i="2"/>
  <c r="T842" i="2"/>
  <c r="T877" i="2"/>
  <c r="T829" i="2"/>
  <c r="T26" i="2"/>
  <c r="T637" i="2"/>
  <c r="T926" i="2"/>
  <c r="T820" i="2"/>
  <c r="T873" i="2"/>
  <c r="T712" i="2"/>
  <c r="T111" i="2"/>
  <c r="T951" i="2"/>
  <c r="T59" i="2"/>
  <c r="T184" i="2"/>
  <c r="T365" i="2"/>
  <c r="T299" i="2"/>
  <c r="T672" i="2"/>
  <c r="T406" i="2"/>
  <c r="T884" i="2"/>
  <c r="T68" i="2"/>
  <c r="T692" i="2"/>
  <c r="T407" i="2"/>
  <c r="T69" i="2"/>
  <c r="T525" i="2"/>
  <c r="T975" i="2"/>
  <c r="T466" i="2"/>
  <c r="T874" i="2"/>
  <c r="T130" i="2"/>
  <c r="T536" i="2"/>
  <c r="T800" i="2"/>
  <c r="T729" i="2"/>
  <c r="T56" i="2"/>
  <c r="T913" i="2"/>
  <c r="T810" i="2"/>
  <c r="T904" i="2"/>
  <c r="T683" i="2"/>
  <c r="T814" i="2"/>
  <c r="T408" i="2"/>
  <c r="T860" i="2"/>
  <c r="T572" i="2"/>
  <c r="T411" i="2"/>
  <c r="T952" i="2"/>
  <c r="T27" i="2"/>
  <c r="T989" i="2"/>
  <c r="T1020" i="2"/>
  <c r="T635" i="2"/>
  <c r="T201" i="2"/>
  <c r="T284" i="2"/>
  <c r="T5" i="2"/>
  <c r="T400" i="2"/>
  <c r="T13" i="2"/>
  <c r="T657" i="2"/>
  <c r="T105" i="2"/>
  <c r="T880" i="2"/>
  <c r="T156" i="2"/>
  <c r="T606" i="2"/>
  <c r="T401" i="2"/>
  <c r="T815" i="2"/>
  <c r="T356" i="2"/>
  <c r="T706" i="2"/>
  <c r="T914" i="2"/>
  <c r="T257" i="2"/>
  <c r="T695" i="2"/>
  <c r="T70" i="2"/>
  <c r="T141" i="2"/>
  <c r="T628" i="2"/>
  <c r="T73" i="2"/>
  <c r="T106" i="2"/>
  <c r="T279" i="2"/>
  <c r="T100" i="2"/>
  <c r="T601" i="2"/>
  <c r="T304" i="2"/>
  <c r="T85" i="2"/>
  <c r="T246" i="2"/>
  <c r="T189" i="2"/>
  <c r="T823" i="2"/>
  <c r="T272" i="2"/>
  <c r="T1008" i="2"/>
  <c r="T915" i="2"/>
  <c r="T402" i="2"/>
  <c r="T302" i="2"/>
  <c r="T236" i="2"/>
  <c r="T381" i="2"/>
  <c r="T226" i="2"/>
  <c r="T449" i="2"/>
  <c r="T14" i="2"/>
  <c r="T816" i="2"/>
  <c r="T894" i="2"/>
  <c r="T210" i="2"/>
  <c r="T359" i="2"/>
  <c r="T98" i="2"/>
  <c r="T42" i="2"/>
  <c r="T573" i="2"/>
  <c r="T285" i="2"/>
  <c r="T317" i="2"/>
  <c r="T890" i="2"/>
  <c r="T838" i="2"/>
  <c r="T396" i="2"/>
  <c r="T665" i="2"/>
  <c r="T824" i="2"/>
  <c r="T919" i="2"/>
  <c r="T318" i="2"/>
  <c r="T696" i="2"/>
  <c r="T460" i="2"/>
  <c r="T101" i="2"/>
  <c r="T869" i="2"/>
  <c r="T509" i="2"/>
  <c r="T180" i="2"/>
  <c r="T956" i="2"/>
  <c r="T627" i="2"/>
  <c r="T205" i="2"/>
  <c r="T454" i="2"/>
  <c r="T953" i="2"/>
  <c r="T920" i="2"/>
  <c r="T206" i="2"/>
  <c r="T403" i="2"/>
  <c r="T541" i="2"/>
  <c r="T552" i="2"/>
  <c r="T703" i="2"/>
  <c r="T666" i="2"/>
  <c r="T724" i="2"/>
  <c r="T425" i="2"/>
  <c r="T754" i="2"/>
  <c r="T390" i="2"/>
  <c r="T684" i="2"/>
  <c r="T19" i="2"/>
  <c r="T35" i="2"/>
  <c r="T376" i="2"/>
  <c r="T792" i="2"/>
  <c r="T697" i="2"/>
  <c r="T808" i="2"/>
  <c r="T231" i="2"/>
  <c r="T945" i="2"/>
  <c r="T766" i="2"/>
  <c r="T355" i="2"/>
  <c r="T905" i="2"/>
  <c r="T636" i="2"/>
  <c r="T895" i="2"/>
  <c r="T707" i="2"/>
  <c r="T150" i="2"/>
  <c r="T1021" i="2"/>
  <c r="T131" i="2"/>
  <c r="T79" i="2"/>
  <c r="T481" i="2"/>
  <c r="T289" i="2"/>
  <c r="T986" i="2"/>
  <c r="T114" i="2"/>
  <c r="T830" i="2"/>
  <c r="T821" i="2"/>
  <c r="T489" i="2"/>
  <c r="T817" i="2"/>
  <c r="T687" i="2"/>
  <c r="T71" i="2"/>
  <c r="T452" i="2"/>
  <c r="T490" i="2"/>
  <c r="T237" i="2"/>
  <c r="T74" i="2"/>
  <c r="T741" i="2"/>
  <c r="T343" i="2"/>
  <c r="T579" i="2"/>
  <c r="T482" i="2"/>
  <c r="T86" i="2"/>
  <c r="T563" i="2"/>
  <c r="T614" i="2"/>
  <c r="T332" i="2"/>
  <c r="T667" i="2"/>
  <c r="T290" i="2"/>
  <c r="T770" i="2"/>
  <c r="T755" i="2"/>
  <c r="T542" i="2"/>
  <c r="T247" i="2"/>
  <c r="T347" i="2"/>
  <c r="T973" i="2"/>
  <c r="T567" i="2"/>
  <c r="T564" i="2"/>
  <c r="T629" i="2"/>
  <c r="T126" i="2"/>
  <c r="T870" i="2"/>
  <c r="T617" i="2"/>
  <c r="T562" i="2"/>
  <c r="T526" i="2"/>
  <c r="T391" i="2"/>
  <c r="T896" i="2"/>
  <c r="T710" i="2"/>
  <c r="T843" i="2"/>
  <c r="T1015" i="2"/>
  <c r="T652" i="2"/>
  <c r="T979" i="2"/>
  <c r="T954" i="2"/>
  <c r="T558" i="2"/>
  <c r="T753" i="2"/>
  <c r="T46" i="2"/>
  <c r="T949" i="2"/>
  <c r="T538" i="2"/>
  <c r="T421" i="2"/>
  <c r="T688" i="2"/>
  <c r="T497" i="2"/>
  <c r="T491" i="2"/>
  <c r="T308" i="2"/>
  <c r="T265" i="2"/>
  <c r="T787" i="2"/>
  <c r="T996" i="2"/>
  <c r="T194" i="2"/>
  <c r="C6" i="7"/>
  <c r="C5" i="7"/>
  <c r="C4" i="7"/>
  <c r="G313" i="3"/>
  <c r="F313" i="3"/>
  <c r="C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E7A64F-3747-41F7-B7DC-58F34F730AA6}" keepAlive="1" name="Consulta - ventas_eshopnow (Proyecto ABP M2)" description="Conexión a la consulta 'ventas_eshopnow (Proyecto ABP M2)' en el libro." type="5" refreshedVersion="8" background="1" saveData="1">
    <dbPr connection="Provider=Microsoft.Mashup.OleDb.1;Data Source=$Workbook$;Location=&quot;ventas_eshopnow (Proyecto ABP M2)&quot;;Extended Properties=&quot;&quot;" command="SELECT * FROM [ventas_eshopnow (Proyecto ABP M2)]"/>
  </connection>
  <connection id="2" xr16:uid="{9E1D1302-1881-46B3-9B7A-3B184B1DFDCD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EF315D3-6033-4EFC-A423-28901985EDD2}" name="WorksheetConnection_Clientes!$B$33:$J$309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ClientesB33J3091"/>
        </x15:connection>
      </ext>
    </extLst>
  </connection>
</connections>
</file>

<file path=xl/sharedStrings.xml><?xml version="1.0" encoding="utf-8"?>
<sst xmlns="http://schemas.openxmlformats.org/spreadsheetml/2006/main" count="6710" uniqueCount="691">
  <si>
    <t>id_venta</t>
  </si>
  <si>
    <t>fecha_venta</t>
  </si>
  <si>
    <t>id_empleado</t>
  </si>
  <si>
    <t>antiguedad_vendedor</t>
  </si>
  <si>
    <t>id_cliente</t>
  </si>
  <si>
    <t>nombre_cliente</t>
  </si>
  <si>
    <t>email_cliente</t>
  </si>
  <si>
    <t>genero_cliente</t>
  </si>
  <si>
    <t>edad_cliente</t>
  </si>
  <si>
    <t>ciudad_cliente</t>
  </si>
  <si>
    <t>region_cliente</t>
  </si>
  <si>
    <t>canal_venta</t>
  </si>
  <si>
    <t>producto</t>
  </si>
  <si>
    <t>categoria_producto</t>
  </si>
  <si>
    <t>precio_unitario</t>
  </si>
  <si>
    <t>cantidad</t>
  </si>
  <si>
    <t>descuento_pct</t>
  </si>
  <si>
    <t>María González Alfaro</t>
  </si>
  <si>
    <t>cliente254@mail.cl</t>
  </si>
  <si>
    <t>Hombre</t>
  </si>
  <si>
    <t>Temuco</t>
  </si>
  <si>
    <t>La Araucanía</t>
  </si>
  <si>
    <t>Web</t>
  </si>
  <si>
    <t>Maquillaje</t>
  </si>
  <si>
    <t>Belleza</t>
  </si>
  <si>
    <t>Vania Evelyn Leyton García</t>
  </si>
  <si>
    <t>cliente102@mail.cl</t>
  </si>
  <si>
    <t>Talcahuano</t>
  </si>
  <si>
    <t>Biobío</t>
  </si>
  <si>
    <t>App</t>
  </si>
  <si>
    <t>Lavadora</t>
  </si>
  <si>
    <t>Electrohogar</t>
  </si>
  <si>
    <t>Darwin Ramón Saavedra Pino</t>
  </si>
  <si>
    <t>cliente196@mail.cl</t>
  </si>
  <si>
    <t>Santiago</t>
  </si>
  <si>
    <t>Manuel Rodríguez</t>
  </si>
  <si>
    <t>cliente65@mail.cl</t>
  </si>
  <si>
    <t>Valparaíso</t>
  </si>
  <si>
    <t>Tienda</t>
  </si>
  <si>
    <t>Perfume</t>
  </si>
  <si>
    <t>Francisco Raúl Guerrero-Romero Sánchez</t>
  </si>
  <si>
    <t>cliente218@mail.cl</t>
  </si>
  <si>
    <t>Mujer</t>
  </si>
  <si>
    <t>Antofagasta</t>
  </si>
  <si>
    <t>Héctor Ramírez</t>
  </si>
  <si>
    <t>cliente202@mail.cl</t>
  </si>
  <si>
    <t>Notebook</t>
  </si>
  <si>
    <t>Mónica Araya Álvarez</t>
  </si>
  <si>
    <t>cliente160@mail.cl</t>
  </si>
  <si>
    <t>Refrigerador</t>
  </si>
  <si>
    <t>Camila Florencia Parra Muñoz</t>
  </si>
  <si>
    <t>cliente242@mail.cl</t>
  </si>
  <si>
    <t>Concepción</t>
  </si>
  <si>
    <t>Tecnología</t>
  </si>
  <si>
    <t>Ximena Susana Medina Duarte</t>
  </si>
  <si>
    <t>cliente255@mail.cl</t>
  </si>
  <si>
    <t>Pantalón</t>
  </si>
  <si>
    <t>Vestuario</t>
  </si>
  <si>
    <t>Melania Jessica Urrutia Palacios</t>
  </si>
  <si>
    <t>cliente35@mail.cl</t>
  </si>
  <si>
    <t>Maritza Thiare Mora Miranda</t>
  </si>
  <si>
    <t>cliente136@mail.cl</t>
  </si>
  <si>
    <t>TV</t>
  </si>
  <si>
    <t>Jorge Joaquín Sánchez Leiva</t>
  </si>
  <si>
    <t>cliente50@mail.cl</t>
  </si>
  <si>
    <t>Joaquín Jaime Segura Parra</t>
  </si>
  <si>
    <t>cliente81@mail.cl</t>
  </si>
  <si>
    <t>Gloria Lidia García Toledo</t>
  </si>
  <si>
    <t>cliente189@mail.cl</t>
  </si>
  <si>
    <t>Smartphone</t>
  </si>
  <si>
    <t>Francisca Valenzuela Pavez</t>
  </si>
  <si>
    <t>cliente67@mail.cl</t>
  </si>
  <si>
    <t>José Patricio Valenzuela Estay</t>
  </si>
  <si>
    <t>cliente269@mail.cl</t>
  </si>
  <si>
    <t>Eduardo René Valenzuela Venegas</t>
  </si>
  <si>
    <t>cliente207@mail.cl</t>
  </si>
  <si>
    <t>Puerto Montt</t>
  </si>
  <si>
    <t>Los Lagos</t>
  </si>
  <si>
    <t>Sebastián Hormazábal Sepúlveda</t>
  </si>
  <si>
    <t>cliente234@mail.cl</t>
  </si>
  <si>
    <t>Pablo Franco Saldías Ruiz</t>
  </si>
  <si>
    <t>cliente39@mail.cl</t>
  </si>
  <si>
    <t>Lorenza Ramírez Espinoza</t>
  </si>
  <si>
    <t>cliente224@mail.cl</t>
  </si>
  <si>
    <t>La Serena</t>
  </si>
  <si>
    <t>Coquimbo</t>
  </si>
  <si>
    <t>Manuel Candia Garrido</t>
  </si>
  <si>
    <t>cliente172@mail.cl</t>
  </si>
  <si>
    <t>Elizabeth Meléndez Pacheco</t>
  </si>
  <si>
    <t>cliente40@mail.cl</t>
  </si>
  <si>
    <t>Miguel Araya Segura</t>
  </si>
  <si>
    <t>cliente232@mail.cl</t>
  </si>
  <si>
    <t>Brayan Amaro Araya Valenzuela</t>
  </si>
  <si>
    <t>cliente23@mail.cl</t>
  </si>
  <si>
    <t>Jorge Rafael Riquelme Vargas</t>
  </si>
  <si>
    <t>cliente132@mail.cl</t>
  </si>
  <si>
    <t>Anahí Araya</t>
  </si>
  <si>
    <t>cliente114@mail.cl</t>
  </si>
  <si>
    <t>Zapatillas</t>
  </si>
  <si>
    <t>Mauricio Astorga</t>
  </si>
  <si>
    <t>cliente252@mail.cl</t>
  </si>
  <si>
    <t>Rancagua</t>
  </si>
  <si>
    <t>Polera</t>
  </si>
  <si>
    <t>Génesis Macarena Venegas Sepúlveda</t>
  </si>
  <si>
    <t>cliente220@mail.cl</t>
  </si>
  <si>
    <t>Flavia Estela Cruz Castro</t>
  </si>
  <si>
    <t>cliente110@mail.cl</t>
  </si>
  <si>
    <t>Carlos Aranda-Ortiz</t>
  </si>
  <si>
    <t>cliente122@mail.cl</t>
  </si>
  <si>
    <t>O'Higgins</t>
  </si>
  <si>
    <t>Francisco Ramírez Faúndez</t>
  </si>
  <si>
    <t>cliente162@mail.cl</t>
  </si>
  <si>
    <t>Cristóbal Pastén Leal</t>
  </si>
  <si>
    <t>cliente43@mail.cl</t>
  </si>
  <si>
    <t>Rosa Gaete Castro</t>
  </si>
  <si>
    <t>cliente2@mail.cl</t>
  </si>
  <si>
    <t>Viña del Mar</t>
  </si>
  <si>
    <t>Roberto Moreno Jorquera</t>
  </si>
  <si>
    <t>cliente127@mail.cl</t>
  </si>
  <si>
    <t>Josefa Segura Verdugo</t>
  </si>
  <si>
    <t>cliente246@mail.cl</t>
  </si>
  <si>
    <t>Miguel Roberto Villagrán Iturra</t>
  </si>
  <si>
    <t>cliente45@mail.cl</t>
  </si>
  <si>
    <t>Región Metropolitana</t>
  </si>
  <si>
    <t>Jairo Ian Villanueva Orellana</t>
  </si>
  <si>
    <t>cliente212@mail.cl</t>
  </si>
  <si>
    <t>Emiliano Hernández Castillo</t>
  </si>
  <si>
    <t>cliente178@mail.cl</t>
  </si>
  <si>
    <t>Ana Varela López</t>
  </si>
  <si>
    <t>cliente271@mail.cl</t>
  </si>
  <si>
    <t>Manuel Rodríguez Pérez</t>
  </si>
  <si>
    <t>cliente238@mail.cl</t>
  </si>
  <si>
    <t>Romina Cruz</t>
  </si>
  <si>
    <t>cliente41@mail.cl</t>
  </si>
  <si>
    <t>Juana Morales Novoa</t>
  </si>
  <si>
    <t>cliente118@mail.cl</t>
  </si>
  <si>
    <t>Laura Peñaloza Díaz</t>
  </si>
  <si>
    <t>cliente68@mail.cl</t>
  </si>
  <si>
    <t>Jaime Toloza Díaz</t>
  </si>
  <si>
    <t>cliente268@mail.cl</t>
  </si>
  <si>
    <t>Camila Natalia Pérez Arroyo</t>
  </si>
  <si>
    <t>cliente204@mail.cl</t>
  </si>
  <si>
    <t>Lidia Tapia</t>
  </si>
  <si>
    <t>cliente239@mail.cl</t>
  </si>
  <si>
    <t>Tatiana Claudia Jara Herrera</t>
  </si>
  <si>
    <t>cliente30@mail.cl</t>
  </si>
  <si>
    <t>Juan Héctor Castro Silva</t>
  </si>
  <si>
    <t>cliente221@mail.cl</t>
  </si>
  <si>
    <t>María Lorena Bórquez Rodríguez</t>
  </si>
  <si>
    <t>cliente99@mail.cl</t>
  </si>
  <si>
    <t>Rubén Castillo</t>
  </si>
  <si>
    <t>cliente117@mail.cl</t>
  </si>
  <si>
    <t>Calzado</t>
  </si>
  <si>
    <t>Laura Mary Sánchez Quintanilla</t>
  </si>
  <si>
    <t>cliente186@mail.cl</t>
  </si>
  <si>
    <t>Carlos Fuentes Vargas</t>
  </si>
  <si>
    <t>cliente261@mail.cl</t>
  </si>
  <si>
    <t>Matilda Denisse Gatica Gutiérrez</t>
  </si>
  <si>
    <t>cliente167@mail.cl</t>
  </si>
  <si>
    <t>Paulino Vargas Farías</t>
  </si>
  <si>
    <t>cliente123@mail.cl</t>
  </si>
  <si>
    <t>Isaac Gutiérrez</t>
  </si>
  <si>
    <t>cliente195@mail.cl</t>
  </si>
  <si>
    <t>María Sofía Morales Arellano</t>
  </si>
  <si>
    <t>cliente249@mail.cl</t>
  </si>
  <si>
    <t>Jacqueline Amanda Martínez Osorio</t>
  </si>
  <si>
    <t>cliente184@mail.cl</t>
  </si>
  <si>
    <t>Carolina González Ruiz</t>
  </si>
  <si>
    <t>cliente263@mail.cl</t>
  </si>
  <si>
    <t>Florinda Josefa Cortés Morales</t>
  </si>
  <si>
    <t>cliente193@mail.cl</t>
  </si>
  <si>
    <t>Arturo Ángel Corvalán Salazar</t>
  </si>
  <si>
    <t>cliente176@mail.cl</t>
  </si>
  <si>
    <t>Amanda Gutiérrez</t>
  </si>
  <si>
    <t>cliente222@mail.cl</t>
  </si>
  <si>
    <t>Carlos Wladimir Lara Muñoz</t>
  </si>
  <si>
    <t>cliente260@mail.cl</t>
  </si>
  <si>
    <t>Víctor Alejandro Ramírez Soto</t>
  </si>
  <si>
    <t>cliente148@mail.cl</t>
  </si>
  <si>
    <t>Raquel Guadalupe Canales Maturana</t>
  </si>
  <si>
    <t>cliente103@mail.cl</t>
  </si>
  <si>
    <t>Humberto José Rivera Leiva</t>
  </si>
  <si>
    <t>cliente44@mail.cl</t>
  </si>
  <si>
    <t>Clara Rosa Aros Guerrero</t>
  </si>
  <si>
    <t>cliente165@mail.cl</t>
  </si>
  <si>
    <t>Rolando Patricio Muñoz Barría</t>
  </si>
  <si>
    <t>cliente144@mail.cl</t>
  </si>
  <si>
    <t>Felipe Daniel González Salinas</t>
  </si>
  <si>
    <t>cliente26@mail.cl</t>
  </si>
  <si>
    <t>Raquel Silva Méndez</t>
  </si>
  <si>
    <t>cliente69@mail.cl</t>
  </si>
  <si>
    <t>José Juan Vargas Vega</t>
  </si>
  <si>
    <t>cliente137@mail.cl</t>
  </si>
  <si>
    <t>Carol Adelina Maldonado Saavedra</t>
  </si>
  <si>
    <t>cliente226@mail.cl</t>
  </si>
  <si>
    <t>Constanza Osorio</t>
  </si>
  <si>
    <t>cliente121@mail.cl</t>
  </si>
  <si>
    <t>Gaspar Oscar Concha Torres</t>
  </si>
  <si>
    <t>cliente145@mail.cl</t>
  </si>
  <si>
    <t>Pedro Ramón Serrano Ibáñez</t>
  </si>
  <si>
    <t>cliente80@mail.cl</t>
  </si>
  <si>
    <t>Christian Francisco Rojas Oyarzo</t>
  </si>
  <si>
    <t>cliente38@mail.cl</t>
  </si>
  <si>
    <t>Claudio Rodrigo Mancilla Sáez</t>
  </si>
  <si>
    <t>cliente191@mail.cl</t>
  </si>
  <si>
    <t>Rossana Flores</t>
  </si>
  <si>
    <t>cliente58@mail.cl</t>
  </si>
  <si>
    <t>Martín Jorge Vergara Sáez</t>
  </si>
  <si>
    <t>cliente125@mail.cl</t>
  </si>
  <si>
    <t>María Anahí Mella Carrasco</t>
  </si>
  <si>
    <t>cliente104@mail.cl</t>
  </si>
  <si>
    <t>Mauricio Paul Gajardo Córdova</t>
  </si>
  <si>
    <t>cliente205@mail.cl</t>
  </si>
  <si>
    <t>María Palacios</t>
  </si>
  <si>
    <t>cliente130@mail.cl</t>
  </si>
  <si>
    <t>Rudecindo Cares</t>
  </si>
  <si>
    <t>cliente86@mail.cl</t>
  </si>
  <si>
    <t>Leonor Corvalán</t>
  </si>
  <si>
    <t>cliente95@mail.cl</t>
  </si>
  <si>
    <t>Ana Martinez García</t>
  </si>
  <si>
    <t>cliente1@mail.cl</t>
  </si>
  <si>
    <t>César Carlos Espinoza Uribe</t>
  </si>
  <si>
    <t>cliente4@mail.cl</t>
  </si>
  <si>
    <t>Ingrid María Velásquez Herrera</t>
  </si>
  <si>
    <t>cliente61@mail.cl</t>
  </si>
  <si>
    <t>Yaritza Quiroga Martínez</t>
  </si>
  <si>
    <t>cliente6@mail.cl</t>
  </si>
  <si>
    <t>Guillermo Oscar Cid Díaz</t>
  </si>
  <si>
    <t>cliente274@mail.cl</t>
  </si>
  <si>
    <t>Claudio Diego Cisterna Rojas</t>
  </si>
  <si>
    <t>cliente105@mail.cl</t>
  </si>
  <si>
    <t>Antonella Julia Urrutia Oyarzo</t>
  </si>
  <si>
    <t>cliente169@mail.cl</t>
  </si>
  <si>
    <t>Arnoldo Anselmo Cubillos Veloso</t>
  </si>
  <si>
    <t>cliente64@mail.cl</t>
  </si>
  <si>
    <t>Eduardo Manuel Morales Riffo</t>
  </si>
  <si>
    <t>cliente53@mail.cl</t>
  </si>
  <si>
    <t>Eladio Sandro Gaete Salazar</t>
  </si>
  <si>
    <t>cliente228@mail.cl</t>
  </si>
  <si>
    <t>Ulises Bruno Gallardo Piña</t>
  </si>
  <si>
    <t>cliente256@mail.cl</t>
  </si>
  <si>
    <t>Máximo Pablo Leal Romero</t>
  </si>
  <si>
    <t>cliente75@mail.cl</t>
  </si>
  <si>
    <t>Lucas Miguel San Martín Catalán</t>
  </si>
  <si>
    <t>cliente109@mail.cl</t>
  </si>
  <si>
    <t>Víctor Raúl Ibarra Paredes</t>
  </si>
  <si>
    <t>cliente216@mail.cl</t>
  </si>
  <si>
    <t>Tatiana Catalina Gutiérrez Quiroz</t>
  </si>
  <si>
    <t>cliente97@mail.cl</t>
  </si>
  <si>
    <t>Berta Huerta García</t>
  </si>
  <si>
    <t>cliente225@mail.cl</t>
  </si>
  <si>
    <t>Alejandro Rodrigo Toro Espinoza</t>
  </si>
  <si>
    <t>cliente37@mail.cl</t>
  </si>
  <si>
    <t>Angélica Reyes</t>
  </si>
  <si>
    <t>cliente267@mail.cl</t>
  </si>
  <si>
    <t>Gloria Durán</t>
  </si>
  <si>
    <t>cliente278@mail.cl</t>
  </si>
  <si>
    <t>Daniel Alejandro Rivera Ibarra</t>
  </si>
  <si>
    <t>cliente116@mail.cl</t>
  </si>
  <si>
    <t>Rodrigo Cornejo Aranda</t>
  </si>
  <si>
    <t>cliente206@mail.cl</t>
  </si>
  <si>
    <t>Vanessa Emilia Osorio Saavedra</t>
  </si>
  <si>
    <t>cliente18@mail.cl</t>
  </si>
  <si>
    <t>Luis Gabriel Barrera Castillo</t>
  </si>
  <si>
    <t>cliente72@mail.cl</t>
  </si>
  <si>
    <t>Alexi Ignacio Azócar Chávez</t>
  </si>
  <si>
    <t>cliente88@mail.cl</t>
  </si>
  <si>
    <t>Carlos Pérez</t>
  </si>
  <si>
    <t>cliente237@mail.cl</t>
  </si>
  <si>
    <t>Alfredo Vega</t>
  </si>
  <si>
    <t>cliente147@mail.cl</t>
  </si>
  <si>
    <t>Felipe Cofré Molina</t>
  </si>
  <si>
    <t>cliente188@mail.cl</t>
  </si>
  <si>
    <t>Metropolitana</t>
  </si>
  <si>
    <t>Samuel Arias Gatica</t>
  </si>
  <si>
    <t>cliente13@mail.cl</t>
  </si>
  <si>
    <t>Ian Dante Tapia Pereira</t>
  </si>
  <si>
    <t>cliente248@mail.cl</t>
  </si>
  <si>
    <t>Hilda Javiera Cofré Lucero</t>
  </si>
  <si>
    <t>cliente142@mail.cl</t>
  </si>
  <si>
    <t>Laura Aguilera Orellana</t>
  </si>
  <si>
    <t>cliente22@mail.cl</t>
  </si>
  <si>
    <t>Carlos David Miranda Cifuentes</t>
  </si>
  <si>
    <t>cliente163@mail.cl</t>
  </si>
  <si>
    <t>Emilia Consuelo González Vallejos</t>
  </si>
  <si>
    <t>cliente247@mail.cl</t>
  </si>
  <si>
    <t>Andrea Josefina Galaz Ríos</t>
  </si>
  <si>
    <t>cliente101@mail.cl</t>
  </si>
  <si>
    <t>Yasna Colomba Olivares Prieto</t>
  </si>
  <si>
    <t>cliente185@mail.cl</t>
  </si>
  <si>
    <t>Nelson Francisco Baeza Fuenzalida</t>
  </si>
  <si>
    <t>cliente157@mail.cl</t>
  </si>
  <si>
    <t>Carolina Pinto</t>
  </si>
  <si>
    <t>cliente120@mail.cl</t>
  </si>
  <si>
    <t>Elsa Llanos</t>
  </si>
  <si>
    <t>cliente229@mail.cl</t>
  </si>
  <si>
    <t>Miguel Avendaño Soto</t>
  </si>
  <si>
    <t>cliente201@mail.cl</t>
  </si>
  <si>
    <t>Gloria Leyton</t>
  </si>
  <si>
    <t>cliente241@mail.cl</t>
  </si>
  <si>
    <t>Ana Mercado Araya</t>
  </si>
  <si>
    <t>cliente9@mail.cl</t>
  </si>
  <si>
    <t>Omar Maximiliano Molina Fuentes</t>
  </si>
  <si>
    <t>cliente34@mail.cl</t>
  </si>
  <si>
    <t>Alfonso José Sáez Barrientos</t>
  </si>
  <si>
    <t>cliente174@mail.cl</t>
  </si>
  <si>
    <t>Víctor Matamala</t>
  </si>
  <si>
    <t>cliente219@mail.cl</t>
  </si>
  <si>
    <t>Bárbara Molina Aranda</t>
  </si>
  <si>
    <t>cliente60@mail.cl</t>
  </si>
  <si>
    <t>Franklin Torres Pastén</t>
  </si>
  <si>
    <t>cliente227@mail.cl</t>
  </si>
  <si>
    <t>Patricio Gonzalo Toledo Arce</t>
  </si>
  <si>
    <t>cliente211@mail.cl</t>
  </si>
  <si>
    <t>Juan Rivera</t>
  </si>
  <si>
    <t>cliente71@mail.cl</t>
  </si>
  <si>
    <t>Germán Bustamante Valenzuela</t>
  </si>
  <si>
    <t>cliente213@mail.cl</t>
  </si>
  <si>
    <t>Benjamín Fernando Olea Retamal</t>
  </si>
  <si>
    <t>cliente76@mail.cl</t>
  </si>
  <si>
    <t>David Javier Muñoz González</t>
  </si>
  <si>
    <t>cliente14@mail.cl</t>
  </si>
  <si>
    <t>Irma Espinoza Araya</t>
  </si>
  <si>
    <t>cliente93@mail.cl</t>
  </si>
  <si>
    <t>Fanny María Gómez Hernández</t>
  </si>
  <si>
    <t>cliente107@mail.cl</t>
  </si>
  <si>
    <t>Alejandra Vega</t>
  </si>
  <si>
    <t>cliente171@mail.cl</t>
  </si>
  <si>
    <t>Miguel Esteban Soto Silva</t>
  </si>
  <si>
    <t>cliente243@mail.cl</t>
  </si>
  <si>
    <t>Raimundo Mario Rubilar Flores</t>
  </si>
  <si>
    <t>cliente62@mail.cl</t>
  </si>
  <si>
    <t>Agustina Rosa Rojas Pastén</t>
  </si>
  <si>
    <t>cliente12@mail.cl</t>
  </si>
  <si>
    <t>Carol Antonia Sandoval Chávez</t>
  </si>
  <si>
    <t>cliente32@mail.cl</t>
  </si>
  <si>
    <t>Benjamín Claudio Riffo Cid</t>
  </si>
  <si>
    <t>cliente177@mail.cl</t>
  </si>
  <si>
    <t>Belén Gamboa Carvajal</t>
  </si>
  <si>
    <t>cliente92@mail.cl</t>
  </si>
  <si>
    <t>Jocelyn Gabriela López Guzmán</t>
  </si>
  <si>
    <t>cliente33@mail.cl</t>
  </si>
  <si>
    <t>Milagros Marisol Tapia Rubio</t>
  </si>
  <si>
    <t>cliente51@mail.cl</t>
  </si>
  <si>
    <t>Bárbara Torres</t>
  </si>
  <si>
    <t>cliente70@mail.cl</t>
  </si>
  <si>
    <t>Sergio Carlos Pavez Díaz</t>
  </si>
  <si>
    <t>cliente166@mail.cl</t>
  </si>
  <si>
    <t>Tomás Johan Vargas Leiva</t>
  </si>
  <si>
    <t>cliente231@mail.cl</t>
  </si>
  <si>
    <t>Patricio Luis Guzmán Herrera</t>
  </si>
  <si>
    <t>cliente159@mail.cl</t>
  </si>
  <si>
    <t>Luis Franco Barros Hermosilla</t>
  </si>
  <si>
    <t>cliente253@mail.cl</t>
  </si>
  <si>
    <t>Josefa Plaza</t>
  </si>
  <si>
    <t>cliente36@mail.cl</t>
  </si>
  <si>
    <t>Claudio Fernando Morales Bravo</t>
  </si>
  <si>
    <t>cliente266@mail.cl</t>
  </si>
  <si>
    <t>Leonor María Romero Fuentes</t>
  </si>
  <si>
    <t>cliente46@mail.cl</t>
  </si>
  <si>
    <t>Alejandra Castro Torres</t>
  </si>
  <si>
    <t>cliente129@mail.cl</t>
  </si>
  <si>
    <t>Pedro Jorge Cartes Pérez</t>
  </si>
  <si>
    <t>cliente182@mail.cl</t>
  </si>
  <si>
    <t>Fernanda Pérez Calderón</t>
  </si>
  <si>
    <t>cliente273@mail.cl</t>
  </si>
  <si>
    <t>Geraldine Irma Álvarez Díaz</t>
  </si>
  <si>
    <t>cliente63@mail.cl</t>
  </si>
  <si>
    <t>Lissette Susan Mella Sánchez</t>
  </si>
  <si>
    <t>cliente25@mail.cl</t>
  </si>
  <si>
    <t>Samuel Arias</t>
  </si>
  <si>
    <t>cliente164@mail.cl</t>
  </si>
  <si>
    <t>Vicente Juan Cáceres Castillo</t>
  </si>
  <si>
    <t>cliente215@mail.cl</t>
  </si>
  <si>
    <t>Samuel Aguilera</t>
  </si>
  <si>
    <t>cliente66@mail.cl</t>
  </si>
  <si>
    <t>Cecilia Edith Muñoz Toro</t>
  </si>
  <si>
    <t>cliente151@mail.cl</t>
  </si>
  <si>
    <t>Luis Guillermo Muñoz Cerda</t>
  </si>
  <si>
    <t>cliente187@mail.cl</t>
  </si>
  <si>
    <t>Gonzalo Felipe Martínez Acevedo</t>
  </si>
  <si>
    <t>cliente155@mail.cl</t>
  </si>
  <si>
    <t>Osvaldo Víctor Rivera Palma</t>
  </si>
  <si>
    <t>cliente279@mail.cl</t>
  </si>
  <si>
    <t>Susana María Soto Véliz</t>
  </si>
  <si>
    <t>cliente52@mail.cl</t>
  </si>
  <si>
    <t>Juan Rodríguez Acevedo</t>
  </si>
  <si>
    <t>cliente131@mail.cl</t>
  </si>
  <si>
    <t>Eduardo Castro Rivera</t>
  </si>
  <si>
    <t>cliente209@mail.cl</t>
  </si>
  <si>
    <t>José Ángel Fuentes Gutiérrez</t>
  </si>
  <si>
    <t>cliente259@mail.cl</t>
  </si>
  <si>
    <t>Andrés Díaz Ortega</t>
  </si>
  <si>
    <t>cliente16@mail.cl</t>
  </si>
  <si>
    <t>Bastián Kevin Oñate Toledo</t>
  </si>
  <si>
    <t>cliente17@mail.cl</t>
  </si>
  <si>
    <t>Angelo Juan Vivanco Escobar</t>
  </si>
  <si>
    <t>cliente8@mail.cl</t>
  </si>
  <si>
    <t>Daniela Francisca Palacios Allendes</t>
  </si>
  <si>
    <t>cliente7@mail.cl</t>
  </si>
  <si>
    <t>Edith Uberlinda Jiménez Valenzuela</t>
  </si>
  <si>
    <t>cliente258@mail.cl</t>
  </si>
  <si>
    <t>Alexis Juan Contreras Vega</t>
  </si>
  <si>
    <t>cliente21@mail.cl</t>
  </si>
  <si>
    <t>Alison Araya-Millán</t>
  </si>
  <si>
    <t>cliente272@mail.cl</t>
  </si>
  <si>
    <t>Constanza Seguel Morales</t>
  </si>
  <si>
    <t>cliente197@mail.cl</t>
  </si>
  <si>
    <t>María Ávalos Vergara</t>
  </si>
  <si>
    <t>cliente91@mail.cl</t>
  </si>
  <si>
    <t>Gonzalo Jorge Muñoz Reyes</t>
  </si>
  <si>
    <t>cliente108@mail.cl</t>
  </si>
  <si>
    <t>Olga Agustina Rojas Rodríguez</t>
  </si>
  <si>
    <t>cliente192@mail.cl</t>
  </si>
  <si>
    <t>Mario Fonseca</t>
  </si>
  <si>
    <t>cliente139@mail.cl</t>
  </si>
  <si>
    <t>Gloria Urra Ramos</t>
  </si>
  <si>
    <t>cliente74@mail.cl</t>
  </si>
  <si>
    <t>Luis Víctor Garrido Cortés</t>
  </si>
  <si>
    <t>cliente119@mail.cl</t>
  </si>
  <si>
    <t>Alejandra Navarro</t>
  </si>
  <si>
    <t>cliente264@mail.cl</t>
  </si>
  <si>
    <t>John Alvarado Albornoz</t>
  </si>
  <si>
    <t>cliente138@mail.cl</t>
  </si>
  <si>
    <t>Sergio Guerrero Salazar</t>
  </si>
  <si>
    <t>cliente135@mail.cl</t>
  </si>
  <si>
    <t>María Soto Castillo</t>
  </si>
  <si>
    <t>cliente128@mail.cl</t>
  </si>
  <si>
    <t>María Bravo Vásquez</t>
  </si>
  <si>
    <t>cliente73@mail.cl</t>
  </si>
  <si>
    <t>Fernanda Carmen Mora Guerrero</t>
  </si>
  <si>
    <t>cliente3@mail.cl</t>
  </si>
  <si>
    <t>Luis Cisternas Apablaza</t>
  </si>
  <si>
    <t>cliente251@mail.cl</t>
  </si>
  <si>
    <t>Carlos Valdés Muñoz</t>
  </si>
  <si>
    <t>cliente214@mail.cl</t>
  </si>
  <si>
    <t>Cristian Marambio Reyes</t>
  </si>
  <si>
    <t>cliente223@mail.cl</t>
  </si>
  <si>
    <t>Marina Carolina Palacios Araneda</t>
  </si>
  <si>
    <t>cliente5@mail.cl</t>
  </si>
  <si>
    <t>Olivia Pino Pizarro</t>
  </si>
  <si>
    <t>cliente149@mail.cl</t>
  </si>
  <si>
    <t>Javier Diego Navarrete Peña</t>
  </si>
  <si>
    <t>cliente47@mail.cl</t>
  </si>
  <si>
    <t>Amparo Javiera Rodríguez Contreras</t>
  </si>
  <si>
    <t>cliente244@mail.cl</t>
  </si>
  <si>
    <t>Sergio Carlos Cerda-Reyes Toledo</t>
  </si>
  <si>
    <t>cliente168@mail.cl</t>
  </si>
  <si>
    <t>Noelia Lizama</t>
  </si>
  <si>
    <t>cliente82@mail.cl</t>
  </si>
  <si>
    <t>Gisela Carol Ávila Suárez</t>
  </si>
  <si>
    <t>cliente180@mail.cl</t>
  </si>
  <si>
    <t>Mariela Urzúa Moreno</t>
  </si>
  <si>
    <t>cliente106@mail.cl</t>
  </si>
  <si>
    <t>Esteban Cárdenas Silva</t>
  </si>
  <si>
    <t>cliente153@mail.cl</t>
  </si>
  <si>
    <t>Hernán Benjamín Lira González</t>
  </si>
  <si>
    <t>cliente111@mail.cl</t>
  </si>
  <si>
    <t>Franco Espinosa</t>
  </si>
  <si>
    <t>cliente54@mail.cl</t>
  </si>
  <si>
    <t>Bárbara Valeria Vergara Solar</t>
  </si>
  <si>
    <t>cliente179@mail.cl</t>
  </si>
  <si>
    <t>Belén Ruth Mansilla Caro</t>
  </si>
  <si>
    <t>cliente49@mail.cl</t>
  </si>
  <si>
    <t>Lucas Álvaro Acevedo Agurto</t>
  </si>
  <si>
    <t>cliente98@mail.cl</t>
  </si>
  <si>
    <t>Mariana Patricia Allende Moya</t>
  </si>
  <si>
    <t>cliente210@mail.cl</t>
  </si>
  <si>
    <t>Maite Díaz</t>
  </si>
  <si>
    <t>cliente270@mail.cl</t>
  </si>
  <si>
    <t>Braulio Diego Mondaca Muñoz</t>
  </si>
  <si>
    <t>cliente158@mail.cl</t>
  </si>
  <si>
    <t>Pablo Arroyo López</t>
  </si>
  <si>
    <t>cliente265@mail.cl</t>
  </si>
  <si>
    <t>Fernando Robles González</t>
  </si>
  <si>
    <t>cliente250@mail.cl</t>
  </si>
  <si>
    <t>Teresa Claudia Tobar Moya</t>
  </si>
  <si>
    <t>cliente124@mail.cl</t>
  </si>
  <si>
    <t>Jorge Enrique Vidal Castillo</t>
  </si>
  <si>
    <t>cliente94@mail.cl</t>
  </si>
  <si>
    <t>Pedro Héctor Toro Soto</t>
  </si>
  <si>
    <t>cliente113@mail.cl</t>
  </si>
  <si>
    <t>Verónica Cartes Rebolledo</t>
  </si>
  <si>
    <t>cliente277@mail.cl</t>
  </si>
  <si>
    <t>Andrea Ahumada Chávez</t>
  </si>
  <si>
    <t>cliente84@mail.cl</t>
  </si>
  <si>
    <t>María Evelyn Rodríguez Mardones</t>
  </si>
  <si>
    <t>cliente240@mail.cl</t>
  </si>
  <si>
    <t>Vilma Leyla Escobar Fuentes</t>
  </si>
  <si>
    <t>cliente83@mail.cl</t>
  </si>
  <si>
    <t>Manuel Muñoz González</t>
  </si>
  <si>
    <t>cliente20@mail.cl</t>
  </si>
  <si>
    <t>Bárbara Tello</t>
  </si>
  <si>
    <t>cliente85@mail.cl</t>
  </si>
  <si>
    <t>Javier Aravena</t>
  </si>
  <si>
    <t>cliente96@mail.cl</t>
  </si>
  <si>
    <t>Blanca Anahí González Retamal</t>
  </si>
  <si>
    <t>cliente230@mail.cl</t>
  </si>
  <si>
    <t>Karin Elena Jaramillo Carrasco</t>
  </si>
  <si>
    <t>cliente112@mail.cl</t>
  </si>
  <si>
    <t>Pedro Pablo Castro Ojeda</t>
  </si>
  <si>
    <t>cliente141@mail.cl</t>
  </si>
  <si>
    <t>Germán González Hermosilla</t>
  </si>
  <si>
    <t>cliente126@mail.cl</t>
  </si>
  <si>
    <t>Teresa María Alvarado Guerra</t>
  </si>
  <si>
    <t>cliente19@mail.cl</t>
  </si>
  <si>
    <t>Tamara Maritza Inostroza Márquez</t>
  </si>
  <si>
    <t>cliente217@mail.cl</t>
  </si>
  <si>
    <t>Marisol Vera-León Riquelme</t>
  </si>
  <si>
    <t>cliente203@mail.cl</t>
  </si>
  <si>
    <t>Margarita Gladys Riquelme Mamani</t>
  </si>
  <si>
    <t>cliente143@mail.cl</t>
  </si>
  <si>
    <t>María Fabiana Navarro Valencia</t>
  </si>
  <si>
    <t>cliente31@mail.cl</t>
  </si>
  <si>
    <t>Héctor Pérez Carrasco</t>
  </si>
  <si>
    <t>cliente208@mail.cl</t>
  </si>
  <si>
    <t>Ricardo Iván Zapata Riquelme</t>
  </si>
  <si>
    <t>cliente27@mail.cl</t>
  </si>
  <si>
    <t>Josefa Berta Salazar Garrido</t>
  </si>
  <si>
    <t>cliente173@mail.cl</t>
  </si>
  <si>
    <t>Carolina Villagrán Miranda</t>
  </si>
  <si>
    <t>cliente175@mail.cl</t>
  </si>
  <si>
    <t>Juan Michel Maldonado Molina</t>
  </si>
  <si>
    <t>cliente115@mail.cl</t>
  </si>
  <si>
    <t>Gloria Pereira González</t>
  </si>
  <si>
    <t>cliente79@mail.cl</t>
  </si>
  <si>
    <t>Juan Vergara Sandoval</t>
  </si>
  <si>
    <t>cliente89@mail.cl</t>
  </si>
  <si>
    <t>Francisca Carla Muñoz Huerta</t>
  </si>
  <si>
    <t>cliente11@mail.cl</t>
  </si>
  <si>
    <t>Carmen Fuenzalida López</t>
  </si>
  <si>
    <t>cliente15@mail.cl</t>
  </si>
  <si>
    <t>Benjamín Abarca</t>
  </si>
  <si>
    <t>cliente170@mail.cl</t>
  </si>
  <si>
    <t>Valeska Godoy Riquelme</t>
  </si>
  <si>
    <t>cliente276@mail.cl</t>
  </si>
  <si>
    <t>Alexandra Fuentes Lara</t>
  </si>
  <si>
    <t>cliente181@mail.cl</t>
  </si>
  <si>
    <t>María Josefina Flores Manríquez</t>
  </si>
  <si>
    <t>cliente146@mail.cl</t>
  </si>
  <si>
    <t>Eduardo Escobar Castro</t>
  </si>
  <si>
    <t>cliente59@mail.cl</t>
  </si>
  <si>
    <t>Mario Daniel Hernández Álvarez</t>
  </si>
  <si>
    <t>cliente57@mail.cl</t>
  </si>
  <si>
    <t>Cristian Daniel Muñoz Morales</t>
  </si>
  <si>
    <t>cliente152@mail.cl</t>
  </si>
  <si>
    <t>Nicolás Soto Aguilera</t>
  </si>
  <si>
    <t>cliente262@mail.cl</t>
  </si>
  <si>
    <t>Jorge Giovanny Valencia Ramírez</t>
  </si>
  <si>
    <t>cliente29@mail.cl</t>
  </si>
  <si>
    <t>Luis Carvajal</t>
  </si>
  <si>
    <t>cliente161@mail.cl</t>
  </si>
  <si>
    <t>María Silvia Parra Espinosa</t>
  </si>
  <si>
    <t>cliente236@mail.cl</t>
  </si>
  <si>
    <t>José Alejandro Araya Barros</t>
  </si>
  <si>
    <t>cliente194@mail.cl</t>
  </si>
  <si>
    <t>Ariel Andrade</t>
  </si>
  <si>
    <t>cliente245@mail.cl</t>
  </si>
  <si>
    <t>María Amanda Vargas Alarcón</t>
  </si>
  <si>
    <t>cliente77@mail.cl</t>
  </si>
  <si>
    <t>Matías Kevin Pérez Escalona</t>
  </si>
  <si>
    <t>cliente42@mail.cl</t>
  </si>
  <si>
    <t>Flor Samantha Méndez Cuevas</t>
  </si>
  <si>
    <t>cliente134@mail.cl</t>
  </si>
  <si>
    <t>Elia Alicia Araya Mora</t>
  </si>
  <si>
    <t>cliente190@mail.cl</t>
  </si>
  <si>
    <t>Sara Saavedra</t>
  </si>
  <si>
    <t>cliente133@mail.cl</t>
  </si>
  <si>
    <t>Patricia Antonia García Muñoz</t>
  </si>
  <si>
    <t>cliente183@mail.cl</t>
  </si>
  <si>
    <t>Luis Chávez Tello</t>
  </si>
  <si>
    <t>cliente233@mail.cl</t>
  </si>
  <si>
    <t>Patricia Raquel Reyes Parra</t>
  </si>
  <si>
    <t>cliente150@mail.cl</t>
  </si>
  <si>
    <t>Fabián Cristian Hormazábal Villablanca</t>
  </si>
  <si>
    <t>cliente199@mail.cl</t>
  </si>
  <si>
    <t>Stephanie Hilda Muñoz Elgueta</t>
  </si>
  <si>
    <t>cliente200@mail.cl</t>
  </si>
  <si>
    <t>Vanessa Silva Campos</t>
  </si>
  <si>
    <t>cliente257@mail.cl</t>
  </si>
  <si>
    <t>Luisa Pía Figueroa Moreno</t>
  </si>
  <si>
    <t>cliente24@mail.cl</t>
  </si>
  <si>
    <t>Anahí Ana Cornejo Mendoza</t>
  </si>
  <si>
    <t>cliente78@mail.cl</t>
  </si>
  <si>
    <t>María Mayte González Villegas</t>
  </si>
  <si>
    <t>cliente156@mail.cl</t>
  </si>
  <si>
    <t>Manuel Alonso Núñez Santibáñez</t>
  </si>
  <si>
    <t>cliente140@mail.cl</t>
  </si>
  <si>
    <t>Héctor Benjamín Sánchez Muñoz</t>
  </si>
  <si>
    <t>cliente10@mail.cl</t>
  </si>
  <si>
    <t>Manuel Tomás Espinoza Díaz</t>
  </si>
  <si>
    <t>cliente56@mail.cl</t>
  </si>
  <si>
    <t>Gaspar Cristian Vega Venegas</t>
  </si>
  <si>
    <t>cliente280@mail.cl</t>
  </si>
  <si>
    <t>David Márquez</t>
  </si>
  <si>
    <t>cliente198@mail.cl</t>
  </si>
  <si>
    <t>Luz Pía Guerra Castillo</t>
  </si>
  <si>
    <t>cliente154@mail.cl</t>
  </si>
  <si>
    <t>Carolina Patricia Espinoza Berríos</t>
  </si>
  <si>
    <t>cliente275@mail.cl</t>
  </si>
  <si>
    <t>Pablo Salazar</t>
  </si>
  <si>
    <t>cliente235@mail.cl</t>
  </si>
  <si>
    <t>Julia Solange Maturana Cáceres</t>
  </si>
  <si>
    <t>cliente28@mail.cl</t>
  </si>
  <si>
    <t>Juan Morales Sánchez</t>
  </si>
  <si>
    <t>cliente48@mail.cl</t>
  </si>
  <si>
    <t>Etiquetas de fila</t>
  </si>
  <si>
    <t>Producto</t>
  </si>
  <si>
    <t>Categoria</t>
  </si>
  <si>
    <t>Ciudad</t>
  </si>
  <si>
    <t>Region</t>
  </si>
  <si>
    <t>Total_ventas</t>
  </si>
  <si>
    <t>Suma de Total_ventas</t>
  </si>
  <si>
    <t>Nombres</t>
  </si>
  <si>
    <t>Valor_descuento</t>
  </si>
  <si>
    <t>Total_Productos</t>
  </si>
  <si>
    <t>Suma de cantidad</t>
  </si>
  <si>
    <t>Compras por cliente</t>
  </si>
  <si>
    <t>Total descuentos</t>
  </si>
  <si>
    <t>Valor total comprado</t>
  </si>
  <si>
    <t>Total general</t>
  </si>
  <si>
    <t>Etiquetas de columna</t>
  </si>
  <si>
    <t>ID de vendedor</t>
  </si>
  <si>
    <t xml:space="preserve">Total </t>
  </si>
  <si>
    <t>Vendedores</t>
  </si>
  <si>
    <t>Categoria de cliente</t>
  </si>
  <si>
    <t>Promedio Venta</t>
  </si>
  <si>
    <t>Productos por ciudad</t>
  </si>
  <si>
    <t>2023</t>
  </si>
  <si>
    <t>2024</t>
  </si>
  <si>
    <t>2025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</si>
  <si>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</si>
  <si>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</si>
  <si>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</si>
  <si>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</si>
  <si>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</si>
  <si>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</si>
  <si>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</si>
  <si>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</si>
  <si>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</si>
  <si>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</si>
  <si>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</si>
  <si>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</si>
  <si>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Nivel</t>
  </si>
  <si>
    <t>Nuevo</t>
  </si>
  <si>
    <t>Frecuente</t>
  </si>
  <si>
    <t>Premium</t>
  </si>
  <si>
    <t>Ventas totales por canal de compra</t>
  </si>
  <si>
    <t>Edad cliente</t>
  </si>
  <si>
    <t>Numero de articulos por genero</t>
  </si>
  <si>
    <t>Evolucion de ventas a travez del año</t>
  </si>
  <si>
    <t>Ventas totales por region</t>
  </si>
  <si>
    <t>Fraccion de ventas totales por categoria</t>
  </si>
  <si>
    <t>Ventas Totales</t>
  </si>
  <si>
    <t>Ventas totales 2023</t>
  </si>
  <si>
    <t>Ventas totales 2024</t>
  </si>
  <si>
    <t>Ventas totales 2025</t>
  </si>
  <si>
    <t>Valor venta promedio</t>
  </si>
  <si>
    <t>Mes con mayores ventas</t>
  </si>
  <si>
    <t>Canal de mayor ventas</t>
  </si>
  <si>
    <t>Region con mayores ventas</t>
  </si>
  <si>
    <t>Umbrales de tipo</t>
  </si>
  <si>
    <t>Promedio por compra</t>
  </si>
  <si>
    <t>Total de articulos comprados</t>
  </si>
  <si>
    <t>Cuenta de Nombres</t>
  </si>
  <si>
    <t xml:space="preserve"> Compras por cliente</t>
  </si>
  <si>
    <t>Total comprado</t>
  </si>
  <si>
    <t>Valor promedio por compra</t>
  </si>
  <si>
    <t>Mayores compradores</t>
  </si>
  <si>
    <t>Lista de clientes</t>
  </si>
  <si>
    <t>Clientes por categoria</t>
  </si>
  <si>
    <t>Genero</t>
  </si>
  <si>
    <t>Recuento de Genero</t>
  </si>
  <si>
    <t>Clientes por genero</t>
  </si>
  <si>
    <t>Junior</t>
  </si>
  <si>
    <t>Semi senior</t>
  </si>
  <si>
    <t>Senior</t>
  </si>
  <si>
    <t>total de ventas por nivel</t>
  </si>
  <si>
    <t>cantidad por nivel</t>
  </si>
  <si>
    <t>Total Belleza</t>
  </si>
  <si>
    <t>Total Electrohogar</t>
  </si>
  <si>
    <t>Total Calzado</t>
  </si>
  <si>
    <t>Total Vestuario</t>
  </si>
  <si>
    <t>Total Tecnología</t>
  </si>
  <si>
    <t>Total productos vendidos</t>
  </si>
  <si>
    <t>Producto mas vendido</t>
  </si>
  <si>
    <t>Region con mas P. vendidos</t>
  </si>
  <si>
    <t>Categorias por region</t>
  </si>
  <si>
    <t>Promedio descuento</t>
  </si>
  <si>
    <t>Articulos por compra</t>
  </si>
  <si>
    <t>Promedio de Total descuentos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</si>
</sst>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theme="0"/>
      </patternFill>
    </fill>
  </fills>
  <borders count="29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thin">
        <color theme="4"/>
      </bottom>
      <diagonal/>
    </border>
    <border>
      <left/>
      <right style="medium">
        <color indexed="64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medium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7"/>
      </top>
      <bottom style="thin">
        <color theme="7" tint="0.79998168889431442"/>
      </bottom>
      <diagonal/>
    </border>
    <border>
      <left/>
      <right style="medium">
        <color indexed="64"/>
      </right>
      <top style="thin">
        <color theme="7" tint="0.79998168889431442"/>
      </top>
      <bottom style="thin">
        <color theme="7"/>
      </bottom>
      <diagonal/>
    </border>
    <border>
      <left/>
      <right style="medium">
        <color indexed="64"/>
      </right>
      <top style="thin">
        <color theme="7" tint="0.59999389629810485"/>
      </top>
      <bottom style="thin">
        <color theme="7" tint="0.59999389629810485"/>
      </bottom>
      <diagonal/>
    </border>
    <border>
      <left/>
      <right style="medium">
        <color indexed="64"/>
      </right>
      <top style="thin">
        <color theme="7" tint="0.79998168889431442"/>
      </top>
      <bottom style="thin">
        <color theme="7" tint="0.79998168889431442"/>
      </bottom>
      <diagonal/>
    </border>
    <border>
      <left/>
      <right style="medium">
        <color indexed="64"/>
      </right>
      <top style="thin">
        <color theme="7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0" xfId="0" pivotButton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0" xfId="1" applyFont="1"/>
    <xf numFmtId="0" fontId="1" fillId="0" borderId="4" xfId="0" applyFont="1" applyBorder="1"/>
    <xf numFmtId="0" fontId="1" fillId="0" borderId="5" xfId="0" applyFont="1" applyBorder="1"/>
    <xf numFmtId="43" fontId="0" fillId="0" borderId="4" xfId="2" applyFont="1" applyBorder="1"/>
    <xf numFmtId="43" fontId="0" fillId="0" borderId="5" xfId="2" applyFont="1" applyBorder="1"/>
    <xf numFmtId="0" fontId="1" fillId="0" borderId="7" xfId="0" applyFont="1" applyBorder="1"/>
    <xf numFmtId="164" fontId="0" fillId="0" borderId="9" xfId="2" applyNumberFormat="1" applyFont="1" applyBorder="1"/>
    <xf numFmtId="0" fontId="0" fillId="0" borderId="7" xfId="0" applyBorder="1" applyAlignment="1">
      <alignment horizontal="center"/>
    </xf>
    <xf numFmtId="165" fontId="0" fillId="0" borderId="0" xfId="2" applyNumberFormat="1" applyFont="1"/>
    <xf numFmtId="0" fontId="0" fillId="2" borderId="2" xfId="0" applyFill="1" applyBorder="1"/>
    <xf numFmtId="0" fontId="0" fillId="0" borderId="3" xfId="0" applyBorder="1"/>
    <xf numFmtId="0" fontId="0" fillId="0" borderId="13" xfId="0" pivotButton="1" applyBorder="1" applyAlignment="1">
      <alignment horizontal="center" vertical="center" wrapText="1"/>
    </xf>
    <xf numFmtId="0" fontId="0" fillId="0" borderId="13" xfId="0" applyBorder="1" applyAlignment="1">
      <alignment horizontal="left"/>
    </xf>
    <xf numFmtId="165" fontId="0" fillId="0" borderId="14" xfId="0" applyNumberFormat="1" applyBorder="1"/>
    <xf numFmtId="0" fontId="0" fillId="0" borderId="15" xfId="0" applyBorder="1" applyAlignment="1">
      <alignment horizontal="left"/>
    </xf>
    <xf numFmtId="165" fontId="0" fillId="0" borderId="16" xfId="0" applyNumberFormat="1" applyBorder="1"/>
    <xf numFmtId="0" fontId="0" fillId="0" borderId="16" xfId="0" applyBorder="1"/>
    <xf numFmtId="165" fontId="0" fillId="0" borderId="17" xfId="0" applyNumberFormat="1" applyBorder="1"/>
    <xf numFmtId="0" fontId="1" fillId="4" borderId="21" xfId="0" applyFont="1" applyFill="1" applyBorder="1" applyAlignment="1">
      <alignment horizontal="left"/>
    </xf>
    <xf numFmtId="0" fontId="1" fillId="0" borderId="18" xfId="0" applyFont="1" applyBorder="1" applyAlignment="1">
      <alignment horizontal="center" vertical="center" wrapText="1"/>
    </xf>
    <xf numFmtId="0" fontId="0" fillId="2" borderId="19" xfId="0" applyFill="1" applyBorder="1"/>
    <xf numFmtId="0" fontId="0" fillId="0" borderId="20" xfId="0" applyBorder="1"/>
    <xf numFmtId="0" fontId="0" fillId="0" borderId="13" xfId="0" applyBorder="1" applyAlignment="1">
      <alignment horizontal="left" vertical="center"/>
    </xf>
    <xf numFmtId="0" fontId="0" fillId="0" borderId="17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pivotButton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14" xfId="0" applyBorder="1"/>
    <xf numFmtId="0" fontId="0" fillId="0" borderId="14" xfId="0" applyBorder="1" applyAlignment="1">
      <alignment vertical="center" wrapText="1"/>
    </xf>
    <xf numFmtId="0" fontId="0" fillId="0" borderId="22" xfId="0" applyBorder="1"/>
    <xf numFmtId="0" fontId="0" fillId="0" borderId="13" xfId="0" pivotButton="1" applyBorder="1"/>
    <xf numFmtId="0" fontId="1" fillId="0" borderId="13" xfId="0" pivotButton="1" applyFont="1" applyBorder="1"/>
    <xf numFmtId="0" fontId="1" fillId="0" borderId="0" xfId="0" pivotButton="1" applyFont="1"/>
    <xf numFmtId="0" fontId="1" fillId="0" borderId="0" xfId="0" applyFont="1"/>
    <xf numFmtId="0" fontId="1" fillId="0" borderId="23" xfId="0" applyFont="1" applyBorder="1"/>
    <xf numFmtId="0" fontId="1" fillId="0" borderId="13" xfId="0" pivotButton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4" xfId="0" applyFont="1" applyBorder="1" applyAlignment="1">
      <alignment horizontal="center"/>
    </xf>
    <xf numFmtId="0" fontId="0" fillId="3" borderId="25" xfId="0" applyFill="1" applyBorder="1"/>
    <xf numFmtId="0" fontId="0" fillId="0" borderId="26" xfId="0" applyBorder="1"/>
    <xf numFmtId="0" fontId="0" fillId="0" borderId="1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25" xfId="0" applyFill="1" applyBorder="1" applyAlignment="1">
      <alignment vertical="center"/>
    </xf>
    <xf numFmtId="0" fontId="0" fillId="0" borderId="26" xfId="0" applyBorder="1" applyAlignment="1">
      <alignment vertical="center"/>
    </xf>
    <xf numFmtId="0" fontId="1" fillId="4" borderId="27" xfId="0" applyFont="1" applyFill="1" applyBorder="1"/>
    <xf numFmtId="0" fontId="0" fillId="0" borderId="13" xfId="0" pivotButton="1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2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/>
    </xf>
    <xf numFmtId="43" fontId="0" fillId="0" borderId="0" xfId="2" applyFont="1"/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NumberFormat="1"/>
    <xf numFmtId="43" fontId="0" fillId="0" borderId="0" xfId="0" applyNumberFormat="1"/>
    <xf numFmtId="0" fontId="0" fillId="0" borderId="0" xfId="0" applyBorder="1"/>
    <xf numFmtId="0" fontId="0" fillId="0" borderId="0" xfId="0" applyNumberFormat="1" applyBorder="1"/>
    <xf numFmtId="0" fontId="0" fillId="0" borderId="14" xfId="0" applyNumberFormat="1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0" xfId="0" pivotButton="1" applyBorder="1"/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10" fontId="0" fillId="0" borderId="0" xfId="0" applyNumberFormat="1"/>
  </cellXfs>
  <cellStyles count="3">
    <cellStyle name="Millares" xfId="2" builtinId="3"/>
    <cellStyle name="Normal" xfId="0" builtinId="0"/>
    <cellStyle name="Porcentaje" xfId="1" builtinId="5"/>
  </cellStyles>
  <dxfs count="167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5" formatCode="_-* #,##0.00_-;\-* #,##0.00_-;_-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numFmt numFmtId="0" formatCode="General"/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left" vertical="bottom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[Trabajo modulo 2 sence.xlsx]Ventas!TablaDinámica3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Ventas!$C$41:$C$42</c:f>
              <c:strCache>
                <c:ptCount val="1"/>
                <c:pt idx="0">
                  <c:v>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5A-42BA-9A92-6E9DD6F6C1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5A-42BA-9A92-6E9DD6F6C1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5A-42BA-9A92-6E9DD6F6C1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5A-42BA-9A92-6E9DD6F6C1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5A-42BA-9A92-6E9DD6F6C13C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Ventas!$B$43:$B$48</c:f>
              <c:strCache>
                <c:ptCount val="5"/>
                <c:pt idx="0">
                  <c:v>Belleza</c:v>
                </c:pt>
                <c:pt idx="1">
                  <c:v>Calzado</c:v>
                </c:pt>
                <c:pt idx="2">
                  <c:v>Electrohogar</c:v>
                </c:pt>
                <c:pt idx="3">
                  <c:v>Tecnología</c:v>
                </c:pt>
                <c:pt idx="4">
                  <c:v>Vestuario</c:v>
                </c:pt>
              </c:strCache>
            </c:strRef>
          </c:cat>
          <c:val>
            <c:numRef>
              <c:f>Ventas!$C$43:$C$48</c:f>
              <c:numCache>
                <c:formatCode>General</c:formatCode>
                <c:ptCount val="5"/>
                <c:pt idx="0">
                  <c:v>2651000</c:v>
                </c:pt>
                <c:pt idx="1">
                  <c:v>1817750</c:v>
                </c:pt>
                <c:pt idx="2">
                  <c:v>114410000</c:v>
                </c:pt>
                <c:pt idx="3">
                  <c:v>78832500</c:v>
                </c:pt>
                <c:pt idx="4">
                  <c:v>2243450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8-4BC1-A77C-861723B2074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[Trabajo modulo 2 sence.xlsx]Ventas!TablaDinámica5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Evolucion de ventas totales por canal de compra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Ventas!$H$41:$H$42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Ventas!$G$43:$G$79</c:f>
              <c:multiLvlStrCache>
                <c:ptCount val="33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Ventas!$H$43:$H$79</c:f>
              <c:numCache>
                <c:formatCode>General</c:formatCode>
                <c:ptCount val="33"/>
                <c:pt idx="0">
                  <c:v>3596000</c:v>
                </c:pt>
                <c:pt idx="1">
                  <c:v>4961750</c:v>
                </c:pt>
                <c:pt idx="2">
                  <c:v>12378150</c:v>
                </c:pt>
                <c:pt idx="3">
                  <c:v>230500</c:v>
                </c:pt>
                <c:pt idx="4">
                  <c:v>5337500</c:v>
                </c:pt>
                <c:pt idx="5">
                  <c:v>2195000</c:v>
                </c:pt>
                <c:pt idx="6">
                  <c:v>1605000</c:v>
                </c:pt>
                <c:pt idx="7">
                  <c:v>2042500</c:v>
                </c:pt>
                <c:pt idx="8">
                  <c:v>11580250</c:v>
                </c:pt>
                <c:pt idx="9">
                  <c:v>1374750</c:v>
                </c:pt>
                <c:pt idx="10">
                  <c:v>9809500</c:v>
                </c:pt>
                <c:pt idx="11">
                  <c:v>2448300</c:v>
                </c:pt>
                <c:pt idx="12">
                  <c:v>201500</c:v>
                </c:pt>
                <c:pt idx="13">
                  <c:v>4439250</c:v>
                </c:pt>
                <c:pt idx="14">
                  <c:v>5770000</c:v>
                </c:pt>
                <c:pt idx="15">
                  <c:v>3735000</c:v>
                </c:pt>
                <c:pt idx="16">
                  <c:v>272500</c:v>
                </c:pt>
                <c:pt idx="17">
                  <c:v>6283000</c:v>
                </c:pt>
                <c:pt idx="18">
                  <c:v>2608250</c:v>
                </c:pt>
                <c:pt idx="19">
                  <c:v>8386900</c:v>
                </c:pt>
                <c:pt idx="20">
                  <c:v>4536500</c:v>
                </c:pt>
                <c:pt idx="21">
                  <c:v>4017000</c:v>
                </c:pt>
                <c:pt idx="22">
                  <c:v>7511400</c:v>
                </c:pt>
                <c:pt idx="23">
                  <c:v>107250</c:v>
                </c:pt>
                <c:pt idx="24">
                  <c:v>2627750</c:v>
                </c:pt>
                <c:pt idx="25">
                  <c:v>2830250</c:v>
                </c:pt>
                <c:pt idx="26">
                  <c:v>6857250</c:v>
                </c:pt>
                <c:pt idx="27">
                  <c:v>455000</c:v>
                </c:pt>
                <c:pt idx="28">
                  <c:v>1097500</c:v>
                </c:pt>
                <c:pt idx="29">
                  <c:v>3038500</c:v>
                </c:pt>
                <c:pt idx="30">
                  <c:v>7546000</c:v>
                </c:pt>
                <c:pt idx="31">
                  <c:v>2501600</c:v>
                </c:pt>
                <c:pt idx="32">
                  <c:v>3189250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D-4262-9F00-24A4777A3248}"/>
            </c:ext>
          </c:extLst>
        </c:ser>
        <c:ser>
          <c:idx val="1"/>
          <c:order val="1"/>
          <c:tx>
            <c:strRef>
              <c:f>Ventas!$I$41:$I$42</c:f>
              <c:strCache>
                <c:ptCount val="1"/>
                <c:pt idx="0">
                  <c:v>Tienda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Ventas!$G$43:$G$79</c:f>
              <c:multiLvlStrCache>
                <c:ptCount val="33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Ventas!$I$43:$I$79</c:f>
              <c:numCache>
                <c:formatCode>General</c:formatCode>
                <c:ptCount val="33"/>
                <c:pt idx="0">
                  <c:v>5204000</c:v>
                </c:pt>
                <c:pt idx="1">
                  <c:v>10419100</c:v>
                </c:pt>
                <c:pt idx="2">
                  <c:v>11560800</c:v>
                </c:pt>
                <c:pt idx="3">
                  <c:v>7423900</c:v>
                </c:pt>
                <c:pt idx="4">
                  <c:v>11123650</c:v>
                </c:pt>
                <c:pt idx="5">
                  <c:v>13001600</c:v>
                </c:pt>
                <c:pt idx="6">
                  <c:v>10709500</c:v>
                </c:pt>
                <c:pt idx="7">
                  <c:v>11653700</c:v>
                </c:pt>
                <c:pt idx="8">
                  <c:v>5884000</c:v>
                </c:pt>
                <c:pt idx="9">
                  <c:v>8958800</c:v>
                </c:pt>
                <c:pt idx="10">
                  <c:v>13038000</c:v>
                </c:pt>
                <c:pt idx="11">
                  <c:v>11785500</c:v>
                </c:pt>
                <c:pt idx="12">
                  <c:v>13521250</c:v>
                </c:pt>
                <c:pt idx="13">
                  <c:v>4230550</c:v>
                </c:pt>
                <c:pt idx="14">
                  <c:v>10010000</c:v>
                </c:pt>
                <c:pt idx="15">
                  <c:v>9657850</c:v>
                </c:pt>
                <c:pt idx="16">
                  <c:v>19434900</c:v>
                </c:pt>
                <c:pt idx="17">
                  <c:v>13664250</c:v>
                </c:pt>
                <c:pt idx="18">
                  <c:v>10289000</c:v>
                </c:pt>
                <c:pt idx="19">
                  <c:v>8908800</c:v>
                </c:pt>
                <c:pt idx="20">
                  <c:v>4660000</c:v>
                </c:pt>
                <c:pt idx="21">
                  <c:v>7000050</c:v>
                </c:pt>
                <c:pt idx="22">
                  <c:v>10519500</c:v>
                </c:pt>
                <c:pt idx="23">
                  <c:v>16960000</c:v>
                </c:pt>
                <c:pt idx="24">
                  <c:v>12405250</c:v>
                </c:pt>
                <c:pt idx="25">
                  <c:v>10127150</c:v>
                </c:pt>
                <c:pt idx="26">
                  <c:v>5717750</c:v>
                </c:pt>
                <c:pt idx="27">
                  <c:v>9507900</c:v>
                </c:pt>
                <c:pt idx="28">
                  <c:v>10069050</c:v>
                </c:pt>
                <c:pt idx="29">
                  <c:v>10831150</c:v>
                </c:pt>
                <c:pt idx="30">
                  <c:v>15395800</c:v>
                </c:pt>
                <c:pt idx="31">
                  <c:v>10656550</c:v>
                </c:pt>
                <c:pt idx="32">
                  <c:v>7839500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D-4262-9F00-24A4777A3248}"/>
            </c:ext>
          </c:extLst>
        </c:ser>
        <c:ser>
          <c:idx val="2"/>
          <c:order val="2"/>
          <c:tx>
            <c:strRef>
              <c:f>Ventas!$J$41:$J$42</c:f>
              <c:strCache>
                <c:ptCount val="1"/>
                <c:pt idx="0">
                  <c:v>Web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Ventas!$G$43:$G$79</c:f>
              <c:multiLvlStrCache>
                <c:ptCount val="33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Ventas!$J$43:$J$79</c:f>
              <c:numCache>
                <c:formatCode>General</c:formatCode>
                <c:ptCount val="33"/>
                <c:pt idx="0">
                  <c:v>13417500</c:v>
                </c:pt>
                <c:pt idx="1">
                  <c:v>8220550</c:v>
                </c:pt>
                <c:pt idx="2">
                  <c:v>2518500</c:v>
                </c:pt>
                <c:pt idx="3">
                  <c:v>10298500</c:v>
                </c:pt>
                <c:pt idx="4">
                  <c:v>5936600</c:v>
                </c:pt>
                <c:pt idx="5">
                  <c:v>10778850</c:v>
                </c:pt>
                <c:pt idx="6">
                  <c:v>7933100</c:v>
                </c:pt>
                <c:pt idx="7">
                  <c:v>10755750</c:v>
                </c:pt>
                <c:pt idx="8">
                  <c:v>11744200</c:v>
                </c:pt>
                <c:pt idx="9">
                  <c:v>7465300</c:v>
                </c:pt>
                <c:pt idx="10">
                  <c:v>5755000</c:v>
                </c:pt>
                <c:pt idx="11">
                  <c:v>12076800</c:v>
                </c:pt>
                <c:pt idx="12">
                  <c:v>5529800</c:v>
                </c:pt>
                <c:pt idx="13">
                  <c:v>9165000</c:v>
                </c:pt>
                <c:pt idx="14">
                  <c:v>3384100</c:v>
                </c:pt>
                <c:pt idx="15">
                  <c:v>5734100</c:v>
                </c:pt>
                <c:pt idx="16">
                  <c:v>2431750</c:v>
                </c:pt>
                <c:pt idx="17">
                  <c:v>8857500</c:v>
                </c:pt>
                <c:pt idx="18">
                  <c:v>1905200</c:v>
                </c:pt>
                <c:pt idx="19">
                  <c:v>3897700</c:v>
                </c:pt>
                <c:pt idx="20">
                  <c:v>5306650</c:v>
                </c:pt>
                <c:pt idx="21">
                  <c:v>12241500</c:v>
                </c:pt>
                <c:pt idx="22">
                  <c:v>4295400</c:v>
                </c:pt>
                <c:pt idx="23">
                  <c:v>10499000</c:v>
                </c:pt>
                <c:pt idx="24">
                  <c:v>8565700</c:v>
                </c:pt>
                <c:pt idx="25">
                  <c:v>6330750</c:v>
                </c:pt>
                <c:pt idx="26">
                  <c:v>12552750</c:v>
                </c:pt>
                <c:pt idx="27">
                  <c:v>8999500</c:v>
                </c:pt>
                <c:pt idx="28">
                  <c:v>10323450</c:v>
                </c:pt>
                <c:pt idx="29">
                  <c:v>5525350</c:v>
                </c:pt>
                <c:pt idx="30">
                  <c:v>2223000</c:v>
                </c:pt>
                <c:pt idx="31">
                  <c:v>11881000</c:v>
                </c:pt>
                <c:pt idx="32">
                  <c:v>10860000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ED-4262-9F00-24A4777A3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0378479"/>
        <c:axId val="1720378959"/>
      </c:barChart>
      <c:catAx>
        <c:axId val="172037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20378959"/>
        <c:crosses val="autoZero"/>
        <c:auto val="1"/>
        <c:lblAlgn val="ctr"/>
        <c:lblOffset val="100"/>
        <c:noMultiLvlLbl val="0"/>
      </c:catAx>
      <c:valAx>
        <c:axId val="172037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2037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[Trabajo modulo 2 sence.xlsx]Ventas!TablaDinámica7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Ventas</a:t>
            </a:r>
            <a:r>
              <a:rPr lang="es-CL" baseline="0"/>
              <a:t> totales por region y año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Ventas!$M$41:$M$42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Ventas!$L$43:$L$51</c:f>
              <c:strCache>
                <c:ptCount val="8"/>
                <c:pt idx="0">
                  <c:v>Antofagasta</c:v>
                </c:pt>
                <c:pt idx="1">
                  <c:v>Biobío</c:v>
                </c:pt>
                <c:pt idx="2">
                  <c:v>Coquimbo</c:v>
                </c:pt>
                <c:pt idx="3">
                  <c:v>La Araucanía</c:v>
                </c:pt>
                <c:pt idx="4">
                  <c:v>Los Lagos</c:v>
                </c:pt>
                <c:pt idx="5">
                  <c:v>Metropolitana</c:v>
                </c:pt>
                <c:pt idx="6">
                  <c:v>O'Higgins</c:v>
                </c:pt>
                <c:pt idx="7">
                  <c:v>Valparaíso</c:v>
                </c:pt>
              </c:strCache>
            </c:strRef>
          </c:cat>
          <c:val>
            <c:numRef>
              <c:f>Ventas!$M$43:$M$51</c:f>
              <c:numCache>
                <c:formatCode>General</c:formatCode>
                <c:ptCount val="8"/>
                <c:pt idx="0">
                  <c:v>28579400</c:v>
                </c:pt>
                <c:pt idx="1">
                  <c:v>74842050</c:v>
                </c:pt>
                <c:pt idx="2">
                  <c:v>6334600</c:v>
                </c:pt>
                <c:pt idx="3">
                  <c:v>29956600</c:v>
                </c:pt>
                <c:pt idx="4">
                  <c:v>37775950</c:v>
                </c:pt>
                <c:pt idx="5">
                  <c:v>31618750</c:v>
                </c:pt>
                <c:pt idx="6">
                  <c:v>26349200</c:v>
                </c:pt>
                <c:pt idx="7">
                  <c:v>49765850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7-4AF1-A400-BACB881B28B5}"/>
            </c:ext>
          </c:extLst>
        </c:ser>
        <c:ser>
          <c:idx val="1"/>
          <c:order val="1"/>
          <c:tx>
            <c:strRef>
              <c:f>Ventas!$N$41:$N$42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Ventas!$L$43:$L$51</c:f>
              <c:strCache>
                <c:ptCount val="8"/>
                <c:pt idx="0">
                  <c:v>Antofagasta</c:v>
                </c:pt>
                <c:pt idx="1">
                  <c:v>Biobío</c:v>
                </c:pt>
                <c:pt idx="2">
                  <c:v>Coquimbo</c:v>
                </c:pt>
                <c:pt idx="3">
                  <c:v>La Araucanía</c:v>
                </c:pt>
                <c:pt idx="4">
                  <c:v>Los Lagos</c:v>
                </c:pt>
                <c:pt idx="5">
                  <c:v>Metropolitana</c:v>
                </c:pt>
                <c:pt idx="6">
                  <c:v>O'Higgins</c:v>
                </c:pt>
                <c:pt idx="7">
                  <c:v>Valparaíso</c:v>
                </c:pt>
              </c:strCache>
            </c:strRef>
          </c:cat>
          <c:val>
            <c:numRef>
              <c:f>Ventas!$N$43:$N$51</c:f>
              <c:numCache>
                <c:formatCode>General</c:formatCode>
                <c:ptCount val="8"/>
                <c:pt idx="0">
                  <c:v>29392800</c:v>
                </c:pt>
                <c:pt idx="1">
                  <c:v>67315500</c:v>
                </c:pt>
                <c:pt idx="2">
                  <c:v>4489500</c:v>
                </c:pt>
                <c:pt idx="3">
                  <c:v>12705450</c:v>
                </c:pt>
                <c:pt idx="4">
                  <c:v>23198800</c:v>
                </c:pt>
                <c:pt idx="5">
                  <c:v>18108750</c:v>
                </c:pt>
                <c:pt idx="6">
                  <c:v>30579450</c:v>
                </c:pt>
                <c:pt idx="7">
                  <c:v>64182150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4B7-4AF1-A400-BACB881B28B5}"/>
            </c:ext>
          </c:extLst>
        </c:ser>
        <c:ser>
          <c:idx val="2"/>
          <c:order val="2"/>
          <c:tx>
            <c:strRef>
              <c:f>Ventas!$O$41:$O$42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Ventas!$L$43:$L$51</c:f>
              <c:strCache>
                <c:ptCount val="8"/>
                <c:pt idx="0">
                  <c:v>Antofagasta</c:v>
                </c:pt>
                <c:pt idx="1">
                  <c:v>Biobío</c:v>
                </c:pt>
                <c:pt idx="2">
                  <c:v>Coquimbo</c:v>
                </c:pt>
                <c:pt idx="3">
                  <c:v>La Araucanía</c:v>
                </c:pt>
                <c:pt idx="4">
                  <c:v>Los Lagos</c:v>
                </c:pt>
                <c:pt idx="5">
                  <c:v>Metropolitana</c:v>
                </c:pt>
                <c:pt idx="6">
                  <c:v>O'Higgins</c:v>
                </c:pt>
                <c:pt idx="7">
                  <c:v>Valparaíso</c:v>
                </c:pt>
              </c:strCache>
            </c:strRef>
          </c:cat>
          <c:val>
            <c:numRef>
              <c:f>Ventas!$O$43:$O$51</c:f>
              <c:numCache>
                <c:formatCode>General</c:formatCode>
                <c:ptCount val="8"/>
                <c:pt idx="0">
                  <c:v>28200050</c:v>
                </c:pt>
                <c:pt idx="1">
                  <c:v>43459650</c:v>
                </c:pt>
                <c:pt idx="2">
                  <c:v>1812400</c:v>
                </c:pt>
                <c:pt idx="3">
                  <c:v>12381150</c:v>
                </c:pt>
                <c:pt idx="4">
                  <c:v>23540400</c:v>
                </c:pt>
                <c:pt idx="5">
                  <c:v>20670500</c:v>
                </c:pt>
                <c:pt idx="6">
                  <c:v>27975300</c:v>
                </c:pt>
                <c:pt idx="7">
                  <c:v>41915250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B7-4AF1-A400-BACB881B2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5584"/>
        <c:axId val="12314624"/>
      </c:barChart>
      <c:catAx>
        <c:axId val="1231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314624"/>
        <c:crosses val="autoZero"/>
        <c:auto val="1"/>
        <c:lblAlgn val="ctr"/>
        <c:lblOffset val="100"/>
        <c:noMultiLvlLbl val="0"/>
      </c:catAx>
      <c:valAx>
        <c:axId val="1231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31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[Trabajo modulo 2 sence.xlsx]Ventas!TablaDinámica9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Ventas totales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Ventas!$S$41:$S$42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Ventas!$R$43:$R$55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Ventas!$S$43:$S$55</c:f>
              <c:numCache>
                <c:formatCode>General</c:formatCode>
                <c:ptCount val="12"/>
                <c:pt idx="0">
                  <c:v>22217500</c:v>
                </c:pt>
                <c:pt idx="1">
                  <c:v>23601400</c:v>
                </c:pt>
                <c:pt idx="2">
                  <c:v>26457450</c:v>
                </c:pt>
                <c:pt idx="3">
                  <c:v>17952900</c:v>
                </c:pt>
                <c:pt idx="4">
                  <c:v>22397750</c:v>
                </c:pt>
                <c:pt idx="5">
                  <c:v>25975450</c:v>
                </c:pt>
                <c:pt idx="6">
                  <c:v>20247600</c:v>
                </c:pt>
                <c:pt idx="7">
                  <c:v>24451950</c:v>
                </c:pt>
                <c:pt idx="8">
                  <c:v>29208450</c:v>
                </c:pt>
                <c:pt idx="9">
                  <c:v>17798850</c:v>
                </c:pt>
                <c:pt idx="10">
                  <c:v>28602500</c:v>
                </c:pt>
                <c:pt idx="11">
                  <c:v>26310600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2-4DCD-B4AB-082FC3D1C26F}"/>
            </c:ext>
          </c:extLst>
        </c:ser>
        <c:ser>
          <c:idx val="1"/>
          <c:order val="1"/>
          <c:tx>
            <c:strRef>
              <c:f>Ventas!$T$41:$T$42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Ventas!$R$43:$R$55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Ventas!$T$43:$T$55</c:f>
              <c:numCache>
                <c:formatCode>General</c:formatCode>
                <c:ptCount val="12"/>
                <c:pt idx="0">
                  <c:v>19252550</c:v>
                </c:pt>
                <c:pt idx="1">
                  <c:v>17834800</c:v>
                </c:pt>
                <c:pt idx="2">
                  <c:v>19164100</c:v>
                </c:pt>
                <c:pt idx="3">
                  <c:v>19126950</c:v>
                </c:pt>
                <c:pt idx="4">
                  <c:v>22139150</c:v>
                </c:pt>
                <c:pt idx="5">
                  <c:v>28804750</c:v>
                </c:pt>
                <c:pt idx="6">
                  <c:v>14802450</c:v>
                </c:pt>
                <c:pt idx="7">
                  <c:v>21193400</c:v>
                </c:pt>
                <c:pt idx="8">
                  <c:v>14503150</c:v>
                </c:pt>
                <c:pt idx="9">
                  <c:v>23258550</c:v>
                </c:pt>
                <c:pt idx="10">
                  <c:v>22326300</c:v>
                </c:pt>
                <c:pt idx="11">
                  <c:v>27566250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32-4DCD-B4AB-082FC3D1C26F}"/>
            </c:ext>
          </c:extLst>
        </c:ser>
        <c:ser>
          <c:idx val="2"/>
          <c:order val="2"/>
          <c:tx>
            <c:strRef>
              <c:f>Ventas!$U$41:$U$42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Ventas!$R$43:$R$55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Ventas!$U$43:$U$55</c:f>
              <c:numCache>
                <c:formatCode>General</c:formatCode>
                <c:ptCount val="12"/>
                <c:pt idx="0">
                  <c:v>23598700</c:v>
                </c:pt>
                <c:pt idx="1">
                  <c:v>19288150</c:v>
                </c:pt>
                <c:pt idx="2">
                  <c:v>25127750</c:v>
                </c:pt>
                <c:pt idx="3">
                  <c:v>18962400</c:v>
                </c:pt>
                <c:pt idx="4">
                  <c:v>21490000</c:v>
                </c:pt>
                <c:pt idx="5">
                  <c:v>19395000</c:v>
                </c:pt>
                <c:pt idx="6">
                  <c:v>25164800</c:v>
                </c:pt>
                <c:pt idx="7">
                  <c:v>25039150</c:v>
                </c:pt>
                <c:pt idx="8">
                  <c:v>21888750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32-4DCD-B4AB-082FC3D1C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026847"/>
        <c:axId val="1438022527"/>
      </c:lineChart>
      <c:catAx>
        <c:axId val="143802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38022527"/>
        <c:crosses val="autoZero"/>
        <c:auto val="1"/>
        <c:lblAlgn val="ctr"/>
        <c:lblOffset val="100"/>
        <c:noMultiLvlLbl val="0"/>
      </c:catAx>
      <c:valAx>
        <c:axId val="143802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3802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totales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v>"ventas pro canal"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29-44D8-93FB-92369F5B00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29-44D8-93FB-92369F5B00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29-44D8-93FB-92369F5B006E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Ventas!$H$42:$J$42</c:f>
              <c:strCache>
                <c:ptCount val="3"/>
                <c:pt idx="0">
                  <c:v>App</c:v>
                </c:pt>
                <c:pt idx="1">
                  <c:v>Tienda</c:v>
                </c:pt>
                <c:pt idx="2">
                  <c:v>Web</c:v>
                </c:pt>
              </c:strCache>
            </c:strRef>
          </c:cat>
          <c:val>
            <c:numLit>
              <c:formatCode>General</c:formatCode>
              <c:ptCount val="3"/>
              <c:pt idx="0">
                <c:v>135570850</c:v>
              </c:pt>
              <c:pt idx="1">
                <c:v>342168800</c:v>
              </c:pt>
              <c:pt idx="2">
                <c:v>257409850</c:v>
              </c:pt>
            </c:numLit>
          </c:val>
          <c:extLst>
            <c:ext xmlns:c16="http://schemas.microsoft.com/office/drawing/2014/chart" uri="{C3380CC4-5D6E-409C-BE32-E72D297353CC}">
              <c16:uniqueId val="{00000000-57FF-4FD6-940C-3C8E4FC24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L">
                <a:solidFill>
                  <a:schemeClr val="tx1"/>
                </a:solidFill>
              </a:rPr>
              <a:t>Fraccion</a:t>
            </a:r>
            <a:r>
              <a:rPr lang="es-CL" baseline="0">
                <a:solidFill>
                  <a:schemeClr val="tx1"/>
                </a:solidFill>
              </a:rPr>
              <a:t> de cada </a:t>
            </a:r>
            <a:r>
              <a:rPr lang="es-CL">
                <a:solidFill>
                  <a:schemeClr val="tx1"/>
                </a:solidFill>
              </a:rPr>
              <a:t>tipo de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FA-4E21-B35E-D2DAEB1CFD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74-4017-9A8E-72758A26D0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74-4017-9A8E-72758A26D019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Clientes!$L$36:$L$38</c:f>
              <c:strCache>
                <c:ptCount val="3"/>
                <c:pt idx="0">
                  <c:v>Frecuente</c:v>
                </c:pt>
                <c:pt idx="1">
                  <c:v>Nuevo</c:v>
                </c:pt>
                <c:pt idx="2">
                  <c:v>Premium</c:v>
                </c:pt>
              </c:strCache>
            </c:strRef>
          </c:cat>
          <c:val>
            <c:numRef>
              <c:f>Clientes!$M$36:$M$38</c:f>
              <c:numCache>
                <c:formatCode>General</c:formatCode>
                <c:ptCount val="3"/>
                <c:pt idx="0">
                  <c:v>76</c:v>
                </c:pt>
                <c:pt idx="1">
                  <c:v>40</c:v>
                </c:pt>
                <c:pt idx="2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FA-4E21-B35E-D2DAEB1CF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  <a:alpha val="99000"/>
        </a:schemeClr>
      </a:solidFill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Fraccion  de hombres y mujeres entre los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v>asdd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C9-483A-82AC-B2AC3B43CB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C9-483A-82AC-B2AC3B43CB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Clientes!$O$37:$O$38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Clientes!$S$37:$S$38</c:f>
              <c:numCache>
                <c:formatCode>General</c:formatCode>
                <c:ptCount val="2"/>
                <c:pt idx="0">
                  <c:v>138</c:v>
                </c:pt>
                <c:pt idx="1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9D-4B95-BC08-E0CB73FB0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Correlacion entr</a:t>
            </a:r>
            <a:r>
              <a:rPr lang="en-US" baseline="0"/>
              <a:t>e la compra promedio y el descuento promedio de los mayores 10 compradores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top 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Clientes!$E$22:$E$31</c:f>
              <c:numCache>
                <c:formatCode>_-* #,##0_-;\-* #,##0_-;_-* "-"??_-;_-@_-</c:formatCode>
                <c:ptCount val="10"/>
                <c:pt idx="0">
                  <c:v>1624166.6666666667</c:v>
                </c:pt>
                <c:pt idx="1">
                  <c:v>1880000</c:v>
                </c:pt>
                <c:pt idx="2">
                  <c:v>1327857.142857143</c:v>
                </c:pt>
                <c:pt idx="3">
                  <c:v>924840</c:v>
                </c:pt>
                <c:pt idx="4">
                  <c:v>1293571.4285714286</c:v>
                </c:pt>
                <c:pt idx="5">
                  <c:v>1213250</c:v>
                </c:pt>
                <c:pt idx="6">
                  <c:v>2107500</c:v>
                </c:pt>
                <c:pt idx="7">
                  <c:v>1137714.2857142857</c:v>
                </c:pt>
                <c:pt idx="8">
                  <c:v>1082400</c:v>
                </c:pt>
                <c:pt idx="9">
                  <c:v>1258333.3333333333</c:v>
                </c:pt>
              </c:numCache>
            </c:numRef>
          </c:xVal>
          <c:yVal>
            <c:numRef>
              <c:f>Clientes!$F$22:$F$31</c:f>
              <c:numCache>
                <c:formatCode>_-* #,##0_-;\-* #,##0_-;_-* "-"??_-;_-@_-</c:formatCode>
                <c:ptCount val="10"/>
                <c:pt idx="0">
                  <c:v>105000</c:v>
                </c:pt>
                <c:pt idx="1">
                  <c:v>0</c:v>
                </c:pt>
                <c:pt idx="2">
                  <c:v>205000</c:v>
                </c:pt>
                <c:pt idx="3">
                  <c:v>73600</c:v>
                </c:pt>
                <c:pt idx="4">
                  <c:v>355000</c:v>
                </c:pt>
                <c:pt idx="5">
                  <c:v>287250</c:v>
                </c:pt>
                <c:pt idx="6">
                  <c:v>570000</c:v>
                </c:pt>
                <c:pt idx="7">
                  <c:v>336000</c:v>
                </c:pt>
                <c:pt idx="8">
                  <c:v>321200</c:v>
                </c:pt>
                <c:pt idx="9">
                  <c:v>330000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BF-4847-A527-C561745EF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102112"/>
        <c:axId val="1050099712"/>
      </c:scatterChart>
      <c:valAx>
        <c:axId val="105010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Total comprado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50099712"/>
        <c:crosses val="autoZero"/>
        <c:crossBetween val="midCat"/>
      </c:valAx>
      <c:valAx>
        <c:axId val="105009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Total Descontado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5010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[Trabajo modulo 2 sence.xlsx]Vendedores!TablaDinámica2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</a:t>
            </a:r>
            <a:r>
              <a:rPr lang="en-US" baseline="0"/>
              <a:t> de cada nivel de vendedores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Vendedores!$L$22</c:f>
              <c:strCache>
                <c:ptCount val="1"/>
                <c:pt idx="0">
                  <c:v>cantidad por nivel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79-4B21-A3C8-8CBB662A36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79-4B21-A3C8-8CBB662A36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79-4B21-A3C8-8CBB662A36E4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Vendedores!$K$23:$K$25</c:f>
              <c:strCache>
                <c:ptCount val="3"/>
                <c:pt idx="0">
                  <c:v>Junior</c:v>
                </c:pt>
                <c:pt idx="1">
                  <c:v>Semi senior</c:v>
                </c:pt>
                <c:pt idx="2">
                  <c:v>Senior</c:v>
                </c:pt>
              </c:strCache>
            </c:strRef>
          </c:cat>
          <c:val>
            <c:numRef>
              <c:f>Vendedores!$L$23:$L$25</c:f>
              <c:numCache>
                <c:formatCode>General</c:formatCode>
                <c:ptCount val="3"/>
                <c:pt idx="0">
                  <c:v>37</c:v>
                </c:pt>
                <c:pt idx="1">
                  <c:v>19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0-47AC-A8EE-C0283686C08A}"/>
            </c:ext>
          </c:extLst>
        </c:ser>
        <c:ser>
          <c:idx val="1"/>
          <c:order val="1"/>
          <c:tx>
            <c:strRef>
              <c:f>Vendedores!$M$22</c:f>
              <c:strCache>
                <c:ptCount val="1"/>
                <c:pt idx="0">
                  <c:v>total de ventas por nivel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679-4B21-A3C8-8CBB662A36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679-4B21-A3C8-8CBB662A36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679-4B21-A3C8-8CBB662A36E4}"/>
              </c:ext>
            </c:extLst>
          </c:dPt>
          <c:cat>
            <c:strRef>
              <c:f>Vendedores!$K$23:$K$25</c:f>
              <c:strCache>
                <c:ptCount val="3"/>
                <c:pt idx="0">
                  <c:v>Junior</c:v>
                </c:pt>
                <c:pt idx="1">
                  <c:v>Semi senior</c:v>
                </c:pt>
                <c:pt idx="2">
                  <c:v>Senior</c:v>
                </c:pt>
              </c:strCache>
            </c:strRef>
          </c:cat>
          <c:val>
            <c:numRef>
              <c:f>Vendedores!$M$23:$M$25</c:f>
              <c:numCache>
                <c:formatCode>General</c:formatCode>
                <c:ptCount val="3"/>
                <c:pt idx="0">
                  <c:v>391984900</c:v>
                </c:pt>
                <c:pt idx="1">
                  <c:v>188225700</c:v>
                </c:pt>
                <c:pt idx="2">
                  <c:v>154938900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40-47AC-A8EE-C0283686C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Porcentaje de ventas </a:t>
            </a:r>
            <a:r>
              <a:rPr lang="es-CL" baseline="0"/>
              <a:t> por categoria para vendedores junior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v>juniors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0F-4ADF-98D6-C71F250ED4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0F-4ADF-98D6-C71F250ED4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0F-4ADF-98D6-C71F250ED4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0F-4ADF-98D6-C71F250ED4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0F-4ADF-98D6-C71F250ED475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Vendedores!$C$22:$G$22</c:f>
              <c:strCache>
                <c:ptCount val="5"/>
                <c:pt idx="0">
                  <c:v>Belleza</c:v>
                </c:pt>
                <c:pt idx="1">
                  <c:v>Calzado</c:v>
                </c:pt>
                <c:pt idx="2">
                  <c:v>Electrohogar</c:v>
                </c:pt>
                <c:pt idx="3">
                  <c:v>Tecnología</c:v>
                </c:pt>
                <c:pt idx="4">
                  <c:v>Vestuario</c:v>
                </c:pt>
              </c:strCache>
            </c:strRef>
          </c:cat>
          <c:val>
            <c:numRef>
              <c:f>Vendedores!$L$28:$P$28</c:f>
              <c:numCache>
                <c:formatCode>General</c:formatCode>
                <c:ptCount val="5"/>
                <c:pt idx="0">
                  <c:v>5116000</c:v>
                </c:pt>
                <c:pt idx="1">
                  <c:v>4587000</c:v>
                </c:pt>
                <c:pt idx="2">
                  <c:v>249992500</c:v>
                </c:pt>
                <c:pt idx="3">
                  <c:v>129015000</c:v>
                </c:pt>
                <c:pt idx="4">
                  <c:v>3274400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A-485A-8FE7-6DC7CE7BE16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Porcentaje de ventas </a:t>
            </a:r>
            <a:r>
              <a:rPr lang="es-CL" baseline="0"/>
              <a:t> por categoria para vendedores semi senior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v>juniors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C1-453D-8215-9BC8877C9A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C1-453D-8215-9BC8877C9A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C1-453D-8215-9BC8877C9A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C1-453D-8215-9BC8877C9A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5C1-453D-8215-9BC8877C9A04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Vendedores!$C$22:$G$22</c:f>
              <c:strCache>
                <c:ptCount val="5"/>
                <c:pt idx="0">
                  <c:v>Belleza</c:v>
                </c:pt>
                <c:pt idx="1">
                  <c:v>Calzado</c:v>
                </c:pt>
                <c:pt idx="2">
                  <c:v>Electrohogar</c:v>
                </c:pt>
                <c:pt idx="3">
                  <c:v>Tecnología</c:v>
                </c:pt>
                <c:pt idx="4">
                  <c:v>Vestuario</c:v>
                </c:pt>
              </c:strCache>
            </c:strRef>
          </c:cat>
          <c:val>
            <c:numRef>
              <c:f>Vendedores!$L$29:$P$29</c:f>
              <c:numCache>
                <c:formatCode>General</c:formatCode>
                <c:ptCount val="5"/>
                <c:pt idx="0">
                  <c:v>2589250</c:v>
                </c:pt>
                <c:pt idx="1">
                  <c:v>3104750</c:v>
                </c:pt>
                <c:pt idx="2">
                  <c:v>112822500</c:v>
                </c:pt>
                <c:pt idx="3">
                  <c:v>67207500</c:v>
                </c:pt>
                <c:pt idx="4">
                  <c:v>2501700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5C1-453D-8215-9BC8877C9A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Porcentaje de ventas  por categoria para vendedores senior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v>seniors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A1-478A-9912-3333DED55D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A1-478A-9912-3333DED55D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A1-478A-9912-3333DED55D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A1-478A-9912-3333DED55D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A1-478A-9912-3333DED55D08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Vendedores!$C$22:$G$22</c:f>
              <c:strCache>
                <c:ptCount val="5"/>
                <c:pt idx="0">
                  <c:v>Belleza</c:v>
                </c:pt>
                <c:pt idx="1">
                  <c:v>Calzado</c:v>
                </c:pt>
                <c:pt idx="2">
                  <c:v>Electrohogar</c:v>
                </c:pt>
                <c:pt idx="3">
                  <c:v>Tecnología</c:v>
                </c:pt>
                <c:pt idx="4">
                  <c:v>Vestuario</c:v>
                </c:pt>
              </c:strCache>
            </c:strRef>
          </c:cat>
          <c:val>
            <c:numRef>
              <c:f>Vendedores!$L$30:$P$30</c:f>
              <c:numCache>
                <c:formatCode>General</c:formatCode>
                <c:ptCount val="5"/>
                <c:pt idx="0">
                  <c:v>1790000</c:v>
                </c:pt>
                <c:pt idx="1">
                  <c:v>1306250</c:v>
                </c:pt>
                <c:pt idx="2">
                  <c:v>89547500</c:v>
                </c:pt>
                <c:pt idx="3">
                  <c:v>60825000</c:v>
                </c:pt>
                <c:pt idx="4">
                  <c:v>1470150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2-4D74-8171-B61CF01EE7C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[Trabajo modulo 2 sence.xlsx]Productos!TablaDinámica8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Productos comprador por cada genero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Productos!$D$40:$D$41</c:f>
              <c:strCache>
                <c:ptCount val="1"/>
                <c:pt idx="0">
                  <c:v>Belleza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Productos!$C$42:$C$44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Productos!$D$42:$D$44</c:f>
              <c:numCache>
                <c:formatCode>General</c:formatCode>
                <c:ptCount val="2"/>
                <c:pt idx="0">
                  <c:v>214</c:v>
                </c:pt>
                <c:pt idx="1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1-4AA6-A017-F22080200016}"/>
            </c:ext>
          </c:extLst>
        </c:ser>
        <c:ser>
          <c:idx val="1"/>
          <c:order val="1"/>
          <c:tx>
            <c:strRef>
              <c:f>Productos!$E$40:$E$41</c:f>
              <c:strCache>
                <c:ptCount val="1"/>
                <c:pt idx="0">
                  <c:v>Calzado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Productos!$C$42:$C$44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Productos!$E$42:$E$44</c:f>
              <c:numCache>
                <c:formatCode>General</c:formatCode>
                <c:ptCount val="2"/>
                <c:pt idx="0">
                  <c:v>77</c:v>
                </c:pt>
                <c:pt idx="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1-4AA6-A017-F22080200016}"/>
            </c:ext>
          </c:extLst>
        </c:ser>
        <c:ser>
          <c:idx val="2"/>
          <c:order val="2"/>
          <c:tx>
            <c:strRef>
              <c:f>Productos!$F$40:$F$41</c:f>
              <c:strCache>
                <c:ptCount val="1"/>
                <c:pt idx="0">
                  <c:v>Electrohogar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Productos!$C$42:$C$44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Productos!$F$42:$F$44</c:f>
              <c:numCache>
                <c:formatCode>General</c:formatCode>
                <c:ptCount val="2"/>
                <c:pt idx="0">
                  <c:v>327</c:v>
                </c:pt>
                <c:pt idx="1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81-4AA6-A017-F22080200016}"/>
            </c:ext>
          </c:extLst>
        </c:ser>
        <c:ser>
          <c:idx val="3"/>
          <c:order val="3"/>
          <c:tx>
            <c:strRef>
              <c:f>Productos!$G$40:$G$41</c:f>
              <c:strCache>
                <c:ptCount val="1"/>
                <c:pt idx="0">
                  <c:v>Tecnología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Productos!$C$42:$C$44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Productos!$G$42:$G$44</c:f>
              <c:numCache>
                <c:formatCode>General</c:formatCode>
                <c:ptCount val="2"/>
                <c:pt idx="0">
                  <c:v>227</c:v>
                </c:pt>
                <c:pt idx="1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81-4AA6-A017-F22080200016}"/>
            </c:ext>
          </c:extLst>
        </c:ser>
        <c:ser>
          <c:idx val="4"/>
          <c:order val="4"/>
          <c:tx>
            <c:strRef>
              <c:f>Productos!$H$40:$H$41</c:f>
              <c:strCache>
                <c:ptCount val="1"/>
                <c:pt idx="0">
                  <c:v>Vestuario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Productos!$C$42:$C$44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Productos!$H$42:$H$44</c:f>
              <c:numCache>
                <c:formatCode>General</c:formatCode>
                <c:ptCount val="2"/>
                <c:pt idx="0">
                  <c:v>204</c:v>
                </c:pt>
                <c:pt idx="1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81-4AA6-A017-F22080200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385728"/>
        <c:axId val="192384768"/>
      </c:barChart>
      <c:catAx>
        <c:axId val="19238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2384768"/>
        <c:crosses val="autoZero"/>
        <c:auto val="1"/>
        <c:lblAlgn val="ctr"/>
        <c:lblOffset val="100"/>
        <c:noMultiLvlLbl val="0"/>
      </c:catAx>
      <c:valAx>
        <c:axId val="1923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238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</a:t>
            </a:r>
            <a:r>
              <a:rPr lang="en-US" baseline="0"/>
              <a:t> de productos vendidos para cada tipo de producto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productos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33-4EFC-8F35-6931812B4E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33-4EFC-8F35-6931812B4E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33-4EFC-8F35-6931812B4E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33-4EFC-8F35-6931812B4E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33-4EFC-8F35-6931812B4E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533-4EFC-8F35-6931812B4E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533-4EFC-8F35-6931812B4E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533-4EFC-8F35-6931812B4EE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533-4EFC-8F35-6931812B4EE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533-4EFC-8F35-6931812B4EE1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Productos!$D$27:$M$27</c:f>
              <c:strCache>
                <c:ptCount val="10"/>
                <c:pt idx="0">
                  <c:v>Maquillaje</c:v>
                </c:pt>
                <c:pt idx="1">
                  <c:v>Perfume</c:v>
                </c:pt>
                <c:pt idx="2">
                  <c:v>Zapatillas</c:v>
                </c:pt>
                <c:pt idx="3">
                  <c:v>Lavadora</c:v>
                </c:pt>
                <c:pt idx="4">
                  <c:v>Refrigerador</c:v>
                </c:pt>
                <c:pt idx="5">
                  <c:v>TV</c:v>
                </c:pt>
                <c:pt idx="6">
                  <c:v>Notebook</c:v>
                </c:pt>
                <c:pt idx="7">
                  <c:v>Smartphone</c:v>
                </c:pt>
                <c:pt idx="8">
                  <c:v>Pantalón</c:v>
                </c:pt>
                <c:pt idx="9">
                  <c:v>Polera</c:v>
                </c:pt>
              </c:strCache>
            </c:strRef>
          </c:cat>
          <c:val>
            <c:numRef>
              <c:f>Productos!$D$38:$M$38</c:f>
              <c:numCache>
                <c:formatCode>General</c:formatCode>
                <c:ptCount val="10"/>
                <c:pt idx="0">
                  <c:v>193</c:v>
                </c:pt>
                <c:pt idx="1">
                  <c:v>198</c:v>
                </c:pt>
                <c:pt idx="2">
                  <c:v>171</c:v>
                </c:pt>
                <c:pt idx="3">
                  <c:v>201</c:v>
                </c:pt>
                <c:pt idx="4">
                  <c:v>221</c:v>
                </c:pt>
                <c:pt idx="5">
                  <c:v>235</c:v>
                </c:pt>
                <c:pt idx="6">
                  <c:v>230</c:v>
                </c:pt>
                <c:pt idx="7">
                  <c:v>211</c:v>
                </c:pt>
                <c:pt idx="8">
                  <c:v>195</c:v>
                </c:pt>
                <c:pt idx="9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0-4A32-8726-0BCC978A4D4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Categorias</a:t>
            </a:r>
            <a:r>
              <a:rPr lang="es-CL" baseline="0"/>
              <a:t> de productos</a:t>
            </a:r>
            <a:r>
              <a:rPr lang="es-CL"/>
              <a:t> por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Productos!$Q$26</c:f>
              <c:strCache>
                <c:ptCount val="1"/>
                <c:pt idx="0">
                  <c:v>Belleza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Productos!$P$27:$P$34</c:f>
              <c:strCache>
                <c:ptCount val="8"/>
                <c:pt idx="0">
                  <c:v>Antofagasta</c:v>
                </c:pt>
                <c:pt idx="1">
                  <c:v>Biobío</c:v>
                </c:pt>
                <c:pt idx="2">
                  <c:v>Coquimbo</c:v>
                </c:pt>
                <c:pt idx="3">
                  <c:v>La Araucanía</c:v>
                </c:pt>
                <c:pt idx="4">
                  <c:v>Los Lagos</c:v>
                </c:pt>
                <c:pt idx="5">
                  <c:v>Metropolitana</c:v>
                </c:pt>
                <c:pt idx="6">
                  <c:v>O'Higgins</c:v>
                </c:pt>
                <c:pt idx="7">
                  <c:v>Valparaíso</c:v>
                </c:pt>
              </c:strCache>
            </c:strRef>
          </c:cat>
          <c:val>
            <c:numLit>
              <c:formatCode>General</c:formatCode>
              <c:ptCount val="8"/>
              <c:pt idx="0">
                <c:v>39</c:v>
              </c:pt>
              <c:pt idx="1">
                <c:v>101</c:v>
              </c:pt>
              <c:pt idx="2">
                <c:v>11</c:v>
              </c:pt>
              <c:pt idx="3">
                <c:v>29</c:v>
              </c:pt>
              <c:pt idx="4">
                <c:v>47</c:v>
              </c:pt>
              <c:pt idx="5">
                <c:v>43</c:v>
              </c:pt>
              <c:pt idx="6">
                <c:v>40</c:v>
              </c:pt>
              <c:pt idx="7">
                <c:v>81</c:v>
              </c:pt>
            </c:numLit>
          </c:val>
          <c:extLst>
            <c:ext xmlns:c16="http://schemas.microsoft.com/office/drawing/2014/chart" uri="{C3380CC4-5D6E-409C-BE32-E72D297353CC}">
              <c16:uniqueId val="{00000001-2F17-46F0-90B3-30915C96DDC5}"/>
            </c:ext>
          </c:extLst>
        </c:ser>
        <c:ser>
          <c:idx val="1"/>
          <c:order val="1"/>
          <c:tx>
            <c:strRef>
              <c:f>Productos!$R$26</c:f>
              <c:strCache>
                <c:ptCount val="1"/>
                <c:pt idx="0">
                  <c:v>Calzado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Productos!$P$27:$P$34</c:f>
              <c:strCache>
                <c:ptCount val="8"/>
                <c:pt idx="0">
                  <c:v>Antofagasta</c:v>
                </c:pt>
                <c:pt idx="1">
                  <c:v>Biobío</c:v>
                </c:pt>
                <c:pt idx="2">
                  <c:v>Coquimbo</c:v>
                </c:pt>
                <c:pt idx="3">
                  <c:v>La Araucanía</c:v>
                </c:pt>
                <c:pt idx="4">
                  <c:v>Los Lagos</c:v>
                </c:pt>
                <c:pt idx="5">
                  <c:v>Metropolitana</c:v>
                </c:pt>
                <c:pt idx="6">
                  <c:v>O'Higgins</c:v>
                </c:pt>
                <c:pt idx="7">
                  <c:v>Valparaíso</c:v>
                </c:pt>
              </c:strCache>
            </c:strRef>
          </c:cat>
          <c:val>
            <c:numRef>
              <c:f>Productos!$R$27:$R$34</c:f>
              <c:numCache>
                <c:formatCode>General</c:formatCode>
                <c:ptCount val="8"/>
                <c:pt idx="0">
                  <c:v>16</c:v>
                </c:pt>
                <c:pt idx="1">
                  <c:v>49</c:v>
                </c:pt>
                <c:pt idx="2">
                  <c:v>1</c:v>
                </c:pt>
                <c:pt idx="3">
                  <c:v>25</c:v>
                </c:pt>
                <c:pt idx="4">
                  <c:v>17</c:v>
                </c:pt>
                <c:pt idx="5">
                  <c:v>3</c:v>
                </c:pt>
                <c:pt idx="6">
                  <c:v>15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17-46F0-90B3-30915C96DDC5}"/>
            </c:ext>
          </c:extLst>
        </c:ser>
        <c:ser>
          <c:idx val="2"/>
          <c:order val="2"/>
          <c:tx>
            <c:strRef>
              <c:f>Productos!$S$26</c:f>
              <c:strCache>
                <c:ptCount val="1"/>
                <c:pt idx="0">
                  <c:v>Electrohogar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Productos!$P$27:$P$34</c:f>
              <c:strCache>
                <c:ptCount val="8"/>
                <c:pt idx="0">
                  <c:v>Antofagasta</c:v>
                </c:pt>
                <c:pt idx="1">
                  <c:v>Biobío</c:v>
                </c:pt>
                <c:pt idx="2">
                  <c:v>Coquimbo</c:v>
                </c:pt>
                <c:pt idx="3">
                  <c:v>La Araucanía</c:v>
                </c:pt>
                <c:pt idx="4">
                  <c:v>Los Lagos</c:v>
                </c:pt>
                <c:pt idx="5">
                  <c:v>Metropolitana</c:v>
                </c:pt>
                <c:pt idx="6">
                  <c:v>O'Higgins</c:v>
                </c:pt>
                <c:pt idx="7">
                  <c:v>Valparaíso</c:v>
                </c:pt>
              </c:strCache>
            </c:strRef>
          </c:cat>
          <c:val>
            <c:numRef>
              <c:f>Productos!$S$27:$S$34</c:f>
              <c:numCache>
                <c:formatCode>General</c:formatCode>
                <c:ptCount val="8"/>
                <c:pt idx="0">
                  <c:v>69</c:v>
                </c:pt>
                <c:pt idx="1">
                  <c:v>157</c:v>
                </c:pt>
                <c:pt idx="2">
                  <c:v>13</c:v>
                </c:pt>
                <c:pt idx="3">
                  <c:v>44</c:v>
                </c:pt>
                <c:pt idx="4">
                  <c:v>72</c:v>
                </c:pt>
                <c:pt idx="5">
                  <c:v>66</c:v>
                </c:pt>
                <c:pt idx="6">
                  <c:v>80</c:v>
                </c:pt>
                <c:pt idx="7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17-46F0-90B3-30915C96DDC5}"/>
            </c:ext>
          </c:extLst>
        </c:ser>
        <c:ser>
          <c:idx val="3"/>
          <c:order val="3"/>
          <c:tx>
            <c:strRef>
              <c:f>Productos!$T$26</c:f>
              <c:strCache>
                <c:ptCount val="1"/>
                <c:pt idx="0">
                  <c:v>Tecnología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Productos!$P$27:$P$34</c:f>
              <c:strCache>
                <c:ptCount val="8"/>
                <c:pt idx="0">
                  <c:v>Antofagasta</c:v>
                </c:pt>
                <c:pt idx="1">
                  <c:v>Biobío</c:v>
                </c:pt>
                <c:pt idx="2">
                  <c:v>Coquimbo</c:v>
                </c:pt>
                <c:pt idx="3">
                  <c:v>La Araucanía</c:v>
                </c:pt>
                <c:pt idx="4">
                  <c:v>Los Lagos</c:v>
                </c:pt>
                <c:pt idx="5">
                  <c:v>Metropolitana</c:v>
                </c:pt>
                <c:pt idx="6">
                  <c:v>O'Higgins</c:v>
                </c:pt>
                <c:pt idx="7">
                  <c:v>Valparaíso</c:v>
                </c:pt>
              </c:strCache>
            </c:strRef>
          </c:cat>
          <c:val>
            <c:numRef>
              <c:f>Productos!$T$27:$T$34</c:f>
              <c:numCache>
                <c:formatCode>General</c:formatCode>
                <c:ptCount val="8"/>
                <c:pt idx="0">
                  <c:v>65</c:v>
                </c:pt>
                <c:pt idx="1">
                  <c:v>122</c:v>
                </c:pt>
                <c:pt idx="2">
                  <c:v>6</c:v>
                </c:pt>
                <c:pt idx="3">
                  <c:v>36</c:v>
                </c:pt>
                <c:pt idx="4">
                  <c:v>57</c:v>
                </c:pt>
                <c:pt idx="5">
                  <c:v>38</c:v>
                </c:pt>
                <c:pt idx="6">
                  <c:v>42</c:v>
                </c:pt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17-46F0-90B3-30915C96DDC5}"/>
            </c:ext>
          </c:extLst>
        </c:ser>
        <c:ser>
          <c:idx val="4"/>
          <c:order val="4"/>
          <c:tx>
            <c:strRef>
              <c:f>Productos!$U$26</c:f>
              <c:strCache>
                <c:ptCount val="1"/>
                <c:pt idx="0">
                  <c:v>Vestuario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Productos!$P$27:$P$34</c:f>
              <c:strCache>
                <c:ptCount val="8"/>
                <c:pt idx="0">
                  <c:v>Antofagasta</c:v>
                </c:pt>
                <c:pt idx="1">
                  <c:v>Biobío</c:v>
                </c:pt>
                <c:pt idx="2">
                  <c:v>Coquimbo</c:v>
                </c:pt>
                <c:pt idx="3">
                  <c:v>La Araucanía</c:v>
                </c:pt>
                <c:pt idx="4">
                  <c:v>Los Lagos</c:v>
                </c:pt>
                <c:pt idx="5">
                  <c:v>Metropolitana</c:v>
                </c:pt>
                <c:pt idx="6">
                  <c:v>O'Higgins</c:v>
                </c:pt>
                <c:pt idx="7">
                  <c:v>Valparaíso</c:v>
                </c:pt>
              </c:strCache>
            </c:strRef>
          </c:cat>
          <c:val>
            <c:numRef>
              <c:f>Productos!$U$27:$U$34</c:f>
              <c:numCache>
                <c:formatCode>General</c:formatCode>
                <c:ptCount val="8"/>
                <c:pt idx="0">
                  <c:v>38</c:v>
                </c:pt>
                <c:pt idx="1">
                  <c:v>115</c:v>
                </c:pt>
                <c:pt idx="2">
                  <c:v>20</c:v>
                </c:pt>
                <c:pt idx="3">
                  <c:v>41</c:v>
                </c:pt>
                <c:pt idx="4">
                  <c:v>46</c:v>
                </c:pt>
                <c:pt idx="5">
                  <c:v>20</c:v>
                </c:pt>
                <c:pt idx="6">
                  <c:v>48</c:v>
                </c:pt>
                <c:pt idx="7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F17-46F0-90B3-30915C96D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2311664"/>
        <c:axId val="1872301104"/>
      </c:barChart>
      <c:catAx>
        <c:axId val="1872311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2301104"/>
        <c:crosses val="autoZero"/>
        <c:auto val="1"/>
        <c:lblAlgn val="ctr"/>
        <c:lblOffset val="100"/>
        <c:noMultiLvlLbl val="0"/>
      </c:catAx>
      <c:valAx>
        <c:axId val="187230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231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Distribucion de Edades de los Clientes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Distribucion de Edades de los Clientes</a:t>
          </a:r>
        </a:p>
      </cx:txPr>
    </cx:title>
    <cx:plotArea>
      <cx:plotAreaRegion>
        <cx:series layoutId="clusteredColumn" uniqueId="{574E7CF9-8D8F-4406-BD9B-0A593CE83893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Edades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MX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Edades</a:t>
              </a:r>
            </a:p>
          </cx:txPr>
        </cx:title>
        <cx:tickLabels/>
      </cx:axis>
      <cx:axis id="1">
        <cx:valScaling/>
        <cx:title>
          <cx:tx>
            <cx:txData>
              <cx:v>Frecuencia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MX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Frecuencia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microsoft.com/office/2014/relationships/chartEx" Target="../charts/chartEx1.xml"/><Relationship Id="rId1" Type="http://schemas.openxmlformats.org/officeDocument/2006/relationships/chart" Target="../charts/chart6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1569720</xdr:colOff>
      <xdr:row>20</xdr:row>
      <xdr:rowOff>121920</xdr:rowOff>
    </xdr:from>
    <xdr:to>
      <xdr:col>6</xdr:col>
      <xdr:colOff>274320</xdr:colOff>
      <xdr:row>38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AE2848-A22F-44DE-AA15-4B77334B8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441960</xdr:colOff>
      <xdr:row>20</xdr:row>
      <xdr:rowOff>114300</xdr:rowOff>
    </xdr:from>
    <xdr:to>
      <xdr:col>12</xdr:col>
      <xdr:colOff>601980</xdr:colOff>
      <xdr:row>38</xdr:row>
      <xdr:rowOff>60960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9C14A1-79E3-47E1-BCC5-8DC146FF1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487680</xdr:colOff>
      <xdr:row>0</xdr:row>
      <xdr:rowOff>45720</xdr:rowOff>
    </xdr:from>
    <xdr:to>
      <xdr:col>11</xdr:col>
      <xdr:colOff>617220</xdr:colOff>
      <xdr:row>20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A05E419-3546-44BC-96D3-577D8FB7E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853440</xdr:colOff>
      <xdr:row>0</xdr:row>
      <xdr:rowOff>49530</xdr:rowOff>
    </xdr:from>
    <xdr:to>
      <xdr:col>17</xdr:col>
      <xdr:colOff>30480</xdr:colOff>
      <xdr:row>20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2F347EA-6826-A709-E981-003D18BB3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228600</xdr:colOff>
      <xdr:row>20</xdr:row>
      <xdr:rowOff>152400</xdr:rowOff>
    </xdr:from>
    <xdr:to>
      <xdr:col>1</xdr:col>
      <xdr:colOff>1264920</xdr:colOff>
      <xdr:row>34</xdr:row>
      <xdr:rowOff>173355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s (fecha_venta)">
              <a:extLst>
                <a:ext uri="{FF2B5EF4-FFF2-40B4-BE49-F238E27FC236}">
                  <a16:creationId xmlns:a16="http://schemas.microsoft.com/office/drawing/2014/main" id="{50240E49-E6DC-9F25-4BFE-D624748532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_ven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385572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12</xdr:col>
      <xdr:colOff>792480</xdr:colOff>
      <xdr:row>20</xdr:row>
      <xdr:rowOff>160020</xdr:rowOff>
    </xdr:from>
    <xdr:to>
      <xdr:col>17</xdr:col>
      <xdr:colOff>53340</xdr:colOff>
      <xdr:row>38</xdr:row>
      <xdr:rowOff>106680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85A60AF-1F67-FC78-F9F9-6638041AF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632460</xdr:colOff>
      <xdr:row>1</xdr:row>
      <xdr:rowOff>0</xdr:rowOff>
    </xdr:from>
    <xdr:to>
      <xdr:col>12</xdr:col>
      <xdr:colOff>114300</xdr:colOff>
      <xdr:row>16</xdr:row>
      <xdr:rowOff>53340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2F6395-0320-4992-AAD9-B61568397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0</xdr:row>
      <xdr:rowOff>179070</xdr:rowOff>
    </xdr:from>
    <xdr:to>
      <xdr:col>7</xdr:col>
      <xdr:colOff>259080</xdr:colOff>
      <xdr:row>16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1D7AF34A-CB33-49F1-B45C-E5EC6B3121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720" y="179070"/>
              <a:ext cx="6499860" cy="27774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7</xdr:col>
      <xdr:colOff>624840</xdr:colOff>
      <xdr:row>17</xdr:row>
      <xdr:rowOff>64770</xdr:rowOff>
    </xdr:from>
    <xdr:to>
      <xdr:col>12</xdr:col>
      <xdr:colOff>129540</xdr:colOff>
      <xdr:row>30</xdr:row>
      <xdr:rowOff>57150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5E306CE-1649-01D4-3248-29E158E9B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601980</xdr:colOff>
      <xdr:row>1</xdr:row>
      <xdr:rowOff>3810</xdr:rowOff>
    </xdr:from>
    <xdr:to>
      <xdr:col>17</xdr:col>
      <xdr:colOff>152400</xdr:colOff>
      <xdr:row>19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2DB6E7-9AC9-B8A7-80A5-059FE1853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19050</xdr:rowOff>
    </xdr:from>
    <xdr:to>
      <xdr:col>5</xdr:col>
      <xdr:colOff>373380</xdr:colOff>
      <xdr:row>16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C29EFE-C3F6-BA18-C5B9-6C8ACE69F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510540</xdr:colOff>
      <xdr:row>1</xdr:row>
      <xdr:rowOff>19050</xdr:rowOff>
    </xdr:from>
    <xdr:to>
      <xdr:col>10</xdr:col>
      <xdr:colOff>99060</xdr:colOff>
      <xdr:row>17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4B8DFF-B37F-7D41-29F5-69DA08175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251460</xdr:colOff>
      <xdr:row>1</xdr:row>
      <xdr:rowOff>15240</xdr:rowOff>
    </xdr:from>
    <xdr:to>
      <xdr:col>13</xdr:col>
      <xdr:colOff>1043940</xdr:colOff>
      <xdr:row>17</xdr:row>
      <xdr:rowOff>7620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D069577-6C58-4AB8-8B45-2C98939CC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160020</xdr:colOff>
      <xdr:row>1</xdr:row>
      <xdr:rowOff>11430</xdr:rowOff>
    </xdr:from>
    <xdr:to>
      <xdr:col>18</xdr:col>
      <xdr:colOff>403860</xdr:colOff>
      <xdr:row>17</xdr:row>
      <xdr:rowOff>30480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54A6E33-8BAF-6A54-F834-75AE3F88F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5</xdr:row>
      <xdr:rowOff>0</xdr:rowOff>
    </xdr:from>
    <xdr:to>
      <xdr:col>5</xdr:col>
      <xdr:colOff>693420</xdr:colOff>
      <xdr:row>20</xdr:row>
      <xdr:rowOff>68580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D09A716-CAE7-4942-992E-BE3409029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83820</xdr:colOff>
      <xdr:row>4</xdr:row>
      <xdr:rowOff>163830</xdr:rowOff>
    </xdr:from>
    <xdr:to>
      <xdr:col>11</xdr:col>
      <xdr:colOff>289560</xdr:colOff>
      <xdr:row>20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9DB7FF-2DA4-BCDB-B96A-091F2B8D9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</xdr:colOff>
      <xdr:row>0</xdr:row>
      <xdr:rowOff>182880</xdr:rowOff>
    </xdr:from>
    <xdr:to>
      <xdr:col>20</xdr:col>
      <xdr:colOff>0</xdr:colOff>
      <xdr:row>20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09CE61-7167-0CD5-413E-1976D2AED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ckson" refreshedDate="46032.853179513892" createdVersion="8" refreshedVersion="8" minRefreshableVersion="3" recordCount="1020" xr:uid="{6490551B-8579-4FE4-A288-FF74CFD80D51}">
  <cacheSource type="worksheet">
    <worksheetSource name="ventas"/>
  </cacheSource>
  <cacheFields count="24">
    <cacheField name="id_venta" numFmtId="0">
      <sharedItems containsSemiMixedTypes="0" containsString="0" containsNumber="1" containsInteger="1" minValue="1" maxValue="1000"/>
    </cacheField>
    <cacheField name="fecha_venta" numFmtId="14">
      <sharedItems containsSemiMixedTypes="0" containsNonDate="0" containsDate="1" containsString="0" minDate="2023-01-02T00:00:00" maxDate="2025-09-28T00:00:00" count="1000">
        <d v="2023-06-28T00:00:00"/>
        <d v="2023-08-15T00:00:00"/>
        <d v="2023-12-21T00:00:00"/>
        <d v="2025-05-16T00:00:00"/>
        <d v="2023-07-27T00:00:00"/>
        <d v="2024-09-03T00:00:00"/>
        <d v="2025-02-20T00:00:00"/>
        <d v="2023-10-06T00:00:00"/>
        <d v="2023-12-17T00:00:00"/>
        <d v="2024-12-04T00:00:00"/>
        <d v="2025-02-03T00:00:00"/>
        <d v="2025-05-18T00:00:00"/>
        <d v="2025-06-22T00:00:00"/>
        <d v="2023-06-25T00:00:00"/>
        <d v="2025-01-13T00:00:00"/>
        <d v="2025-02-16T00:00:00"/>
        <d v="2025-03-13T00:00:00"/>
        <d v="2025-08-01T00:00:00"/>
        <d v="2023-04-25T00:00:00"/>
        <d v="2024-03-13T00:00:00"/>
        <d v="2024-05-01T00:00:00"/>
        <d v="2024-08-09T00:00:00"/>
        <d v="2024-09-30T00:00:00"/>
        <d v="2024-11-23T00:00:00"/>
        <d v="2025-04-02T00:00:00"/>
        <d v="2025-05-10T00:00:00"/>
        <d v="2024-05-08T00:00:00"/>
        <d v="2024-09-28T00:00:00"/>
        <d v="2023-05-09T00:00:00"/>
        <d v="2025-02-24T00:00:00"/>
        <d v="2023-09-11T00:00:00"/>
        <d v="2024-01-19T00:00:00"/>
        <d v="2023-06-09T00:00:00"/>
        <d v="2025-08-02T00:00:00"/>
        <d v="2023-05-12T00:00:00"/>
        <d v="2023-08-06T00:00:00"/>
        <d v="2023-09-12T00:00:00"/>
        <d v="2023-10-21T00:00:00"/>
        <d v="2024-06-02T00:00:00"/>
        <d v="2024-08-17T00:00:00"/>
        <d v="2025-06-28T00:00:00"/>
        <d v="2023-03-09T00:00:00"/>
        <d v="2023-11-08T00:00:00"/>
        <d v="2023-11-16T00:00:00"/>
        <d v="2023-12-05T00:00:00"/>
        <d v="2024-04-10T00:00:00"/>
        <d v="2023-04-06T00:00:00"/>
        <d v="2024-03-17T00:00:00"/>
        <d v="2023-06-06T00:00:00"/>
        <d v="2024-01-24T00:00:00"/>
        <d v="2023-02-10T00:00:00"/>
        <d v="2023-07-13T00:00:00"/>
        <d v="2023-10-19T00:00:00"/>
        <d v="2025-04-29T00:00:00"/>
        <d v="2025-01-25T00:00:00"/>
        <d v="2025-03-10T00:00:00"/>
        <d v="2025-04-10T00:00:00"/>
        <d v="2023-01-27T00:00:00"/>
        <d v="2023-09-08T00:00:00"/>
        <d v="2024-06-11T00:00:00"/>
        <d v="2024-08-12T00:00:00"/>
        <d v="2023-12-27T00:00:00"/>
        <d v="2025-02-10T00:00:00"/>
        <d v="2025-03-09T00:00:00"/>
        <d v="2023-05-28T00:00:00"/>
        <d v="2025-04-17T00:00:00"/>
        <d v="2025-04-20T00:00:00"/>
        <d v="2025-05-31T00:00:00"/>
        <d v="2025-08-28T00:00:00"/>
        <d v="2023-08-29T00:00:00"/>
        <d v="2025-06-03T00:00:00"/>
        <d v="2025-09-01T00:00:00"/>
        <d v="2023-04-26T00:00:00"/>
        <d v="2023-06-16T00:00:00"/>
        <d v="2023-10-01T00:00:00"/>
        <d v="2025-03-06T00:00:00"/>
        <d v="2025-08-18T00:00:00"/>
        <d v="2023-09-05T00:00:00"/>
        <d v="2024-05-27T00:00:00"/>
        <d v="2024-11-17T00:00:00"/>
        <d v="2023-04-14T00:00:00"/>
        <d v="2023-08-13T00:00:00"/>
        <d v="2025-06-09T00:00:00"/>
        <d v="2025-09-06T00:00:00"/>
        <d v="2024-08-02T00:00:00"/>
        <d v="2023-04-15T00:00:00"/>
        <d v="2023-05-22T00:00:00"/>
        <d v="2024-08-26T00:00:00"/>
        <d v="2024-11-21T00:00:00"/>
        <d v="2023-03-08T00:00:00"/>
        <d v="2023-07-16T00:00:00"/>
        <d v="2023-08-26T00:00:00"/>
        <d v="2023-06-11T00:00:00"/>
        <d v="2023-09-26T00:00:00"/>
        <d v="2024-03-31T00:00:00"/>
        <d v="2025-06-27T00:00:00"/>
        <d v="2024-01-12T00:00:00"/>
        <d v="2025-06-06T00:00:00"/>
        <d v="2025-07-11T00:00:00"/>
        <d v="2023-07-07T00:00:00"/>
        <d v="2023-09-20T00:00:00"/>
        <d v="2024-06-23T00:00:00"/>
        <d v="2025-05-20T00:00:00"/>
        <d v="2025-06-04T00:00:00"/>
        <d v="2023-11-28T00:00:00"/>
        <d v="2024-11-03T00:00:00"/>
        <d v="2023-09-03T00:00:00"/>
        <d v="2023-10-27T00:00:00"/>
        <d v="2025-04-08T00:00:00"/>
        <d v="2023-07-04T00:00:00"/>
        <d v="2025-02-07T00:00:00"/>
        <d v="2025-08-22T00:00:00"/>
        <d v="2023-11-29T00:00:00"/>
        <d v="2024-11-28T00:00:00"/>
        <d v="2024-05-03T00:00:00"/>
        <d v="2024-05-19T00:00:00"/>
        <d v="2024-10-17T00:00:00"/>
        <d v="2025-01-11T00:00:00"/>
        <d v="2023-07-02T00:00:00"/>
        <d v="2024-04-06T00:00:00"/>
        <d v="2024-05-30T00:00:00"/>
        <d v="2024-07-24T00:00:00"/>
        <d v="2024-12-11T00:00:00"/>
        <d v="2025-09-21T00:00:00"/>
        <d v="2023-06-18T00:00:00"/>
        <d v="2023-09-24T00:00:00"/>
        <d v="2024-06-13T00:00:00"/>
        <d v="2025-04-25T00:00:00"/>
        <d v="2025-08-17T00:00:00"/>
        <d v="2023-04-24T00:00:00"/>
        <d v="2023-05-01T00:00:00"/>
        <d v="2023-10-17T00:00:00"/>
        <d v="2024-03-09T00:00:00"/>
        <d v="2025-02-15T00:00:00"/>
        <d v="2025-03-27T00:00:00"/>
        <d v="2024-01-17T00:00:00"/>
        <d v="2024-08-08T00:00:00"/>
        <d v="2024-12-02T00:00:00"/>
        <d v="2025-06-01T00:00:00"/>
        <d v="2023-12-10T00:00:00"/>
        <d v="2024-08-03T00:00:00"/>
        <d v="2024-11-08T00:00:00"/>
        <d v="2025-01-17T00:00:00"/>
        <d v="2025-01-27T00:00:00"/>
        <d v="2023-01-25T00:00:00"/>
        <d v="2024-03-05T00:00:00"/>
        <d v="2024-10-25T00:00:00"/>
        <d v="2025-08-15T00:00:00"/>
        <d v="2023-01-09T00:00:00"/>
        <d v="2023-02-18T00:00:00"/>
        <d v="2024-05-17T00:00:00"/>
        <d v="2024-05-29T00:00:00"/>
        <d v="2024-12-14T00:00:00"/>
        <d v="2025-05-22T00:00:00"/>
        <d v="2023-01-31T00:00:00"/>
        <d v="2023-09-13T00:00:00"/>
        <d v="2023-12-03T00:00:00"/>
        <d v="2024-08-23T00:00:00"/>
        <d v="2024-09-17T00:00:00"/>
        <d v="2024-11-27T00:00:00"/>
        <d v="2023-05-26T00:00:00"/>
        <d v="2023-06-24T00:00:00"/>
        <d v="2023-02-27T00:00:00"/>
        <d v="2024-01-06T00:00:00"/>
        <d v="2025-02-26T00:00:00"/>
        <d v="2023-05-11T00:00:00"/>
        <d v="2023-08-18T00:00:00"/>
        <d v="2023-10-22T00:00:00"/>
        <d v="2023-11-03T00:00:00"/>
        <d v="2023-10-24T00:00:00"/>
        <d v="2024-10-01T00:00:00"/>
        <d v="2024-10-04T00:00:00"/>
        <d v="2023-03-10T00:00:00"/>
        <d v="2024-10-31T00:00:00"/>
        <d v="2024-11-25T00:00:00"/>
        <d v="2024-04-19T00:00:00"/>
        <d v="2024-11-01T00:00:00"/>
        <d v="2025-07-14T00:00:00"/>
        <d v="2023-03-21T00:00:00"/>
        <d v="2024-09-23T00:00:00"/>
        <d v="2023-06-29T00:00:00"/>
        <d v="2025-04-11T00:00:00"/>
        <d v="2023-03-06T00:00:00"/>
        <d v="2024-02-10T00:00:00"/>
        <d v="2024-06-18T00:00:00"/>
        <d v="2025-01-09T00:00:00"/>
        <d v="2025-06-11T00:00:00"/>
        <d v="2023-06-01T00:00:00"/>
        <d v="2024-03-16T00:00:00"/>
        <d v="2024-05-05T00:00:00"/>
        <d v="2024-05-12T00:00:00"/>
        <d v="2024-06-19T00:00:00"/>
        <d v="2024-09-29T00:00:00"/>
        <d v="2023-08-12T00:00:00"/>
        <d v="2024-07-27T00:00:00"/>
        <d v="2023-04-08T00:00:00"/>
        <d v="2024-11-07T00:00:00"/>
        <d v="2025-05-14T00:00:00"/>
        <d v="2023-03-27T00:00:00"/>
        <d v="2023-09-14T00:00:00"/>
        <d v="2024-08-07T00:00:00"/>
        <d v="2025-07-17T00:00:00"/>
        <d v="2025-07-21T00:00:00"/>
        <d v="2023-03-14T00:00:00"/>
        <d v="2024-01-30T00:00:00"/>
        <d v="2024-04-23T00:00:00"/>
        <d v="2025-06-25T00:00:00"/>
        <d v="2023-04-13T00:00:00"/>
        <d v="2023-11-30T00:00:00"/>
        <d v="2024-12-25T00:00:00"/>
        <d v="2023-07-25T00:00:00"/>
        <d v="2025-02-19T00:00:00"/>
        <d v="2025-03-04T00:00:00"/>
        <d v="2023-03-28T00:00:00"/>
        <d v="2023-05-16T00:00:00"/>
        <d v="2023-07-01T00:00:00"/>
        <d v="2023-11-06T00:00:00"/>
        <d v="2023-11-18T00:00:00"/>
        <d v="2023-12-04T00:00:00"/>
        <d v="2024-02-24T00:00:00"/>
        <d v="2024-03-20T00:00:00"/>
        <d v="2024-08-29T00:00:00"/>
        <d v="2025-06-20T00:00:00"/>
        <d v="2023-03-22T00:00:00"/>
        <d v="2024-06-22T00:00:00"/>
        <d v="2024-11-24T00:00:00"/>
        <d v="2025-01-30T00:00:00"/>
        <d v="2025-08-07T00:00:00"/>
        <d v="2023-09-17T00:00:00"/>
        <d v="2024-04-27T00:00:00"/>
        <d v="2024-06-07T00:00:00"/>
        <d v="2024-09-18T00:00:00"/>
        <d v="2025-06-18T00:00:00"/>
        <d v="2025-08-31T00:00:00"/>
        <d v="2023-10-25T00:00:00"/>
        <d v="2023-02-02T00:00:00"/>
        <d v="2023-12-31T00:00:00"/>
        <d v="2024-01-04T00:00:00"/>
        <d v="2024-06-29T00:00:00"/>
        <d v="2023-04-30T00:00:00"/>
        <d v="2024-02-27T00:00:00"/>
        <d v="2024-09-26T00:00:00"/>
        <d v="2025-06-10T00:00:00"/>
        <d v="2025-09-15T00:00:00"/>
        <d v="2023-09-07T00:00:00"/>
        <d v="2024-08-05T00:00:00"/>
        <d v="2025-03-16T00:00:00"/>
        <d v="2023-01-04T00:00:00"/>
        <d v="2023-03-03T00:00:00"/>
        <d v="2023-10-12T00:00:00"/>
        <d v="2024-06-21T00:00:00"/>
        <d v="2025-01-06T00:00:00"/>
        <d v="2023-06-19T00:00:00"/>
        <d v="2025-05-29T00:00:00"/>
        <d v="2023-09-09T00:00:00"/>
        <d v="2024-11-12T00:00:00"/>
        <d v="2024-12-10T00:00:00"/>
        <d v="2023-08-24T00:00:00"/>
        <d v="2024-07-19T00:00:00"/>
        <d v="2024-06-01T00:00:00"/>
        <d v="2023-04-16T00:00:00"/>
        <d v="2023-09-02T00:00:00"/>
        <d v="2024-02-05T00:00:00"/>
        <d v="2024-10-20T00:00:00"/>
        <d v="2023-01-18T00:00:00"/>
        <d v="2024-08-21T00:00:00"/>
        <d v="2024-09-22T00:00:00"/>
        <d v="2025-06-13T00:00:00"/>
        <d v="2023-04-17T00:00:00"/>
        <d v="2023-05-29T00:00:00"/>
        <d v="2023-10-10T00:00:00"/>
        <d v="2023-11-24T00:00:00"/>
        <d v="2024-07-06T00:00:00"/>
        <d v="2024-10-03T00:00:00"/>
        <d v="2025-06-05T00:00:00"/>
        <d v="2023-01-23T00:00:00"/>
        <d v="2023-05-08T00:00:00"/>
        <d v="2023-06-23T00:00:00"/>
        <d v="2024-12-21T00:00:00"/>
        <d v="2025-05-15T00:00:00"/>
        <d v="2025-06-30T00:00:00"/>
        <d v="2023-06-02T00:00:00"/>
        <d v="2023-07-03T00:00:00"/>
        <d v="2024-01-10T00:00:00"/>
        <d v="2025-08-20T00:00:00"/>
        <d v="2025-09-11T00:00:00"/>
        <d v="2023-05-27T00:00:00"/>
        <d v="2024-05-02T00:00:00"/>
        <d v="2023-02-09T00:00:00"/>
        <d v="2023-05-19T00:00:00"/>
        <d v="2023-06-04T00:00:00"/>
        <d v="2024-02-15T00:00:00"/>
        <d v="2024-05-25T00:00:00"/>
        <d v="2024-08-04T00:00:00"/>
        <d v="2025-04-13T00:00:00"/>
        <d v="2023-11-20T00:00:00"/>
        <d v="2025-03-21T00:00:00"/>
        <d v="2025-06-17T00:00:00"/>
        <d v="2024-12-03T00:00:00"/>
        <d v="2025-06-08T00:00:00"/>
        <d v="2023-06-22T00:00:00"/>
        <d v="2023-10-15T00:00:00"/>
        <d v="2023-05-15T00:00:00"/>
        <d v="2023-07-09T00:00:00"/>
        <d v="2023-12-16T00:00:00"/>
        <d v="2023-03-16T00:00:00"/>
        <d v="2023-07-18T00:00:00"/>
        <d v="2023-12-28T00:00:00"/>
        <d v="2024-01-21T00:00:00"/>
        <d v="2024-03-27T00:00:00"/>
        <d v="2025-01-08T00:00:00"/>
        <d v="2025-07-01T00:00:00"/>
        <d v="2025-07-08T00:00:00"/>
        <d v="2023-10-20T00:00:00"/>
        <d v="2024-02-29T00:00:00"/>
        <d v="2023-07-31T00:00:00"/>
        <d v="2023-12-15T00:00:00"/>
        <d v="2024-04-15T00:00:00"/>
        <d v="2023-01-30T00:00:00"/>
        <d v="2023-03-20T00:00:00"/>
        <d v="2024-09-15T00:00:00"/>
        <d v="2024-10-16T00:00:00"/>
        <d v="2024-09-20T00:00:00"/>
        <d v="2023-03-07T00:00:00"/>
        <d v="2024-10-22T00:00:00"/>
        <d v="2025-03-23T00:00:00"/>
        <d v="2025-09-09T00:00:00"/>
        <d v="2024-04-17T00:00:00"/>
        <d v="2024-04-30T00:00:00"/>
        <d v="2024-07-02T00:00:00"/>
        <d v="2024-12-16T00:00:00"/>
        <d v="2023-01-16T00:00:00"/>
        <d v="2023-04-23T00:00:00"/>
        <d v="2023-10-04T00:00:00"/>
        <d v="2024-07-07T00:00:00"/>
        <d v="2024-08-01T00:00:00"/>
        <d v="2024-12-30T00:00:00"/>
        <d v="2025-09-03T00:00:00"/>
        <d v="2023-02-01T00:00:00"/>
        <d v="2023-03-19T00:00:00"/>
        <d v="2024-06-30T00:00:00"/>
        <d v="2025-09-16T00:00:00"/>
        <d v="2023-01-06T00:00:00"/>
        <d v="2023-12-20T00:00:00"/>
        <d v="2023-11-27T00:00:00"/>
        <d v="2025-01-16T00:00:00"/>
        <d v="2023-06-12T00:00:00"/>
        <d v="2024-10-05T00:00:00"/>
        <d v="2025-01-07T00:00:00"/>
        <d v="2025-08-10T00:00:00"/>
        <d v="2025-05-26T00:00:00"/>
        <d v="2023-03-24T00:00:00"/>
        <d v="2024-04-02T00:00:00"/>
        <d v="2025-06-26T00:00:00"/>
        <d v="2023-01-29T00:00:00"/>
        <d v="2024-04-03T00:00:00"/>
        <d v="2024-07-22T00:00:00"/>
        <d v="2023-08-02T00:00:00"/>
        <d v="2023-09-06T00:00:00"/>
        <d v="2025-04-12T00:00:00"/>
        <d v="2023-06-17T00:00:00"/>
        <d v="2023-07-22T00:00:00"/>
        <d v="2023-10-18T00:00:00"/>
        <d v="2025-03-12T00:00:00"/>
        <d v="2024-02-06T00:00:00"/>
        <d v="2024-03-01T00:00:00"/>
        <d v="2024-05-14T00:00:00"/>
        <d v="2023-11-11T00:00:00"/>
        <d v="2024-02-03T00:00:00"/>
        <d v="2024-08-31T00:00:00"/>
        <d v="2025-08-03T00:00:00"/>
        <d v="2023-04-27T00:00:00"/>
        <d v="2024-11-13T00:00:00"/>
        <d v="2023-06-05T00:00:00"/>
        <d v="2023-10-09T00:00:00"/>
        <d v="2025-06-19T00:00:00"/>
        <d v="2023-01-15T00:00:00"/>
        <d v="2023-08-28T00:00:00"/>
        <d v="2024-03-08T00:00:00"/>
        <d v="2024-04-04T00:00:00"/>
        <d v="2025-02-14T00:00:00"/>
        <d v="2024-04-01T00:00:00"/>
        <d v="2024-11-20T00:00:00"/>
        <d v="2025-02-12T00:00:00"/>
        <d v="2025-07-30T00:00:00"/>
        <d v="2025-09-26T00:00:00"/>
        <d v="2023-09-29T00:00:00"/>
        <d v="2024-06-06T00:00:00"/>
        <d v="2024-11-26T00:00:00"/>
        <d v="2025-01-05T00:00:00"/>
        <d v="2025-07-04T00:00:00"/>
        <d v="2023-08-19T00:00:00"/>
        <d v="2024-10-19T00:00:00"/>
        <d v="2025-01-31T00:00:00"/>
        <d v="2025-05-17T00:00:00"/>
        <d v="2025-05-24T00:00:00"/>
        <d v="2025-06-16T00:00:00"/>
        <d v="2025-07-22T00:00:00"/>
        <d v="2023-09-19T00:00:00"/>
        <d v="2024-10-23T00:00:00"/>
        <d v="2025-04-15T00:00:00"/>
        <d v="2025-04-19T00:00:00"/>
        <d v="2025-05-05T00:00:00"/>
        <d v="2023-04-12T00:00:00"/>
        <d v="2024-07-11T00:00:00"/>
        <d v="2025-05-08T00:00:00"/>
        <d v="2024-03-11T00:00:00"/>
        <d v="2024-07-03T00:00:00"/>
        <d v="2023-01-07T00:00:00"/>
        <d v="2023-04-28T00:00:00"/>
        <d v="2023-10-31T00:00:00"/>
        <d v="2024-02-23T00:00:00"/>
        <d v="2025-03-19T00:00:00"/>
        <d v="2023-11-26T00:00:00"/>
        <d v="2023-05-24T00:00:00"/>
        <d v="2023-09-04T00:00:00"/>
        <d v="2024-01-14T00:00:00"/>
        <d v="2025-01-22T00:00:00"/>
        <d v="2025-07-28T00:00:00"/>
        <d v="2023-03-13T00:00:00"/>
        <d v="2023-08-22T00:00:00"/>
        <d v="2023-11-23T00:00:00"/>
        <d v="2024-04-24T00:00:00"/>
        <d v="2023-05-23T00:00:00"/>
        <d v="2024-05-31T00:00:00"/>
        <d v="2023-04-09T00:00:00"/>
        <d v="2023-11-21T00:00:00"/>
        <d v="2024-03-19T00:00:00"/>
        <d v="2024-06-17T00:00:00"/>
        <d v="2025-03-11T00:00:00"/>
        <d v="2023-06-20T00:00:00"/>
        <d v="2024-08-30T00:00:00"/>
        <d v="2024-12-28T00:00:00"/>
        <d v="2025-02-02T00:00:00"/>
        <d v="2023-03-02T00:00:00"/>
        <d v="2023-05-13T00:00:00"/>
        <d v="2023-07-20T00:00:00"/>
        <d v="2023-03-05T00:00:00"/>
        <d v="2024-01-13T00:00:00"/>
        <d v="2024-11-09T00:00:00"/>
        <d v="2024-11-10T00:00:00"/>
        <d v="2025-01-24T00:00:00"/>
        <d v="2025-06-21T00:00:00"/>
        <d v="2023-02-17T00:00:00"/>
        <d v="2024-12-27T00:00:00"/>
        <d v="2025-08-29T00:00:00"/>
        <d v="2023-02-08T00:00:00"/>
        <d v="2025-07-18T00:00:00"/>
        <d v="2024-01-15T00:00:00"/>
        <d v="2024-10-07T00:00:00"/>
        <d v="2024-10-18T00:00:00"/>
        <d v="2024-12-15T00:00:00"/>
        <d v="2024-12-19T00:00:00"/>
        <d v="2025-07-10T00:00:00"/>
        <d v="2023-11-05T00:00:00"/>
        <d v="2024-03-26T00:00:00"/>
        <d v="2025-01-19T00:00:00"/>
        <d v="2023-01-14T00:00:00"/>
        <d v="2024-08-27T00:00:00"/>
        <d v="2025-04-23T00:00:00"/>
        <d v="2023-07-05T00:00:00"/>
        <d v="2024-02-18T00:00:00"/>
        <d v="2025-03-17T00:00:00"/>
        <d v="2023-10-11T00:00:00"/>
        <d v="2023-10-30T00:00:00"/>
        <d v="2023-11-17T00:00:00"/>
        <d v="2024-07-08T00:00:00"/>
        <d v="2024-08-16T00:00:00"/>
        <d v="2024-08-20T00:00:00"/>
        <d v="2025-02-09T00:00:00"/>
        <d v="2023-12-22T00:00:00"/>
        <d v="2024-05-07T00:00:00"/>
        <d v="2024-07-26T00:00:00"/>
        <d v="2025-03-15T00:00:00"/>
        <d v="2025-08-19T00:00:00"/>
        <d v="2025-09-05T00:00:00"/>
        <d v="2024-06-25T00:00:00"/>
        <d v="2024-10-12T00:00:00"/>
        <d v="2023-01-13T00:00:00"/>
        <d v="2023-02-07T00:00:00"/>
        <d v="2023-08-10T00:00:00"/>
        <d v="2024-08-11T00:00:00"/>
        <d v="2025-08-25T00:00:00"/>
        <d v="2025-08-30T00:00:00"/>
        <d v="2023-01-26T00:00:00"/>
        <d v="2023-02-23T00:00:00"/>
        <d v="2023-09-10T00:00:00"/>
        <d v="2023-10-07T00:00:00"/>
        <d v="2023-12-13T00:00:00"/>
        <d v="2024-02-13T00:00:00"/>
        <d v="2024-03-02T00:00:00"/>
        <d v="2024-06-04T00:00:00"/>
        <d v="2024-07-28T00:00:00"/>
        <d v="2023-08-25T00:00:00"/>
        <d v="2023-11-25T00:00:00"/>
        <d v="2024-04-13T00:00:00"/>
        <d v="2025-03-05T00:00:00"/>
        <d v="2023-03-18T00:00:00"/>
        <d v="2024-01-29T00:00:00"/>
        <d v="2025-02-25T00:00:00"/>
        <d v="2025-07-13T00:00:00"/>
        <d v="2023-01-17T00:00:00"/>
        <d v="2023-06-21T00:00:00"/>
        <d v="2023-08-30T00:00:00"/>
        <d v="2023-09-30T00:00:00"/>
        <d v="2023-10-02T00:00:00"/>
        <d v="2024-07-10T00:00:00"/>
        <d v="2024-03-15T00:00:00"/>
        <d v="2024-05-16T00:00:00"/>
        <d v="2024-05-21T00:00:00"/>
        <d v="2023-07-24T00:00:00"/>
        <d v="2023-12-14T00:00:00"/>
        <d v="2024-03-30T00:00:00"/>
        <d v="2024-12-17T00:00:00"/>
        <d v="2025-01-02T00:00:00"/>
        <d v="2025-02-27T00:00:00"/>
        <d v="2025-04-21T00:00:00"/>
        <d v="2025-09-25T00:00:00"/>
        <d v="2023-02-05T00:00:00"/>
        <d v="2025-02-11T00:00:00"/>
        <d v="2023-02-21T00:00:00"/>
        <d v="2023-03-23T00:00:00"/>
        <d v="2024-03-10T00:00:00"/>
        <d v="2024-04-07T00:00:00"/>
        <d v="2024-07-15T00:00:00"/>
        <d v="2025-02-08T00:00:00"/>
        <d v="2025-02-18T00:00:00"/>
        <d v="2025-04-26T00:00:00"/>
        <d v="2024-03-23T00:00:00"/>
        <d v="2024-08-28T00:00:00"/>
        <d v="2024-09-14T00:00:00"/>
        <d v="2025-07-23T00:00:00"/>
        <d v="2025-09-14T00:00:00"/>
        <d v="2023-06-15T00:00:00"/>
        <d v="2024-02-17T00:00:00"/>
        <d v="2024-04-28T00:00:00"/>
        <d v="2024-09-19T00:00:00"/>
        <d v="2024-09-25T00:00:00"/>
        <d v="2024-12-24T00:00:00"/>
        <d v="2023-08-23T00:00:00"/>
        <d v="2025-01-15T00:00:00"/>
        <d v="2024-04-09T00:00:00"/>
        <d v="2025-07-24T00:00:00"/>
        <d v="2023-02-15T00:00:00"/>
        <d v="2023-05-02T00:00:00"/>
        <d v="2023-05-06T00:00:00"/>
        <d v="2023-06-13T00:00:00"/>
        <d v="2023-09-21T00:00:00"/>
        <d v="2023-09-27T00:00:00"/>
        <d v="2024-04-25T00:00:00"/>
        <d v="2025-01-01T00:00:00"/>
        <d v="2025-09-24T00:00:00"/>
        <d v="2025-09-07T00:00:00"/>
        <d v="2025-09-19T00:00:00"/>
        <d v="2024-01-20T00:00:00"/>
        <d v="2024-12-23T00:00:00"/>
        <d v="2025-09-18T00:00:00"/>
        <d v="2023-05-25T00:00:00"/>
        <d v="2023-08-01T00:00:00"/>
        <d v="2024-01-18T00:00:00"/>
        <d v="2025-03-02T00:00:00"/>
        <d v="2025-05-07T00:00:00"/>
        <d v="2025-06-29T00:00:00"/>
        <d v="2023-02-26T00:00:00"/>
        <d v="2023-10-05T00:00:00"/>
        <d v="2024-06-15T00:00:00"/>
        <d v="2024-09-08T00:00:00"/>
        <d v="2025-03-24T00:00:00"/>
        <d v="2025-09-04T00:00:00"/>
        <d v="2023-02-16T00:00:00"/>
        <d v="2023-03-26T00:00:00"/>
        <d v="2023-12-08T00:00:00"/>
        <d v="2023-04-05T00:00:00"/>
        <d v="2024-07-21T00:00:00"/>
        <d v="2024-12-12T00:00:00"/>
        <d v="2023-07-26T00:00:00"/>
        <d v="2023-08-05T00:00:00"/>
        <d v="2024-05-18T00:00:00"/>
        <d v="2023-02-19T00:00:00"/>
        <d v="2023-08-27T00:00:00"/>
        <d v="2024-04-11T00:00:00"/>
        <d v="2023-08-04T00:00:00"/>
        <d v="2024-09-09T00:00:00"/>
        <d v="2024-09-16T00:00:00"/>
        <d v="2024-11-30T00:00:00"/>
        <d v="2023-01-21T00:00:00"/>
        <d v="2023-05-03T00:00:00"/>
        <d v="2023-12-01T00:00:00"/>
        <d v="2023-12-29T00:00:00"/>
        <d v="2025-02-17T00:00:00"/>
        <d v="2025-06-07T00:00:00"/>
        <d v="2023-04-20T00:00:00"/>
        <d v="2023-10-26T00:00:00"/>
        <d v="2024-01-28T00:00:00"/>
        <d v="2024-02-26T00:00:00"/>
        <d v="2025-05-23T00:00:00"/>
        <d v="2024-07-04T00:00:00"/>
        <d v="2025-03-25T00:00:00"/>
        <d v="2024-11-16T00:00:00"/>
        <d v="2025-01-28T00:00:00"/>
        <d v="2023-10-23T00:00:00"/>
        <d v="2024-05-22T00:00:00"/>
        <d v="2024-10-13T00:00:00"/>
        <d v="2025-09-08T00:00:00"/>
        <d v="2023-07-17T00:00:00"/>
        <d v="2024-08-10T00:00:00"/>
        <d v="2025-09-23T00:00:00"/>
        <d v="2023-05-07T00:00:00"/>
        <d v="2023-08-17T00:00:00"/>
        <d v="2024-02-07T00:00:00"/>
        <d v="2024-11-29T00:00:00"/>
        <d v="2023-08-16T00:00:00"/>
        <d v="2023-10-03T00:00:00"/>
        <d v="2024-02-21T00:00:00"/>
        <d v="2024-12-26T00:00:00"/>
        <d v="2025-01-21T00:00:00"/>
        <d v="2025-07-16T00:00:00"/>
        <d v="2025-06-02T00:00:00"/>
        <d v="2025-09-20T00:00:00"/>
        <d v="2023-12-09T00:00:00"/>
        <d v="2024-01-16T00:00:00"/>
        <d v="2024-02-22T00:00:00"/>
        <d v="2024-06-26T00:00:00"/>
        <d v="2025-01-26T00:00:00"/>
        <d v="2025-05-13T00:00:00"/>
        <d v="2025-08-12T00:00:00"/>
        <d v="2025-04-03T00:00:00"/>
        <d v="2023-01-22T00:00:00"/>
        <d v="2024-09-13T00:00:00"/>
        <d v="2024-11-06T00:00:00"/>
        <d v="2024-01-11T00:00:00"/>
        <d v="2024-04-26T00:00:00"/>
        <d v="2024-09-12T00:00:00"/>
        <d v="2024-11-22T00:00:00"/>
        <d v="2023-01-05T00:00:00"/>
        <d v="2023-10-08T00:00:00"/>
        <d v="2024-02-02T00:00:00"/>
        <d v="2024-10-26T00:00:00"/>
        <d v="2024-11-14T00:00:00"/>
        <d v="2023-02-11T00:00:00"/>
        <d v="2024-01-05T00:00:00"/>
        <d v="2024-02-01T00:00:00"/>
        <d v="2024-08-18T00:00:00"/>
        <d v="2025-01-18T00:00:00"/>
        <d v="2025-02-13T00:00:00"/>
        <d v="2025-05-19T00:00:00"/>
        <d v="2024-03-04T00:00:00"/>
        <d v="2024-09-05T00:00:00"/>
        <d v="2024-08-06T00:00:00"/>
        <d v="2023-03-31T00:00:00"/>
        <d v="2023-05-14T00:00:00"/>
        <d v="2023-07-08T00:00:00"/>
        <d v="2025-03-28T00:00:00"/>
        <d v="2025-07-05T00:00:00"/>
        <d v="2025-07-26T00:00:00"/>
        <d v="2025-09-10T00:00:00"/>
        <d v="2023-09-18T00:00:00"/>
        <d v="2023-12-23T00:00:00"/>
        <d v="2024-08-15T00:00:00"/>
        <d v="2025-03-08T00:00:00"/>
        <d v="2025-04-14T00:00:00"/>
        <d v="2023-10-16T00:00:00"/>
        <d v="2024-01-01T00:00:00"/>
        <d v="2024-06-14T00:00:00"/>
        <d v="2024-07-17T00:00:00"/>
        <d v="2024-10-29T00:00:00"/>
        <d v="2024-03-06T00:00:00"/>
        <d v="2024-07-29T00:00:00"/>
        <d v="2023-01-02T00:00:00"/>
        <d v="2023-02-13T00:00:00"/>
        <d v="2024-08-19T00:00:00"/>
        <d v="2025-05-03T00:00:00"/>
        <d v="2025-07-31T00:00:00"/>
        <d v="2024-05-20T00:00:00"/>
        <d v="2024-12-01T00:00:00"/>
        <d v="2025-08-27T00:00:00"/>
        <d v="2023-02-24T00:00:00"/>
        <d v="2024-02-19T00:00:00"/>
        <d v="2024-07-20T00:00:00"/>
        <d v="2025-04-18T00:00:00"/>
        <d v="2025-01-29T00:00:00"/>
        <d v="2023-04-03T00:00:00"/>
        <d v="2025-05-30T00:00:00"/>
        <d v="2025-07-09T00:00:00"/>
        <d v="2025-08-05T00:00:00"/>
        <d v="2024-07-18T00:00:00"/>
        <d v="2024-10-24T00:00:00"/>
        <d v="2023-03-04T00:00:00"/>
        <d v="2023-11-14T00:00:00"/>
        <d v="2024-10-11T00:00:00"/>
        <d v="2025-07-25T00:00:00"/>
        <d v="2023-10-14T00:00:00"/>
        <d v="2024-05-11T00:00:00"/>
        <d v="2025-05-27T00:00:00"/>
        <d v="2025-08-14T00:00:00"/>
        <d v="2023-12-06T00:00:00"/>
        <d v="2024-05-23T00:00:00"/>
        <d v="2024-06-16T00:00:00"/>
        <d v="2025-04-07T00:00:00"/>
        <d v="2023-11-13T00:00:00"/>
        <d v="2024-02-16T00:00:00"/>
        <d v="2024-05-15T00:00:00"/>
        <d v="2024-06-27T00:00:00"/>
        <d v="2025-03-26T00:00:00"/>
        <d v="2023-10-29T00:00:00"/>
        <d v="2023-12-19T00:00:00"/>
        <d v="2024-04-20T00:00:00"/>
        <d v="2024-11-11T00:00:00"/>
        <d v="2024-06-05T00:00:00"/>
        <d v="2024-07-30T00:00:00"/>
        <d v="2025-07-27T00:00:00"/>
        <d v="2023-09-25T00:00:00"/>
        <d v="2023-12-12T00:00:00"/>
        <d v="2024-03-21T00:00:00"/>
        <d v="2025-01-12T00:00:00"/>
        <d v="2025-04-28T00:00:00"/>
        <d v="2024-02-25T00:00:00"/>
        <d v="2024-07-16T00:00:00"/>
        <d v="2023-01-12T00:00:00"/>
        <d v="2024-01-02T00:00:00"/>
        <d v="2024-07-25T00:00:00"/>
        <d v="2024-09-07T00:00:00"/>
        <d v="2024-11-02T00:00:00"/>
        <d v="2023-03-30T00:00:00"/>
        <d v="2023-06-07T00:00:00"/>
        <d v="2024-04-12T00:00:00"/>
        <d v="2024-09-21T00:00:00"/>
        <d v="2025-09-02T00:00:00"/>
        <d v="2024-08-13T00:00:00"/>
        <d v="2023-02-28T00:00:00"/>
        <d v="2023-04-07T00:00:00"/>
        <d v="2023-06-30T00:00:00"/>
        <d v="2024-01-27T00:00:00"/>
        <d v="2023-01-28T00:00:00"/>
        <d v="2024-01-25T00:00:00"/>
        <d v="2024-06-28T00:00:00"/>
        <d v="2024-12-07T00:00:00"/>
        <d v="2023-04-01T00:00:00"/>
        <d v="2025-03-22T00:00:00"/>
        <d v="2025-07-29T00:00:00"/>
        <d v="2025-09-13T00:00:00"/>
        <d v="2023-04-19T00:00:00"/>
        <d v="2023-10-28T00:00:00"/>
        <d v="2023-12-02T00:00:00"/>
        <d v="2024-03-18T00:00:00"/>
        <d v="2024-12-29T00:00:00"/>
        <d v="2023-01-11T00:00:00"/>
        <d v="2023-04-11T00:00:00"/>
        <d v="2023-08-14T00:00:00"/>
        <d v="2024-04-29T00:00:00"/>
        <d v="2024-12-05T00:00:00"/>
        <d v="2025-08-09T00:00:00"/>
        <d v="2023-01-24T00:00:00"/>
        <d v="2024-03-22T00:00:00"/>
        <d v="2024-09-02T00:00:00"/>
        <d v="2025-09-12T00:00:00"/>
        <d v="2023-06-03T00:00:00"/>
        <d v="2024-03-25T00:00:00"/>
        <d v="2024-10-28T00:00:00"/>
        <d v="2025-01-03T00:00:00"/>
        <d v="2025-02-21T00:00:00"/>
        <d v="2023-06-26T00:00:00"/>
        <d v="2023-09-15T00:00:00"/>
        <d v="2025-01-14T00:00:00"/>
        <d v="2023-02-06T00:00:00"/>
        <d v="2023-04-29T00:00:00"/>
        <d v="2024-12-08T00:00:00"/>
        <d v="2025-03-07T00:00:00"/>
        <d v="2023-07-06T00:00:00"/>
        <d v="2023-08-03T00:00:00"/>
        <d v="2024-07-01T00:00:00"/>
        <d v="2023-01-08T00:00:00"/>
        <d v="2023-05-20T00:00:00"/>
        <d v="2024-01-08T00:00:00"/>
        <d v="2024-04-05T00:00:00"/>
        <d v="2025-02-06T00:00:00"/>
        <d v="2025-08-04T00:00:00"/>
        <d v="2023-05-31T00:00:00"/>
        <d v="2025-01-23T00:00:00"/>
        <d v="2024-06-20T00:00:00"/>
        <d v="2024-07-31T00:00:00"/>
        <d v="2024-08-22T00:00:00"/>
        <d v="2023-11-10T00:00:00"/>
        <d v="2024-06-08T00:00:00"/>
        <d v="2025-04-27T00:00:00"/>
        <d v="2023-09-22T00:00:00"/>
        <d v="2023-09-23T00:00:00"/>
        <d v="2023-11-12T00:00:00"/>
        <d v="2024-02-04T00:00:00"/>
        <d v="2025-01-20T00:00:00"/>
        <d v="2023-11-04T00:00:00"/>
        <d v="2024-04-22T00:00:00"/>
        <d v="2025-08-06T00:00:00"/>
        <d v="2023-06-08T00:00:00"/>
        <d v="2025-05-01T00:00:00"/>
        <d v="2023-08-20T00:00:00"/>
        <d v="2024-05-13T00:00:00"/>
        <d v="2024-06-10T00:00:00"/>
        <d v="2025-05-04T00:00:00"/>
        <d v="2025-05-25T00:00:00"/>
        <d v="2025-06-23T00:00:00"/>
        <d v="2025-08-26T00:00:00"/>
        <d v="2023-12-11T00:00:00"/>
        <d v="2024-02-28T00:00:00"/>
        <d v="2025-04-05T00:00:00"/>
        <d v="2025-08-24T00:00:00"/>
        <d v="2023-01-20T00:00:00"/>
        <d v="2025-06-12T00:00:00"/>
        <d v="2025-07-06T00:00:00"/>
        <d v="2024-10-27T00:00:00"/>
        <d v="2025-02-01T00:00:00"/>
        <d v="2024-11-19T00:00:00"/>
        <d v="2025-03-20T00:00:00"/>
        <d v="2025-04-01T00:00:00"/>
        <d v="2025-08-23T00:00:00"/>
        <d v="2023-06-14T00:00:00"/>
        <d v="2023-07-19T00:00:00"/>
        <d v="2024-01-26T00:00:00"/>
        <d v="2024-12-18T00:00:00"/>
        <d v="2023-07-15T00:00:00"/>
        <d v="2024-05-09T00:00:00"/>
        <d v="2024-06-24T00:00:00"/>
        <d v="2025-07-03T00:00:00"/>
        <d v="2023-03-01T00:00:00"/>
        <d v="2024-04-16T00:00:00"/>
        <d v="2024-08-14T00:00:00"/>
        <d v="2025-03-30T00:00:00"/>
        <d v="2023-12-24T00:00:00"/>
        <d v="2023-12-30T00:00:00"/>
        <d v="2024-06-09T00:00:00"/>
        <d v="2023-07-29T00:00:00"/>
        <d v="2024-05-26T00:00:00"/>
        <d v="2025-03-01T00:00:00"/>
        <d v="2024-01-22T00:00:00"/>
        <d v="2024-10-14T00:00:00"/>
        <d v="2024-12-20T00:00:00"/>
        <d v="2023-03-25T00:00:00"/>
        <d v="2024-01-23T00:00:00"/>
        <d v="2024-08-25T00:00:00"/>
        <d v="2023-06-27T00:00:00"/>
        <d v="2023-12-07T00:00:00"/>
        <d v="2024-02-12T00:00:00"/>
        <d v="2024-10-15T00:00:00"/>
        <d v="2025-05-06T00:00:00"/>
        <d v="2023-03-12T00:00:00"/>
        <d v="2023-04-02T00:00:00"/>
        <d v="2023-03-17T00:00:00"/>
        <d v="2023-05-21T00:00:00"/>
        <d v="2023-07-30T00:00:00"/>
        <d v="2023-11-07T00:00:00"/>
        <d v="2024-02-09T00:00:00"/>
        <d v="2024-10-09T00:00:00"/>
        <d v="2025-07-12T00:00:00"/>
        <d v="2025-09-22T00:00:00"/>
        <d v="2024-03-12T00:00:00"/>
        <d v="2024-07-12T00:00:00"/>
        <d v="2025-04-06T00:00:00"/>
        <d v="2025-04-24T00:00:00"/>
        <d v="2023-02-04T00:00:00"/>
        <d v="2024-12-09T00:00:00"/>
        <d v="2025-03-31T00:00:00"/>
        <d v="2023-05-04T00:00:00"/>
        <d v="2024-03-07T00:00:00"/>
        <d v="2025-05-21T00:00:00"/>
        <d v="2023-03-15T00:00:00"/>
        <d v="2023-07-11T00:00:00"/>
        <d v="2023-09-28T00:00:00"/>
        <d v="2025-04-16T00:00:00"/>
        <d v="2023-02-14T00:00:00"/>
        <d v="2023-08-09T00:00:00"/>
        <d v="2023-02-03T00:00:00"/>
        <d v="2023-12-26T00:00:00"/>
        <d v="2024-09-01T00:00:00"/>
        <d v="2025-07-02T00:00:00"/>
        <d v="2023-03-29T00:00:00"/>
        <d v="2023-07-28T00:00:00"/>
        <d v="2024-01-03T00:00:00"/>
        <d v="2025-06-24T00:00:00"/>
        <d v="2025-08-13T00:00:00"/>
        <d v="2025-09-27T00:00:00"/>
        <d v="2023-02-25T00:00:00"/>
        <d v="2023-11-01T00:00:00"/>
        <d v="2023-04-04T00:00:00"/>
        <d v="2023-11-02T00:00:00"/>
        <d v="2023-11-22T00:00:00"/>
        <d v="2024-06-12T00:00:00"/>
        <d v="2024-11-05T00:00:00"/>
        <d v="2025-05-02T00:00:00"/>
        <d v="2025-08-11T00:00:00"/>
        <d v="2023-08-11T00:00:00"/>
        <d v="2024-05-06T00:00:00"/>
        <d v="2025-03-29T00:00:00"/>
        <d v="2023-08-07T00:00:00"/>
        <d v="2023-08-31T00:00:00"/>
        <d v="2024-09-04T00:00:00"/>
        <d v="2025-02-05T00:00:00"/>
        <d v="2025-04-30T00:00:00"/>
        <d v="2025-05-28T00:00:00"/>
        <d v="2025-06-15T00:00:00"/>
        <d v="2023-05-18T00:00:00"/>
        <d v="2023-07-14T00:00:00"/>
        <d v="2024-10-10T00:00:00"/>
        <d v="2025-07-07T00:00:00"/>
        <d v="2025-07-20T00:00:00"/>
        <d v="2023-01-19T00:00:00"/>
        <d v="2023-05-10T00:00:00"/>
        <d v="2023-05-17T00:00:00"/>
        <d v="2024-04-14T00:00:00"/>
        <d v="2024-05-10T00:00:00"/>
        <d v="2025-04-04T00:00:00"/>
        <d v="2023-11-09T00:00:00"/>
        <d v="2024-06-03T00:00:00"/>
        <d v="2023-07-10T00:00:00"/>
        <d v="2024-01-09T00:00:00"/>
        <d v="2024-07-05T00:00:00"/>
        <d v="2024-09-11T00:00:00"/>
        <d v="2024-10-02T00:00:00"/>
        <d v="2023-10-13T00:00:00"/>
        <d v="2023-11-19T00:00:00"/>
        <d v="2024-04-18T00:00:00"/>
        <d v="2024-09-06T00:00:00"/>
        <d v="2024-10-30T00:00:00"/>
        <d v="2024-12-22T00:00:00"/>
        <d v="2023-08-21T00:00:00"/>
        <d v="2024-12-06T00:00:00"/>
        <d v="2025-02-28T00:00:00"/>
        <d v="2025-03-18T00:00:00"/>
        <d v="2024-02-11T00:00:00"/>
        <d v="2025-08-08T00:00:00"/>
        <d v="2023-04-22T00:00:00"/>
        <d v="2024-11-04T00:00:00"/>
        <d v="2023-02-20T00:00:00"/>
        <d v="2025-03-14T00:00:00"/>
        <d v="2025-04-09T00:00:00"/>
        <d v="2025-05-09T00:00:00"/>
        <d v="2025-07-19T00:00:00"/>
        <d v="2023-12-18T00:00:00"/>
        <d v="2025-07-15T00:00:00"/>
        <d v="2024-02-08T00:00:00"/>
        <d v="2024-07-09T00:00:00"/>
        <d v="2025-01-10T00:00:00"/>
        <d v="2023-07-12T00:00:00"/>
        <d v="2023-07-21T00:00:00"/>
        <d v="2024-07-23T00:00:00"/>
        <d v="2024-09-10T00:00:00"/>
        <d v="2023-04-18T00:00:00"/>
        <d v="2024-05-04T00:00:00"/>
        <d v="2024-10-08T00:00:00"/>
        <d v="2023-05-05T00:00:00"/>
        <d v="2024-02-14T00:00:00"/>
        <d v="2024-03-28T00:00:00"/>
        <d v="2024-09-27T00:00:00"/>
        <d v="2024-10-06T00:00:00"/>
        <d v="2025-02-22T00:00:00"/>
        <d v="2025-09-17T00:00:00"/>
        <d v="2025-01-04T00:00:00"/>
        <d v="2025-04-22T00:00:00"/>
        <d v="2023-01-03T00:00:00"/>
        <d v="2023-02-12T00:00:00"/>
        <d v="2023-09-01T00:00:00"/>
        <d v="2023-09-16T00:00:00"/>
        <d v="2024-04-21T00:00:00"/>
        <d v="2024-07-14T00:00:00"/>
        <d v="2023-12-25T00:00:00"/>
        <d v="2024-11-15T00:00:00"/>
        <d v="2025-03-03T00:00:00"/>
        <d v="2025-08-21T00:00:00"/>
        <d v="2023-08-08T00:00:00"/>
        <d v="2024-03-24T00:00:00"/>
        <d v="2025-05-11T00:00:00"/>
        <d v="2023-03-11T00:00:00"/>
        <d v="2023-07-23T00:00:00"/>
        <d v="2024-03-03T00:00:00"/>
        <d v="2024-05-28T00:00:00"/>
        <d v="2024-07-13T00:00:00"/>
        <d v="2024-08-24T00:00:00"/>
        <d v="2023-06-10T00:00:00"/>
        <d v="2023-11-15T00:00:00"/>
        <d v="2025-02-04T00:00:00"/>
        <d v="2023-04-21T00:00:00"/>
        <d v="2024-02-20T00:00:00"/>
        <d v="2024-09-24T00:00:00"/>
        <d v="2025-02-23T00:00:00"/>
        <d v="2024-01-07T00:00:00"/>
        <d v="2024-01-31T00:00:00"/>
        <d v="2024-04-08T00:00:00"/>
        <d v="2024-10-21T00:00:00"/>
        <d v="2025-06-14T00:00:00"/>
        <d v="2023-01-10T00:00:00"/>
        <d v="2023-02-22T00:00:00"/>
        <d v="2024-05-24T00:00:00"/>
        <d v="2024-11-18T00:00:00"/>
        <d v="2023-04-10T00:00:00"/>
        <d v="2024-03-29T00:00:00"/>
        <d v="2024-12-13T00:00:00"/>
        <d v="2023-05-30T00:00:00"/>
        <d v="2024-03-14T00:00:00"/>
        <d v="2024-12-31T00:00:00"/>
        <d v="2025-05-12T00:00:00"/>
        <d v="2025-08-16T00:00:00"/>
      </sharedItems>
      <fieldGroup par="23"/>
    </cacheField>
    <cacheField name="id_empleado" numFmtId="0">
      <sharedItems containsSemiMixedTypes="0" containsString="0" containsNumber="1" containsInteger="1" minValue="1" maxValue="70" count="70">
        <n v="46"/>
        <n v="63"/>
        <n v="66"/>
        <n v="12"/>
        <n v="48"/>
        <n v="37"/>
        <n v="52"/>
        <n v="57"/>
        <n v="7"/>
        <n v="58"/>
        <n v="50"/>
        <n v="11"/>
        <n v="42"/>
        <n v="8"/>
        <n v="55"/>
        <n v="38"/>
        <n v="10"/>
        <n v="65"/>
        <n v="47"/>
        <n v="62"/>
        <n v="70"/>
        <n v="51"/>
        <n v="28"/>
        <n v="5"/>
        <n v="27"/>
        <n v="40"/>
        <n v="49"/>
        <n v="31"/>
        <n v="20"/>
        <n v="2"/>
        <n v="53"/>
        <n v="61"/>
        <n v="32"/>
        <n v="41"/>
        <n v="25"/>
        <n v="21"/>
        <n v="6"/>
        <n v="4"/>
        <n v="39"/>
        <n v="59"/>
        <n v="29"/>
        <n v="13"/>
        <n v="24"/>
        <n v="19"/>
        <n v="45"/>
        <n v="60"/>
        <n v="30"/>
        <n v="44"/>
        <n v="15"/>
        <n v="9"/>
        <n v="56"/>
        <n v="22"/>
        <n v="69"/>
        <n v="36"/>
        <n v="14"/>
        <n v="68"/>
        <n v="34"/>
        <n v="18"/>
        <n v="33"/>
        <n v="67"/>
        <n v="35"/>
        <n v="16"/>
        <n v="43"/>
        <n v="26"/>
        <n v="23"/>
        <n v="64"/>
        <n v="17"/>
        <n v="54"/>
        <n v="1"/>
        <n v="3"/>
      </sharedItems>
    </cacheField>
    <cacheField name="antiguedad_vendedor" numFmtId="0">
      <sharedItems containsSemiMixedTypes="0" containsString="0" containsNumber="1" containsInteger="1" minValue="0" maxValue="13"/>
    </cacheField>
    <cacheField name="id_cliente" numFmtId="0">
      <sharedItems containsSemiMixedTypes="0" containsString="0" containsNumber="1" containsInteger="1" minValue="1" maxValue="280"/>
    </cacheField>
    <cacheField name="nombre_cliente" numFmtId="0">
      <sharedItems count="276">
        <s v="Agustina Rosa Rojas Pastén"/>
        <s v="Alejandra Castro Torres"/>
        <s v="Alejandra Navarro"/>
        <s v="Alejandra Vega"/>
        <s v="Alejandro Rodrigo Toro Espinoza"/>
        <s v="Alexandra Fuentes Lara"/>
        <s v="Alexi Ignacio Azócar Chávez"/>
        <s v="Alexis Juan Contreras Vega"/>
        <s v="Alfonso José Sáez Barrientos"/>
        <s v="Alfredo Vega"/>
        <s v="Alison Araya-Millán"/>
        <s v="Amanda Gutiérrez"/>
        <s v="Amparo Javiera Rodríguez Contreras"/>
        <s v="Ana Martinez García"/>
        <s v="Ana Mercado Araya"/>
        <s v="Ana Varela López"/>
        <s v="Anahí Ana Cornejo Mendoza"/>
        <s v="Anahí Araya"/>
        <s v="Andrea Ahumada Chávez"/>
        <s v="Andrea Josefina Galaz Ríos"/>
        <s v="Andrés Díaz Ortega"/>
        <s v="Angélica Reyes"/>
        <s v="Angelo Juan Vivanco Escobar"/>
        <s v="Antonella Julia Urrutia Oyarzo"/>
        <s v="Ariel Andrade"/>
        <s v="Arnoldo Anselmo Cubillos Veloso"/>
        <s v="Arturo Ángel Corvalán Salazar"/>
        <s v="Bárbara Molina Aranda"/>
        <s v="Bárbara Tello"/>
        <s v="Bárbara Torres"/>
        <s v="Bárbara Valeria Vergara Solar"/>
        <s v="Bastián Kevin Oñate Toledo"/>
        <s v="Belén Gamboa Carvajal"/>
        <s v="Belén Ruth Mansilla Caro"/>
        <s v="Benjamín Abarca"/>
        <s v="Benjamín Claudio Riffo Cid"/>
        <s v="Benjamín Fernando Olea Retamal"/>
        <s v="Berta Huerta García"/>
        <s v="Blanca Anahí González Retamal"/>
        <s v="Braulio Diego Mondaca Muñoz"/>
        <s v="Brayan Amaro Araya Valenzuela"/>
        <s v="Camila Florencia Parra Muñoz"/>
        <s v="Camila Natalia Pérez Arroyo"/>
        <s v="Carlos Aranda-Ortiz"/>
        <s v="Carlos David Miranda Cifuentes"/>
        <s v="Carlos Fuentes Vargas"/>
        <s v="Carlos Pérez"/>
        <s v="Carlos Valdés Muñoz"/>
        <s v="Carlos Wladimir Lara Muñoz"/>
        <s v="Carmen Fuenzalida López"/>
        <s v="Carol Adelina Maldonado Saavedra"/>
        <s v="Carol Antonia Sandoval Chávez"/>
        <s v="Carolina González Ruiz"/>
        <s v="Carolina Patricia Espinoza Berríos"/>
        <s v="Carolina Pinto"/>
        <s v="Carolina Villagrán Miranda"/>
        <s v="Cecilia Edith Muñoz Toro"/>
        <s v="César Carlos Espinoza Uribe"/>
        <s v="Christian Francisco Rojas Oyarzo"/>
        <s v="Clara Rosa Aros Guerrero"/>
        <s v="Claudio Diego Cisterna Rojas"/>
        <s v="Claudio Fernando Morales Bravo"/>
        <s v="Claudio Rodrigo Mancilla Sáez"/>
        <s v="Constanza Osorio"/>
        <s v="Constanza Seguel Morales"/>
        <s v="Cristian Daniel Muñoz Morales"/>
        <s v="Cristian Marambio Reyes"/>
        <s v="Cristóbal Pastén Leal"/>
        <s v="Daniel Alejandro Rivera Ibarra"/>
        <s v="Daniela Francisca Palacios Allendes"/>
        <s v="Darwin Ramón Saavedra Pino"/>
        <s v="David Javier Muñoz González"/>
        <s v="David Márquez"/>
        <s v="Edith Uberlinda Jiménez Valenzuela"/>
        <s v="Eduardo Castro Rivera"/>
        <s v="Eduardo Escobar Castro"/>
        <s v="Eduardo Manuel Morales Riffo"/>
        <s v="Eduardo René Valenzuela Venegas"/>
        <s v="Eladio Sandro Gaete Salazar"/>
        <s v="Elia Alicia Araya Mora"/>
        <s v="Elizabeth Meléndez Pacheco"/>
        <s v="Elsa Llanos"/>
        <s v="Emilia Consuelo González Vallejos"/>
        <s v="Emiliano Hernández Castillo"/>
        <s v="Esteban Cárdenas Silva"/>
        <s v="Fabián Cristian Hormazábal Villablanca"/>
        <s v="Fanny María Gómez Hernández"/>
        <s v="Felipe Cofré Molina"/>
        <s v="Felipe Daniel González Salinas"/>
        <s v="Fernanda Carmen Mora Guerrero"/>
        <s v="Fernanda Pérez Calderón"/>
        <s v="Fernando Robles González"/>
        <s v="Flavia Estela Cruz Castro"/>
        <s v="Flor Samantha Méndez Cuevas"/>
        <s v="Florinda Josefa Cortés Morales"/>
        <s v="Francisca Carla Muñoz Huerta"/>
        <s v="Francisca Valenzuela Pavez"/>
        <s v="Francisco Ramírez Faúndez"/>
        <s v="Francisco Raúl Guerrero-Romero Sánchez"/>
        <s v="Franco Espinosa"/>
        <s v="Franklin Torres Pastén"/>
        <s v="Gaspar Cristian Vega Venegas"/>
        <s v="Gaspar Oscar Concha Torres"/>
        <s v="Génesis Macarena Venegas Sepúlveda"/>
        <s v="Geraldine Irma Álvarez Díaz"/>
        <s v="Germán Bustamante Valenzuela"/>
        <s v="Germán González Hermosilla"/>
        <s v="Gisela Carol Ávila Suárez"/>
        <s v="Gloria Durán"/>
        <s v="Gloria Leyton"/>
        <s v="Gloria Lidia García Toledo"/>
        <s v="Gloria Pereira González"/>
        <s v="Gloria Urra Ramos"/>
        <s v="Gonzalo Felipe Martínez Acevedo"/>
        <s v="Gonzalo Jorge Muñoz Reyes"/>
        <s v="Guillermo Oscar Cid Díaz"/>
        <s v="Héctor Benjamín Sánchez Muñoz"/>
        <s v="Héctor Pérez Carrasco"/>
        <s v="Héctor Ramírez"/>
        <s v="Hernán Benjamín Lira González"/>
        <s v="Hilda Javiera Cofré Lucero"/>
        <s v="Humberto José Rivera Leiva"/>
        <s v="Ian Dante Tapia Pereira"/>
        <s v="Ingrid María Velásquez Herrera"/>
        <s v="Irma Espinoza Araya"/>
        <s v="Isaac Gutiérrez"/>
        <s v="Jacqueline Amanda Martínez Osorio"/>
        <s v="Jaime Toloza Díaz"/>
        <s v="Jairo Ian Villanueva Orellana"/>
        <s v="Javier Aravena"/>
        <s v="Javier Diego Navarrete Peña"/>
        <s v="Joaquín Jaime Segura Parra"/>
        <s v="Jocelyn Gabriela López Guzmán"/>
        <s v="John Alvarado Albornoz"/>
        <s v="Jorge Enrique Vidal Castillo"/>
        <s v="Jorge Giovanny Valencia Ramírez"/>
        <s v="Jorge Joaquín Sánchez Leiva"/>
        <s v="Jorge Rafael Riquelme Vargas"/>
        <s v="José Alejandro Araya Barros"/>
        <s v="José Ángel Fuentes Gutiérrez"/>
        <s v="José Juan Vargas Vega"/>
        <s v="José Patricio Valenzuela Estay"/>
        <s v="Josefa Berta Salazar Garrido"/>
        <s v="Josefa Plaza"/>
        <s v="Josefa Segura Verdugo"/>
        <s v="Juan Héctor Castro Silva"/>
        <s v="Juan Michel Maldonado Molina"/>
        <s v="Juan Morales Sánchez"/>
        <s v="Juan Rivera"/>
        <s v="Juan Rodríguez Acevedo"/>
        <s v="Juan Vergara Sandoval"/>
        <s v="Juana Morales Novoa"/>
        <s v="Julia Solange Maturana Cáceres"/>
        <s v="Karin Elena Jaramillo Carrasco"/>
        <s v="Laura Aguilera Orellana"/>
        <s v="Laura Mary Sánchez Quintanilla"/>
        <s v="Laura Peñaloza Díaz"/>
        <s v="Leonor Corvalán"/>
        <s v="Leonor María Romero Fuentes"/>
        <s v="Lidia Tapia"/>
        <s v="Lissette Susan Mella Sánchez"/>
        <s v="Lorenza Ramírez Espinoza"/>
        <s v="Lucas Álvaro Acevedo Agurto"/>
        <s v="Lucas Miguel San Martín Catalán"/>
        <s v="Luis Carvajal"/>
        <s v="Luis Chávez Tello"/>
        <s v="Luis Cisternas Apablaza"/>
        <s v="Luis Franco Barros Hermosilla"/>
        <s v="Luis Gabriel Barrera Castillo"/>
        <s v="Luis Guillermo Muñoz Cerda"/>
        <s v="Luis Víctor Garrido Cortés"/>
        <s v="Luisa Pía Figueroa Moreno"/>
        <s v="Luz Pía Guerra Castillo"/>
        <s v="Maite Díaz"/>
        <s v="Manuel Alonso Núñez Santibáñez"/>
        <s v="Manuel Candia Garrido"/>
        <s v="Manuel Muñoz González"/>
        <s v="Manuel Rodríguez"/>
        <s v="Manuel Rodríguez Pérez"/>
        <s v="Manuel Tomás Espinoza Díaz"/>
        <s v="Margarita Gladys Riquelme Mamani"/>
        <s v="María Amanda Vargas Alarcón"/>
        <s v="María Anahí Mella Carrasco"/>
        <s v="María Ávalos Vergara"/>
        <s v="María Bravo Vásquez"/>
        <s v="María Evelyn Rodríguez Mardones"/>
        <s v="María Fabiana Navarro Valencia"/>
        <s v="María González Alfaro"/>
        <s v="María Josefina Flores Manríquez"/>
        <s v="María Lorena Bórquez Rodríguez"/>
        <s v="María Mayte González Villegas"/>
        <s v="María Palacios"/>
        <s v="María Silvia Parra Espinosa"/>
        <s v="María Sofía Morales Arellano"/>
        <s v="María Soto Castillo"/>
        <s v="Mariana Patricia Allende Moya"/>
        <s v="Mariela Urzúa Moreno"/>
        <s v="Marina Carolina Palacios Araneda"/>
        <s v="Mario Daniel Hernández Álvarez"/>
        <s v="Mario Fonseca"/>
        <s v="Marisol Vera-León Riquelme"/>
        <s v="Maritza Thiare Mora Miranda"/>
        <s v="Martín Jorge Vergara Sáez"/>
        <s v="Matías Kevin Pérez Escalona"/>
        <s v="Matilda Denisse Gatica Gutiérrez"/>
        <s v="Mauricio Astorga"/>
        <s v="Mauricio Paul Gajardo Córdova"/>
        <s v="Máximo Pablo Leal Romero"/>
        <s v="Melania Jessica Urrutia Palacios"/>
        <s v="Miguel Araya Segura"/>
        <s v="Miguel Avendaño Soto"/>
        <s v="Miguel Esteban Soto Silva"/>
        <s v="Miguel Roberto Villagrán Iturra"/>
        <s v="Milagros Marisol Tapia Rubio"/>
        <s v="Mónica Araya Álvarez"/>
        <s v="Nelson Francisco Baeza Fuenzalida"/>
        <s v="Nicolás Soto Aguilera"/>
        <s v="Noelia Lizama"/>
        <s v="Olga Agustina Rojas Rodríguez"/>
        <s v="Olivia Pino Pizarro"/>
        <s v="Omar Maximiliano Molina Fuentes"/>
        <s v="Osvaldo Víctor Rivera Palma"/>
        <s v="Pablo Arroyo López"/>
        <s v="Pablo Franco Saldías Ruiz"/>
        <s v="Pablo Salazar"/>
        <s v="Patricia Antonia García Muñoz"/>
        <s v="Patricia Raquel Reyes Parra"/>
        <s v="Patricio Gonzalo Toledo Arce"/>
        <s v="Patricio Luis Guzmán Herrera"/>
        <s v="Paulino Vargas Farías"/>
        <s v="Pedro Héctor Toro Soto"/>
        <s v="Pedro Jorge Cartes Pérez"/>
        <s v="Pedro Pablo Castro Ojeda"/>
        <s v="Pedro Ramón Serrano Ibáñez"/>
        <s v="Raimundo Mario Rubilar Flores"/>
        <s v="Raquel Guadalupe Canales Maturana"/>
        <s v="Raquel Silva Méndez"/>
        <s v="Ricardo Iván Zapata Riquelme"/>
        <s v="Roberto Moreno Jorquera"/>
        <s v="Rodrigo Cornejo Aranda"/>
        <s v="Rolando Patricio Muñoz Barría"/>
        <s v="Romina Cruz"/>
        <s v="Rosa Gaete Castro"/>
        <s v="Rossana Flores"/>
        <s v="Rubén Castillo"/>
        <s v="Rudecindo Cares"/>
        <s v="Samuel Aguilera"/>
        <s v="Samuel Arias"/>
        <s v="Samuel Arias Gatica"/>
        <s v="Sara Saavedra"/>
        <s v="Sebastián Hormazábal Sepúlveda"/>
        <s v="Sergio Carlos Cerda-Reyes Toledo"/>
        <s v="Sergio Carlos Pavez Díaz"/>
        <s v="Sergio Guerrero Salazar"/>
        <s v="Stephanie Hilda Muñoz Elgueta"/>
        <s v="Susana María Soto Véliz"/>
        <s v="Tamara Maritza Inostroza Márquez"/>
        <s v="Tatiana Catalina Gutiérrez Quiroz"/>
        <s v="Tatiana Claudia Jara Herrera"/>
        <s v="Teresa Claudia Tobar Moya"/>
        <s v="Teresa María Alvarado Guerra"/>
        <s v="Tomás Johan Vargas Leiva"/>
        <s v="Ulises Bruno Gallardo Piña"/>
        <s v="Valeska Godoy Riquelme"/>
        <s v="Vanessa Emilia Osorio Saavedra"/>
        <s v="Vanessa Silva Campos"/>
        <s v="Vania Evelyn Leyton García"/>
        <s v="Verónica Cartes Rebolledo"/>
        <s v="Vicente Juan Cáceres Castillo"/>
        <s v="Víctor Alejandro Ramírez Soto"/>
        <s v="Víctor Matamala"/>
        <s v="Víctor Raúl Ibarra Paredes"/>
        <s v="Vilma Leyla Escobar Fuentes"/>
        <s v="Ximena Susana Medina Duarte"/>
        <s v="Yaritza Quiroga Martínez"/>
        <s v="Yasna Colomba Olivares Prieto"/>
      </sharedItems>
    </cacheField>
    <cacheField name="email_cliente" numFmtId="0">
      <sharedItems/>
    </cacheField>
    <cacheField name="genero_cliente" numFmtId="0">
      <sharedItems count="2">
        <s v="Mujer"/>
        <s v="Hombre"/>
      </sharedItems>
    </cacheField>
    <cacheField name="edad_cliente" numFmtId="0">
      <sharedItems containsSemiMixedTypes="0" containsString="0" containsNumber="1" containsInteger="1" minValue="18" maxValue="75"/>
    </cacheField>
    <cacheField name="ciudad_cliente" numFmtId="0">
      <sharedItems count="10">
        <s v="La Serena"/>
        <s v="Rancagua"/>
        <s v="Talcahuano"/>
        <s v="Viña del Mar"/>
        <s v="Valparaíso"/>
        <s v="Concepción"/>
        <s v="Puerto Montt"/>
        <s v="Temuco"/>
        <s v="Antofagasta"/>
        <s v="Santiago"/>
      </sharedItems>
    </cacheField>
    <cacheField name="region_cliente" numFmtId="0">
      <sharedItems count="8">
        <s v="Coquimbo"/>
        <s v="O'Higgins"/>
        <s v="Biobío"/>
        <s v="Valparaíso"/>
        <s v="Los Lagos"/>
        <s v="La Araucanía"/>
        <s v="Antofagasta"/>
        <s v="Metropolitana"/>
      </sharedItems>
    </cacheField>
    <cacheField name="canal_venta" numFmtId="0">
      <sharedItems count="3">
        <s v="Web"/>
        <s v="Tienda"/>
        <s v="App"/>
      </sharedItems>
    </cacheField>
    <cacheField name="producto" numFmtId="0">
      <sharedItems count="10">
        <s v="Polera"/>
        <s v="TV"/>
        <s v="Smartphone"/>
        <s v="Lavadora"/>
        <s v="Zapatillas"/>
        <s v="Notebook"/>
        <s v="Refrigerador"/>
        <s v="Pantalón"/>
        <s v="Perfume"/>
        <s v="Maquillaje"/>
      </sharedItems>
    </cacheField>
    <cacheField name="categoria_producto" numFmtId="0">
      <sharedItems count="5">
        <s v="Vestuario"/>
        <s v="Electrohogar"/>
        <s v="Tecnología"/>
        <s v="Calzado"/>
        <s v="Belleza"/>
      </sharedItems>
    </cacheField>
    <cacheField name="precio_unitario" numFmtId="0">
      <sharedItems containsSemiMixedTypes="0" containsString="0" containsNumber="1" containsInteger="1" minValue="12000" maxValue="800000"/>
    </cacheField>
    <cacheField name="cantidad" numFmtId="0">
      <sharedItems containsSemiMixedTypes="0" containsString="0" containsNumber="1" containsInteger="1" minValue="1" maxValue="3"/>
    </cacheField>
    <cacheField name="descuento_pct" numFmtId="2">
      <sharedItems containsSemiMixedTypes="0" containsString="0" containsNumber="1" minValue="0" maxValue="0.1"/>
    </cacheField>
    <cacheField name="Total_Productos" numFmtId="0">
      <sharedItems containsSemiMixedTypes="0" containsString="0" containsNumber="1" containsInteger="1" minValue="12000" maxValue="2400000"/>
    </cacheField>
    <cacheField name="Valor_descuento" numFmtId="0">
      <sharedItems containsSemiMixedTypes="0" containsString="0" containsNumber="1" containsInteger="1" minValue="0" maxValue="240000"/>
    </cacheField>
    <cacheField name="Total_ventas" numFmtId="0">
      <sharedItems containsSemiMixedTypes="0" containsString="0" containsNumber="1" containsInteger="1" minValue="10800" maxValue="2400000"/>
    </cacheField>
    <cacheField name="Categ cliente" numFmtId="0" formula=" 0" databaseField="0"/>
    <cacheField name="Meses (fecha_venta)" numFmtId="0" databaseField="0">
      <fieldGroup base="1">
        <rangePr groupBy="months" startDate="2023-01-02T00:00:00" endDate="2025-09-28T00:00:00"/>
        <groupItems count="14">
          <s v="&lt;02/01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8/09/2025"/>
        </groupItems>
      </fieldGroup>
    </cacheField>
    <cacheField name="Trimestres (fecha_venta)" numFmtId="0" databaseField="0">
      <fieldGroup base="1">
        <rangePr groupBy="quarters" startDate="2023-01-02T00:00:00" endDate="2025-09-28T00:00:00"/>
        <groupItems count="6">
          <s v="&lt;02/01/2023"/>
          <s v="Trim.1"/>
          <s v="Trim.2"/>
          <s v="Trim.3"/>
          <s v="Trim.4"/>
          <s v="&gt;28/09/2025"/>
        </groupItems>
      </fieldGroup>
    </cacheField>
    <cacheField name="Años (fecha_venta)" numFmtId="0" databaseField="0">
      <fieldGroup base="1">
        <rangePr groupBy="years" startDate="2023-01-02T00:00:00" endDate="2025-09-28T00:00:00"/>
        <groupItems count="5">
          <s v="&lt;02/01/2023"/>
          <s v="2023"/>
          <s v="2024"/>
          <s v="2025"/>
          <s v="&gt;28/09/2025"/>
        </groupItems>
      </fieldGroup>
    </cacheField>
  </cacheFields>
  <extLst>
    <ext xmlns:x14="http://schemas.microsoft.com/office/spreadsheetml/2009/9/main" uri="{725AE2AE-9491-48be-B2B4-4EB974FC3084}">
      <x14:pivotCacheDefinition pivotCacheId="58524175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ckson" refreshedDate="46033.728571296298" createdVersion="8" refreshedVersion="8" minRefreshableVersion="3" recordCount="276" xr:uid="{ADE7CFB3-2667-48AE-921D-E13073280EE5}">
  <cacheSource type="worksheet">
    <worksheetSource ref="B35:J311" sheet="Clientes"/>
  </cacheSource>
  <cacheFields count="8">
    <cacheField name="Nombres" numFmtId="0">
      <sharedItems count="276">
        <s v="Agustina Rosa Rojas Pastén"/>
        <s v="Alejandra Castro Torres"/>
        <s v="Alejandra Navarro"/>
        <s v="Alejandra Vega"/>
        <s v="Alejandro Rodrigo Toro Espinoza"/>
        <s v="Alexandra Fuentes Lara"/>
        <s v="Alexi Ignacio Azócar Chávez"/>
        <s v="Alexis Juan Contreras Vega"/>
        <s v="Alfonso José Sáez Barrientos"/>
        <s v="Alfredo Vega"/>
        <s v="Alison Araya-Millán"/>
        <s v="Amanda Gutiérrez"/>
        <s v="Amparo Javiera Rodríguez Contreras"/>
        <s v="Ana Martinez García"/>
        <s v="Ana Mercado Araya"/>
        <s v="Ana Varela López"/>
        <s v="Anahí Ana Cornejo Mendoza"/>
        <s v="Anahí Araya"/>
        <s v="Andrea Ahumada Chávez"/>
        <s v="Andrea Josefina Galaz Ríos"/>
        <s v="Andrés Díaz Ortega"/>
        <s v="Angélica Reyes"/>
        <s v="Angelo Juan Vivanco Escobar"/>
        <s v="Antonella Julia Urrutia Oyarzo"/>
        <s v="Ariel Andrade"/>
        <s v="Arnoldo Anselmo Cubillos Veloso"/>
        <s v="Arturo Ángel Corvalán Salazar"/>
        <s v="Bárbara Molina Aranda"/>
        <s v="Bárbara Tello"/>
        <s v="Bárbara Torres"/>
        <s v="Bárbara Valeria Vergara Solar"/>
        <s v="Bastián Kevin Oñate Toledo"/>
        <s v="Belén Gamboa Carvajal"/>
        <s v="Belén Ruth Mansilla Caro"/>
        <s v="Benjamín Abarca"/>
        <s v="Benjamín Claudio Riffo Cid"/>
        <s v="Benjamín Fernando Olea Retamal"/>
        <s v="Berta Huerta García"/>
        <s v="Blanca Anahí González Retamal"/>
        <s v="Braulio Diego Mondaca Muñoz"/>
        <s v="Brayan Amaro Araya Valenzuela"/>
        <s v="Camila Florencia Parra Muñoz"/>
        <s v="Camila Natalia Pérez Arroyo"/>
        <s v="Carlos Aranda-Ortiz"/>
        <s v="Carlos David Miranda Cifuentes"/>
        <s v="Carlos Fuentes Vargas"/>
        <s v="Carlos Pérez"/>
        <s v="Carlos Valdés Muñoz"/>
        <s v="Carlos Wladimir Lara Muñoz"/>
        <s v="Carmen Fuenzalida López"/>
        <s v="Carol Adelina Maldonado Saavedra"/>
        <s v="Carol Antonia Sandoval Chávez"/>
        <s v="Carolina González Ruiz"/>
        <s v="Carolina Patricia Espinoza Berríos"/>
        <s v="Carolina Pinto"/>
        <s v="Carolina Villagrán Miranda"/>
        <s v="Cecilia Edith Muñoz Toro"/>
        <s v="César Carlos Espinoza Uribe"/>
        <s v="Christian Francisco Rojas Oyarzo"/>
        <s v="Clara Rosa Aros Guerrero"/>
        <s v="Claudio Diego Cisterna Rojas"/>
        <s v="Claudio Fernando Morales Bravo"/>
        <s v="Claudio Rodrigo Mancilla Sáez"/>
        <s v="Constanza Osorio"/>
        <s v="Constanza Seguel Morales"/>
        <s v="Cristian Daniel Muñoz Morales"/>
        <s v="Cristian Marambio Reyes"/>
        <s v="Cristóbal Pastén Leal"/>
        <s v="Daniel Alejandro Rivera Ibarra"/>
        <s v="Daniela Francisca Palacios Allendes"/>
        <s v="Darwin Ramón Saavedra Pino"/>
        <s v="David Javier Muñoz González"/>
        <s v="David Márquez"/>
        <s v="Edith Uberlinda Jiménez Valenzuela"/>
        <s v="Eduardo Castro Rivera"/>
        <s v="Eduardo Escobar Castro"/>
        <s v="Eduardo Manuel Morales Riffo"/>
        <s v="Eduardo René Valenzuela Venegas"/>
        <s v="Eladio Sandro Gaete Salazar"/>
        <s v="Elia Alicia Araya Mora"/>
        <s v="Elizabeth Meléndez Pacheco"/>
        <s v="Elsa Llanos"/>
        <s v="Emilia Consuelo González Vallejos"/>
        <s v="Emiliano Hernández Castillo"/>
        <s v="Esteban Cárdenas Silva"/>
        <s v="Fabián Cristian Hormazábal Villablanca"/>
        <s v="Fanny María Gómez Hernández"/>
        <s v="Felipe Cofré Molina"/>
        <s v="Felipe Daniel González Salinas"/>
        <s v="Fernanda Carmen Mora Guerrero"/>
        <s v="Fernanda Pérez Calderón"/>
        <s v="Fernando Robles González"/>
        <s v="Flavia Estela Cruz Castro"/>
        <s v="Flor Samantha Méndez Cuevas"/>
        <s v="Florinda Josefa Cortés Morales"/>
        <s v="Francisca Carla Muñoz Huerta"/>
        <s v="Francisca Valenzuela Pavez"/>
        <s v="Francisco Ramírez Faúndez"/>
        <s v="Francisco Raúl Guerrero-Romero Sánchez"/>
        <s v="Franco Espinosa"/>
        <s v="Franklin Torres Pastén"/>
        <s v="Gaspar Cristian Vega Venegas"/>
        <s v="Gaspar Oscar Concha Torres"/>
        <s v="Génesis Macarena Venegas Sepúlveda"/>
        <s v="Geraldine Irma Álvarez Díaz"/>
        <s v="Germán Bustamante Valenzuela"/>
        <s v="Germán González Hermosilla"/>
        <s v="Gisela Carol Ávila Suárez"/>
        <s v="Gloria Durán"/>
        <s v="Gloria Leyton"/>
        <s v="Gloria Lidia García Toledo"/>
        <s v="Gloria Pereira González"/>
        <s v="Gloria Urra Ramos"/>
        <s v="Gonzalo Felipe Martínez Acevedo"/>
        <s v="Gonzalo Jorge Muñoz Reyes"/>
        <s v="Guillermo Oscar Cid Díaz"/>
        <s v="Héctor Benjamín Sánchez Muñoz"/>
        <s v="Héctor Pérez Carrasco"/>
        <s v="Héctor Ramírez"/>
        <s v="Hernán Benjamín Lira González"/>
        <s v="Hilda Javiera Cofré Lucero"/>
        <s v="Humberto José Rivera Leiva"/>
        <s v="Ian Dante Tapia Pereira"/>
        <s v="Ingrid María Velásquez Herrera"/>
        <s v="Irma Espinoza Araya"/>
        <s v="Isaac Gutiérrez"/>
        <s v="Jacqueline Amanda Martínez Osorio"/>
        <s v="Jaime Toloza Díaz"/>
        <s v="Jairo Ian Villanueva Orellana"/>
        <s v="Javier Aravena"/>
        <s v="Javier Diego Navarrete Peña"/>
        <s v="Joaquín Jaime Segura Parra"/>
        <s v="Jocelyn Gabriela López Guzmán"/>
        <s v="John Alvarado Albornoz"/>
        <s v="Jorge Enrique Vidal Castillo"/>
        <s v="Jorge Giovanny Valencia Ramírez"/>
        <s v="Jorge Joaquín Sánchez Leiva"/>
        <s v="Jorge Rafael Riquelme Vargas"/>
        <s v="José Alejandro Araya Barros"/>
        <s v="José Ángel Fuentes Gutiérrez"/>
        <s v="José Juan Vargas Vega"/>
        <s v="José Patricio Valenzuela Estay"/>
        <s v="Josefa Berta Salazar Garrido"/>
        <s v="Josefa Plaza"/>
        <s v="Josefa Segura Verdugo"/>
        <s v="Juan Héctor Castro Silva"/>
        <s v="Juan Michel Maldonado Molina"/>
        <s v="Juan Morales Sánchez"/>
        <s v="Juan Rivera"/>
        <s v="Juan Rodríguez Acevedo"/>
        <s v="Juan Vergara Sandoval"/>
        <s v="Juana Morales Novoa"/>
        <s v="Julia Solange Maturana Cáceres"/>
        <s v="Karin Elena Jaramillo Carrasco"/>
        <s v="Laura Aguilera Orellana"/>
        <s v="Laura Mary Sánchez Quintanilla"/>
        <s v="Laura Peñaloza Díaz"/>
        <s v="Leonor Corvalán"/>
        <s v="Leonor María Romero Fuentes"/>
        <s v="Lidia Tapia"/>
        <s v="Lissette Susan Mella Sánchez"/>
        <s v="Lorenza Ramírez Espinoza"/>
        <s v="Lucas Álvaro Acevedo Agurto"/>
        <s v="Lucas Miguel San Martín Catalán"/>
        <s v="Luis Carvajal"/>
        <s v="Luis Chávez Tello"/>
        <s v="Luis Cisternas Apablaza"/>
        <s v="Luis Franco Barros Hermosilla"/>
        <s v="Luis Gabriel Barrera Castillo"/>
        <s v="Luis Guillermo Muñoz Cerda"/>
        <s v="Luis Víctor Garrido Cortés"/>
        <s v="Luisa Pía Figueroa Moreno"/>
        <s v="Luz Pía Guerra Castillo"/>
        <s v="Maite Díaz"/>
        <s v="Manuel Alonso Núñez Santibáñez"/>
        <s v="Manuel Candia Garrido"/>
        <s v="Manuel Muñoz González"/>
        <s v="Manuel Rodríguez"/>
        <s v="Manuel Rodríguez Pérez"/>
        <s v="Manuel Tomás Espinoza Díaz"/>
        <s v="Margarita Gladys Riquelme Mamani"/>
        <s v="María Amanda Vargas Alarcón"/>
        <s v="María Anahí Mella Carrasco"/>
        <s v="María Ávalos Vergara"/>
        <s v="María Bravo Vásquez"/>
        <s v="María Evelyn Rodríguez Mardones"/>
        <s v="María Fabiana Navarro Valencia"/>
        <s v="María González Alfaro"/>
        <s v="María Josefina Flores Manríquez"/>
        <s v="María Lorena Bórquez Rodríguez"/>
        <s v="María Mayte González Villegas"/>
        <s v="María Palacios"/>
        <s v="María Silvia Parra Espinosa"/>
        <s v="María Sofía Morales Arellano"/>
        <s v="María Soto Castillo"/>
        <s v="Mariana Patricia Allende Moya"/>
        <s v="Mariela Urzúa Moreno"/>
        <s v="Marina Carolina Palacios Araneda"/>
        <s v="Mario Daniel Hernández Álvarez"/>
        <s v="Mario Fonseca"/>
        <s v="Marisol Vera-León Riquelme"/>
        <s v="Maritza Thiare Mora Miranda"/>
        <s v="Martín Jorge Vergara Sáez"/>
        <s v="Matías Kevin Pérez Escalona"/>
        <s v="Matilda Denisse Gatica Gutiérrez"/>
        <s v="Mauricio Astorga"/>
        <s v="Mauricio Paul Gajardo Córdova"/>
        <s v="Máximo Pablo Leal Romero"/>
        <s v="Melania Jessica Urrutia Palacios"/>
        <s v="Miguel Araya Segura"/>
        <s v="Miguel Avendaño Soto"/>
        <s v="Miguel Esteban Soto Silva"/>
        <s v="Miguel Roberto Villagrán Iturra"/>
        <s v="Milagros Marisol Tapia Rubio"/>
        <s v="Mónica Araya Álvarez"/>
        <s v="Nelson Francisco Baeza Fuenzalida"/>
        <s v="Nicolás Soto Aguilera"/>
        <s v="Noelia Lizama"/>
        <s v="Olga Agustina Rojas Rodríguez"/>
        <s v="Olivia Pino Pizarro"/>
        <s v="Omar Maximiliano Molina Fuentes"/>
        <s v="Osvaldo Víctor Rivera Palma"/>
        <s v="Pablo Arroyo López"/>
        <s v="Pablo Franco Saldías Ruiz"/>
        <s v="Pablo Salazar"/>
        <s v="Patricia Antonia García Muñoz"/>
        <s v="Patricia Raquel Reyes Parra"/>
        <s v="Patricio Gonzalo Toledo Arce"/>
        <s v="Patricio Luis Guzmán Herrera"/>
        <s v="Paulino Vargas Farías"/>
        <s v="Pedro Héctor Toro Soto"/>
        <s v="Pedro Jorge Cartes Pérez"/>
        <s v="Pedro Pablo Castro Ojeda"/>
        <s v="Pedro Ramón Serrano Ibáñez"/>
        <s v="Raimundo Mario Rubilar Flores"/>
        <s v="Raquel Guadalupe Canales Maturana"/>
        <s v="Raquel Silva Méndez"/>
        <s v="Ricardo Iván Zapata Riquelme"/>
        <s v="Roberto Moreno Jorquera"/>
        <s v="Rodrigo Cornejo Aranda"/>
        <s v="Rolando Patricio Muñoz Barría"/>
        <s v="Romina Cruz"/>
        <s v="Rosa Gaete Castro"/>
        <s v="Rossana Flores"/>
        <s v="Rubén Castillo"/>
        <s v="Rudecindo Cares"/>
        <s v="Samuel Aguilera"/>
        <s v="Samuel Arias"/>
        <s v="Samuel Arias Gatica"/>
        <s v="Sara Saavedra"/>
        <s v="Sebastián Hormazábal Sepúlveda"/>
        <s v="Sergio Carlos Cerda-Reyes Toledo"/>
        <s v="Sergio Carlos Pavez Díaz"/>
        <s v="Sergio Guerrero Salazar"/>
        <s v="Stephanie Hilda Muñoz Elgueta"/>
        <s v="Susana María Soto Véliz"/>
        <s v="Tamara Maritza Inostroza Márquez"/>
        <s v="Tatiana Catalina Gutiérrez Quiroz"/>
        <s v="Tatiana Claudia Jara Herrera"/>
        <s v="Teresa Claudia Tobar Moya"/>
        <s v="Teresa María Alvarado Guerra"/>
        <s v="Tomás Johan Vargas Leiva"/>
        <s v="Ulises Bruno Gallardo Piña"/>
        <s v="Valeska Godoy Riquelme"/>
        <s v="Vanessa Emilia Osorio Saavedra"/>
        <s v="Vanessa Silva Campos"/>
        <s v="Vania Evelyn Leyton García"/>
        <s v="Verónica Cartes Rebolledo"/>
        <s v="Vicente Juan Cáceres Castillo"/>
        <s v="Víctor Alejandro Ramírez Soto"/>
        <s v="Víctor Matamala"/>
        <s v="Víctor Raúl Ibarra Paredes"/>
        <s v="Vilma Leyla Escobar Fuentes"/>
        <s v="Ximena Susana Medina Duarte"/>
        <s v="Yaritza Quiroga Martínez"/>
        <s v="Yasna Colomba Olivares Prieto"/>
      </sharedItems>
    </cacheField>
    <cacheField name="Edad cliente" numFmtId="0">
      <sharedItems containsSemiMixedTypes="0" containsString="0" containsNumber="1" containsInteger="1" minValue="18" maxValue="75"/>
    </cacheField>
    <cacheField name="Valor total comprado" numFmtId="165">
      <sharedItems containsSemiMixedTypes="0" containsString="0" containsNumber="1" containsInteger="1" minValue="24000" maxValue="9745000" count="268">
        <n v="4349100"/>
        <n v="3180000"/>
        <n v="6467400"/>
        <n v="2631500"/>
        <n v="6596800"/>
        <n v="191250"/>
        <n v="1532400"/>
        <n v="2212500"/>
        <n v="1336000"/>
        <n v="1245000"/>
        <n v="2095750"/>
        <n v="2160000"/>
        <n v="180800"/>
        <n v="2260000"/>
        <n v="2475000"/>
        <n v="909750"/>
        <n v="2165000"/>
        <n v="2694400"/>
        <n v="3960000"/>
        <n v="5086500"/>
        <n v="3477500"/>
        <n v="2087000"/>
        <n v="235000"/>
        <n v="126050"/>
        <n v="164950"/>
        <n v="1265000"/>
        <n v="1530000"/>
        <n v="1595000"/>
        <n v="2896000"/>
        <n v="3915000"/>
        <n v="1137000"/>
        <n v="178500"/>
        <n v="1475000"/>
        <n v="2453250"/>
        <n v="7550000"/>
        <n v="6034500"/>
        <n v="3905250"/>
        <n v="860000"/>
        <n v="3581000"/>
        <n v="1721350"/>
        <n v="712500"/>
        <n v="2410250"/>
        <n v="2430000"/>
        <n v="126600"/>
        <n v="1398000"/>
        <n v="2633500"/>
        <n v="80750"/>
        <n v="192750"/>
        <n v="749200"/>
        <n v="462500"/>
        <n v="2226500"/>
        <n v="2813000"/>
        <n v="33250"/>
        <n v="1500000"/>
        <n v="6960750"/>
        <n v="914250"/>
        <n v="1361400"/>
        <n v="3841500"/>
        <n v="1364100"/>
        <n v="512250"/>
        <n v="3583250"/>
        <n v="9248400"/>
        <n v="2602500"/>
        <n v="1330000"/>
        <n v="4460000"/>
        <n v="665000"/>
        <n v="3290800"/>
        <n v="1616750"/>
        <n v="2255000"/>
        <n v="4945800"/>
        <n v="45000"/>
        <n v="70000"/>
        <n v="3030000"/>
        <n v="2820000"/>
        <n v="2250000"/>
        <n v="2314000"/>
        <n v="3472800"/>
        <n v="3261400"/>
        <n v="1258750"/>
        <n v="5937500"/>
        <n v="2327300"/>
        <n v="3300000"/>
        <n v="6070000"/>
        <n v="3365000"/>
        <n v="810000"/>
        <n v="3650000"/>
        <n v="8430000"/>
        <n v="4905250"/>
        <n v="1205000"/>
        <n v="24000"/>
        <n v="715000"/>
        <n v="2115600"/>
        <n v="105000"/>
        <n v="2386500"/>
        <n v="960000"/>
        <n v="8492750"/>
        <n v="5187500"/>
        <n v="38500"/>
        <n v="1057500"/>
        <n v="4334000"/>
        <n v="700000"/>
        <n v="4275000"/>
        <n v="3800000"/>
        <n v="3790800"/>
        <n v="764250"/>
        <n v="3607500"/>
        <n v="3861500"/>
        <n v="79200"/>
        <n v="3215000"/>
        <n v="3847500"/>
        <n v="3561000"/>
        <n v="2870900"/>
        <n v="6098900"/>
        <n v="2291900"/>
        <n v="61750"/>
        <n v="162250"/>
        <n v="7037500"/>
        <n v="148500"/>
        <n v="2001800"/>
        <n v="3540000"/>
        <n v="737500"/>
        <n v="3120000"/>
        <n v="4159000"/>
        <n v="231600"/>
        <n v="6438500"/>
        <n v="3940000"/>
        <n v="3850000"/>
        <n v="6144000"/>
        <n v="2130000"/>
        <n v="4310000"/>
        <n v="7964000"/>
        <n v="2513250"/>
        <n v="130000"/>
        <n v="5179800"/>
        <n v="3850500"/>
        <n v="35000"/>
        <n v="3276250"/>
        <n v="5158500"/>
        <n v="6372500"/>
        <n v="1327150"/>
        <n v="3268800"/>
        <n v="2017500"/>
        <n v="1899000"/>
        <n v="920300"/>
        <n v="1440000"/>
        <n v="2642550"/>
        <n v="1995000"/>
        <n v="1920000"/>
        <n v="5504800"/>
        <n v="2092500"/>
        <n v="9745000"/>
        <n v="4864500"/>
        <n v="3645000"/>
        <n v="3803250"/>
        <n v="184500"/>
        <n v="735100"/>
        <n v="2070550"/>
        <n v="108000"/>
        <n v="2578000"/>
        <n v="1524500"/>
        <n v="159500"/>
        <n v="1127500"/>
        <n v="842500"/>
        <n v="2031400"/>
        <n v="3307500"/>
        <n v="2400000"/>
        <n v="2145000"/>
        <n v="118750"/>
        <n v="46600"/>
        <n v="9055000"/>
        <n v="855000"/>
        <n v="1928750"/>
        <n v="5180000"/>
        <n v="4747500"/>
        <n v="1483300"/>
        <n v="835000"/>
        <n v="6805000"/>
        <n v="3837400"/>
        <n v="49500"/>
        <n v="3761750"/>
        <n v="80000"/>
        <n v="4215000"/>
        <n v="2096250"/>
        <n v="2375250"/>
        <n v="6982500"/>
        <n v="1340000"/>
        <n v="3983500"/>
        <n v="2363500"/>
        <n v="9400000"/>
        <n v="1568250"/>
        <n v="3747000"/>
        <n v="3724500"/>
        <n v="2943000"/>
        <n v="765000"/>
        <n v="1446050"/>
        <n v="1954000"/>
        <n v="2280000"/>
        <n v="3709500"/>
        <n v="3402000"/>
        <n v="7020000"/>
        <n v="2892000"/>
        <n v="2552750"/>
        <n v="3459250"/>
        <n v="291900"/>
        <n v="2529000"/>
        <n v="1979750"/>
        <n v="1008500"/>
        <n v="7576800"/>
        <n v="3545000"/>
        <n v="1514500"/>
        <n v="3240000"/>
        <n v="1570750"/>
        <n v="1528250"/>
        <n v="1241250"/>
        <n v="7185000"/>
        <n v="2768250"/>
        <n v="831750"/>
        <n v="760000"/>
        <n v="1372800"/>
        <n v="1477500"/>
        <n v="1504500"/>
        <n v="2259000"/>
        <n v="6063500"/>
        <n v="3005000"/>
        <n v="547200"/>
        <n v="4942500"/>
        <n v="276500"/>
        <n v="1192300"/>
        <n v="45600"/>
        <n v="5666250"/>
        <n v="1040650"/>
        <n v="3481500"/>
        <n v="2322500"/>
        <n v="1592500"/>
        <n v="1439250"/>
        <n v="1743600"/>
        <n v="4842500"/>
        <n v="220000"/>
        <n v="3229650"/>
        <n v="3785000"/>
        <n v="2277750"/>
        <n v="1549500"/>
        <n v="2886500"/>
        <n v="4496000"/>
        <n v="1930000"/>
        <n v="5058500"/>
        <n v="2869350"/>
        <n v="1755000"/>
        <n v="4207250"/>
        <n v="1921500"/>
        <n v="115000"/>
        <n v="1819000"/>
        <n v="865000"/>
        <n v="2360000"/>
        <n v="2976000"/>
        <n v="253500"/>
        <n v="4198200"/>
        <n v="1990500"/>
        <n v="9295000"/>
        <n v="2622750"/>
        <n v="2082750"/>
        <n v="3676250"/>
        <n v="1445000"/>
        <n v="2477400"/>
        <n v="3035000"/>
        <n v="2855000"/>
        <n v="4784500"/>
        <n v="6339500"/>
      </sharedItems>
    </cacheField>
    <cacheField name="Promedio por compra" numFmtId="165">
      <sharedItems containsSemiMixedTypes="0" containsString="0" containsNumber="1" minValue="19250" maxValue="2400000"/>
    </cacheField>
    <cacheField name="Total descuentos" numFmtId="165">
      <sharedItems containsSemiMixedTypes="0" containsString="0" containsNumber="1" containsInteger="1" minValue="0" maxValue="570000"/>
    </cacheField>
    <cacheField name="Total de articulos comprados" numFmtId="0">
      <sharedItems containsSemiMixedTypes="0" containsString="0" containsNumber="1" containsInteger="1" minValue="1" maxValue="20" count="20">
        <n v="9"/>
        <n v="6"/>
        <n v="18"/>
        <n v="11"/>
        <n v="15"/>
        <n v="5"/>
        <n v="3"/>
        <n v="8"/>
        <n v="10"/>
        <n v="12"/>
        <n v="7"/>
        <n v="13"/>
        <n v="1"/>
        <n v="2"/>
        <n v="16"/>
        <n v="20"/>
        <n v="4"/>
        <n v="14"/>
        <n v="17"/>
        <n v="19"/>
      </sharedItems>
    </cacheField>
    <cacheField name="Compras por cliente" numFmtId="0">
      <sharedItems containsSemiMixedTypes="0" containsString="0" containsNumber="1" containsInteger="1" minValue="1" maxValue="10"/>
    </cacheField>
    <cacheField name="Categoria de cliente" numFmtId="0">
      <sharedItems count="3">
        <s v="Premium"/>
        <s v="Nuevo"/>
        <s v="Frecu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ckson" refreshedDate="46034.729860763888" createdVersion="8" refreshedVersion="8" minRefreshableVersion="3" recordCount="70" xr:uid="{DFBCF732-B369-4D47-9242-DE3869BBAA5F}">
  <cacheSource type="worksheet">
    <worksheetSource ref="B22:I92" sheet="Vendedores"/>
  </cacheSource>
  <cacheFields count="8">
    <cacheField name="ID de vendedor" numFmtId="0">
      <sharedItems containsSemiMixedTypes="0" containsString="0" containsNumber="1" containsInteger="1" minValue="1" maxValue="70"/>
    </cacheField>
    <cacheField name="Belleza" numFmtId="0">
      <sharedItems containsString="0" containsBlank="1" containsNumber="1" containsInteger="1" minValue="13500" maxValue="525500" count="60">
        <n v="70000"/>
        <n v="214750"/>
        <n v="79250"/>
        <n v="261750"/>
        <n v="104750"/>
        <n v="150000"/>
        <n v="126750"/>
        <n v="287250"/>
        <n v="336750"/>
        <n v="13500"/>
        <n v="108000"/>
        <n v="117000"/>
        <n v="174000"/>
        <n v="245000"/>
        <n v="109250"/>
        <n v="194250"/>
        <n v="46500"/>
        <n v="264250"/>
        <n v="133000"/>
        <n v="43500"/>
        <n v="66500"/>
        <n v="157000"/>
        <n v="80000"/>
        <m/>
        <n v="33250"/>
        <n v="192500"/>
        <n v="98000"/>
        <n v="15000"/>
        <n v="231250"/>
        <n v="48500"/>
        <n v="99750"/>
        <n v="93250"/>
        <n v="123000"/>
        <n v="65000"/>
        <n v="87750"/>
        <n v="172250"/>
        <n v="151500"/>
        <n v="124500"/>
        <n v="94500"/>
        <n v="198500"/>
        <n v="30000"/>
        <n v="216500"/>
        <n v="105000"/>
        <n v="131250"/>
        <n v="343000"/>
        <n v="121500"/>
        <n v="161250"/>
        <n v="174750"/>
        <n v="175000"/>
        <n v="175500"/>
        <n v="525500"/>
        <n v="61500"/>
        <n v="187000"/>
        <n v="83250"/>
        <n v="149250"/>
        <n v="126000"/>
        <n v="210750"/>
        <n v="35000"/>
        <n v="325000"/>
        <n v="142750"/>
      </sharedItems>
    </cacheField>
    <cacheField name="Calzado" numFmtId="0">
      <sharedItems containsString="0" containsBlank="1" containsNumber="1" containsInteger="1" minValue="49500" maxValue="558250" count="28">
        <n v="99000"/>
        <n v="165000"/>
        <n v="110000"/>
        <n v="52250"/>
        <n v="148500"/>
        <m/>
        <n v="211750"/>
        <n v="258500"/>
        <n v="486750"/>
        <n v="55000"/>
        <n v="154000"/>
        <n v="217250"/>
        <n v="385000"/>
        <n v="275000"/>
        <n v="49500"/>
        <n v="156750"/>
        <n v="305250"/>
        <n v="203500"/>
        <n v="462000"/>
        <n v="104500"/>
        <n v="107250"/>
        <n v="558250"/>
        <n v="253000"/>
        <n v="269500"/>
        <n v="437250"/>
        <n v="209000"/>
        <n v="308000"/>
        <n v="220000"/>
      </sharedItems>
    </cacheField>
    <cacheField name="Electrohogar" numFmtId="0">
      <sharedItems containsString="0" containsBlank="1" containsNumber="1" containsInteger="1" minValue="1235000" maxValue="14015000" count="69">
        <n v="7480000"/>
        <n v="5170000"/>
        <n v="4640000"/>
        <n v="7430000"/>
        <n v="6335000"/>
        <n v="3895000"/>
        <n v="12840000"/>
        <n v="9600000"/>
        <n v="5852500"/>
        <n v="10852500"/>
        <n v="3330000"/>
        <n v="2660000"/>
        <n v="7177500"/>
        <n v="9030000"/>
        <n v="2580000"/>
        <n v="1235000"/>
        <n v="12477500"/>
        <n v="8380000"/>
        <n v="7492500"/>
        <n v="8140000"/>
        <n v="2017500"/>
        <n v="4350000"/>
        <n v="6100000"/>
        <n v="1845000"/>
        <n v="6370000"/>
        <n v="3260000"/>
        <n v="10210000"/>
        <n v="3487500"/>
        <n v="4530000"/>
        <n v="14015000"/>
        <n v="7972500"/>
        <n v="1600000"/>
        <n v="6750000"/>
        <n v="6455000"/>
        <n v="3910000"/>
        <n v="9590000"/>
        <n v="13415000"/>
        <m/>
        <n v="5590000"/>
        <n v="13805000"/>
        <n v="9932500"/>
        <n v="5670000"/>
        <n v="7740000"/>
        <n v="7967500"/>
        <n v="1985000"/>
        <n v="6540000"/>
        <n v="4165000"/>
        <n v="9290000"/>
        <n v="8435000"/>
        <n v="5255000"/>
        <n v="5337500"/>
        <n v="6565000"/>
        <n v="13957500"/>
        <n v="9075000"/>
        <n v="3252500"/>
        <n v="7280000"/>
        <n v="4285000"/>
        <n v="4635000"/>
        <n v="6555000"/>
        <n v="1260000"/>
        <n v="6925000"/>
        <n v="10305000"/>
        <n v="8655000"/>
        <n v="7262500"/>
        <n v="4387500"/>
        <n v="7240000"/>
        <n v="6710000"/>
        <n v="3540000"/>
        <n v="2000000"/>
      </sharedItems>
    </cacheField>
    <cacheField name="Tecnología" numFmtId="0">
      <sharedItems containsString="0" containsBlank="1" containsNumber="1" containsInteger="1" minValue="405000" maxValue="10777500" count="57">
        <n v="1140000"/>
        <n v="3360000"/>
        <n v="712500"/>
        <n v="4260000"/>
        <n v="4792500"/>
        <n v="5452500"/>
        <n v="10777500"/>
        <n v="6165000"/>
        <n v="3780000"/>
        <n v="1282500"/>
        <n v="450000"/>
        <n v="7102500"/>
        <n v="5625000"/>
        <n v="5640000"/>
        <n v="4785000"/>
        <n v="6862500"/>
        <n v="405000"/>
        <n v="2160000"/>
        <n v="2655000"/>
        <n v="4485000"/>
        <n v="3750000"/>
        <n v="1800000"/>
        <m/>
        <n v="3555000"/>
        <n v="6375000"/>
        <n v="1500000"/>
        <n v="4950000"/>
        <n v="4327500"/>
        <n v="750000"/>
        <n v="3465000"/>
        <n v="2400000"/>
        <n v="9705000"/>
        <n v="427500"/>
        <n v="8377500"/>
        <n v="4177500"/>
        <n v="6472500"/>
        <n v="2850000"/>
        <n v="5235000"/>
        <n v="6450000"/>
        <n v="2565000"/>
        <n v="4755000"/>
        <n v="3727500"/>
        <n v="5302500"/>
        <n v="8692500"/>
        <n v="4005000"/>
        <n v="7740000"/>
        <n v="4650000"/>
        <n v="2632500"/>
        <n v="2227500"/>
        <n v="4635000"/>
        <n v="3487500"/>
        <n v="2250000"/>
        <n v="4680000"/>
        <n v="6637500"/>
        <n v="5550000"/>
        <n v="5100000"/>
        <n v="4567500"/>
      </sharedItems>
    </cacheField>
    <cacheField name="Vestuario" numFmtId="0">
      <sharedItems containsString="0" containsBlank="1" containsNumber="1" containsInteger="1" minValue="22500" maxValue="373800" count="57">
        <n v="72000"/>
        <n v="36000"/>
        <n v="96200"/>
        <n v="322500"/>
        <n v="75000"/>
        <n v="70200"/>
        <n v="110800"/>
        <n v="79200"/>
        <n v="59800"/>
        <n v="373800"/>
        <n v="95750"/>
        <m/>
        <n v="68400"/>
        <n v="95250"/>
        <n v="151650"/>
        <n v="138400"/>
        <n v="57600"/>
        <n v="55800"/>
        <n v="66600"/>
        <n v="236000"/>
        <n v="72800"/>
        <n v="33000"/>
        <n v="218800"/>
        <n v="99000"/>
        <n v="108900"/>
        <n v="217000"/>
        <n v="138700"/>
        <n v="22500"/>
        <n v="190050"/>
        <n v="104400"/>
        <n v="46800"/>
        <n v="179800"/>
        <n v="62000"/>
        <n v="47800"/>
        <n v="171600"/>
        <n v="45600"/>
        <n v="105450"/>
        <n v="154000"/>
        <n v="129200"/>
        <n v="350900"/>
        <n v="59750"/>
        <n v="108600"/>
        <n v="307100"/>
        <n v="121800"/>
        <n v="71250"/>
        <n v="50000"/>
        <n v="117750"/>
        <n v="136300"/>
        <n v="153200"/>
        <n v="290200"/>
        <n v="98750"/>
        <n v="24000"/>
        <n v="121200"/>
        <n v="199900"/>
        <n v="22800"/>
        <n v="178650"/>
        <n v="48750"/>
      </sharedItems>
    </cacheField>
    <cacheField name="Total " numFmtId="0">
      <sharedItems containsSemiMixedTypes="0" containsString="0" containsNumber="1" containsInteger="1" minValue="1715800" maxValue="23780250"/>
    </cacheField>
    <cacheField name="Nivel" numFmtId="0">
      <sharedItems count="3">
        <s v="Senior"/>
        <s v="Junior"/>
        <s v="Semi seni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ckson" refreshedDate="46038.553852314813" backgroundQuery="1" createdVersion="8" refreshedVersion="8" minRefreshableVersion="3" recordCount="0" supportSubquery="1" supportAdvancedDrill="1" xr:uid="{56552F6E-9CD2-40DE-9077-B6D7F495A169}">
  <cacheSource type="external" connectionId="2"/>
  <cacheFields count="3">
    <cacheField name="[Rango].[Genero].[Genero]" caption="Genero" numFmtId="0" hierarchy="7" level="1">
      <sharedItems count="2">
        <s v="Hombre"/>
        <s v="Mujer"/>
      </sharedItems>
    </cacheField>
    <cacheField name="[Measures].[Recuento de Genero]" caption="Recuento de Genero" numFmtId="0" hierarchy="11" level="32767"/>
    <cacheField name="[Rango].[Categoria de cliente].[Categoria de cliente]" caption="Categoria de cliente" numFmtId="0" hierarchy="8" level="1">
      <sharedItems count="3">
        <s v="Frecuente"/>
        <s v="Nuevo"/>
        <s v="Premium"/>
      </sharedItems>
    </cacheField>
  </cacheFields>
  <cacheHierarchies count="12">
    <cacheHierarchy uniqueName="[Rango].[Nombres]" caption="Nombres" attribute="1" defaultMemberUniqueName="[Rango].[Nombres].[All]" allUniqueName="[Rango].[Nombres].[All]" dimensionUniqueName="[Rango]" displayFolder="" count="0" memberValueDatatype="130" unbalanced="0"/>
    <cacheHierarchy uniqueName="[Rango].[Edad cliente]" caption="Edad cliente" attribute="1" defaultMemberUniqueName="[Rango].[Edad cliente].[All]" allUniqueName="[Rango].[Edad cliente].[All]" dimensionUniqueName="[Rango]" displayFolder="" count="0" memberValueDatatype="20" unbalanced="0"/>
    <cacheHierarchy uniqueName="[Rango].[Valor total comprado]" caption="Valor total comprado" attribute="1" defaultMemberUniqueName="[Rango].[Valor total comprado].[All]" allUniqueName="[Rango].[Valor total comprado].[All]" dimensionUniqueName="[Rango]" displayFolder="" count="0" memberValueDatatype="20" unbalanced="0"/>
    <cacheHierarchy uniqueName="[Rango].[Promedio por compra]" caption="Promedio por compra" attribute="1" defaultMemberUniqueName="[Rango].[Promedio por compra].[All]" allUniqueName="[Rango].[Promedio por compra].[All]" dimensionUniqueName="[Rango]" displayFolder="" count="0" memberValueDatatype="5" unbalanced="0"/>
    <cacheHierarchy uniqueName="[Rango].[Total descuentos]" caption="Total descuentos" attribute="1" defaultMemberUniqueName="[Rango].[Total descuentos].[All]" allUniqueName="[Rango].[Total descuentos].[All]" dimensionUniqueName="[Rango]" displayFolder="" count="0" memberValueDatatype="20" unbalanced="0"/>
    <cacheHierarchy uniqueName="[Rango].[Total de articulos comprados]" caption="Total de articulos comprados" attribute="1" defaultMemberUniqueName="[Rango].[Total de articulos comprados].[All]" allUniqueName="[Rango].[Total de articulos comprados].[All]" dimensionUniqueName="[Rango]" displayFolder="" count="0" memberValueDatatype="20" unbalanced="0"/>
    <cacheHierarchy uniqueName="[Rango].[Compras por cliente]" caption="Compras por cliente" attribute="1" defaultMemberUniqueName="[Rango].[Compras por cliente].[All]" allUniqueName="[Rango].[Compras por cliente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2" memberValueDatatype="130" unbalanced="0">
      <fieldsUsage count="2">
        <fieldUsage x="-1"/>
        <fieldUsage x="0"/>
      </fieldsUsage>
    </cacheHierarchy>
    <cacheHierarchy uniqueName="[Rango].[Categoria de cliente]" caption="Categoria de cliente" attribute="1" defaultMemberUniqueName="[Rango].[Categoria de cliente].[All]" allUniqueName="[Rango].[Categoria de cliente].[All]" dimensionUniqueName="[Rango]" displayFolder="" count="2" memberValueDatatype="130" unbalanced="0">
      <fieldsUsage count="2">
        <fieldUsage x="-1"/>
        <fieldUsage x="2"/>
      </fieldsUsage>
    </cacheHierarchy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Recuento de Genero]" caption="Recuento de Genero" measure="1" displayFolder="" measureGroup="Rang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n v="178"/>
    <x v="0"/>
    <x v="0"/>
    <n v="5"/>
    <n v="12"/>
    <x v="0"/>
    <s v="cliente12@mail.cl"/>
    <x v="0"/>
    <n v="32"/>
    <x v="0"/>
    <x v="0"/>
    <x v="0"/>
    <x v="0"/>
    <x v="0"/>
    <n v="12000"/>
    <n v="2"/>
    <n v="0.1"/>
    <n v="24000"/>
    <n v="2400"/>
    <n v="21600"/>
  </r>
  <r>
    <n v="226"/>
    <x v="1"/>
    <x v="1"/>
    <n v="5"/>
    <n v="12"/>
    <x v="0"/>
    <s v="cliente12@mail.cl"/>
    <x v="0"/>
    <n v="32"/>
    <x v="1"/>
    <x v="1"/>
    <x v="0"/>
    <x v="1"/>
    <x v="1"/>
    <n v="650000"/>
    <n v="3"/>
    <n v="0"/>
    <n v="1950000"/>
    <n v="0"/>
    <n v="1950000"/>
  </r>
  <r>
    <n v="354"/>
    <x v="2"/>
    <x v="2"/>
    <n v="2"/>
    <n v="12"/>
    <x v="0"/>
    <s v="cliente12@mail.cl"/>
    <x v="0"/>
    <n v="32"/>
    <x v="2"/>
    <x v="2"/>
    <x v="1"/>
    <x v="1"/>
    <x v="1"/>
    <n v="650000"/>
    <n v="3"/>
    <n v="0"/>
    <n v="1950000"/>
    <n v="0"/>
    <n v="1950000"/>
  </r>
  <r>
    <n v="866"/>
    <x v="3"/>
    <x v="3"/>
    <n v="0"/>
    <n v="12"/>
    <x v="0"/>
    <s v="cliente12@mail.cl"/>
    <x v="0"/>
    <n v="32"/>
    <x v="3"/>
    <x v="3"/>
    <x v="0"/>
    <x v="2"/>
    <x v="2"/>
    <n v="450000"/>
    <n v="1"/>
    <n v="0.05"/>
    <n v="450000"/>
    <n v="22500"/>
    <n v="427500"/>
  </r>
  <r>
    <n v="207"/>
    <x v="4"/>
    <x v="4"/>
    <n v="6"/>
    <n v="129"/>
    <x v="1"/>
    <s v="cliente129@mail.cl"/>
    <x v="0"/>
    <n v="39"/>
    <x v="4"/>
    <x v="3"/>
    <x v="2"/>
    <x v="1"/>
    <x v="1"/>
    <n v="650000"/>
    <n v="2"/>
    <n v="0.05"/>
    <n v="1300000"/>
    <n v="65000"/>
    <n v="1235000"/>
  </r>
  <r>
    <n v="611"/>
    <x v="5"/>
    <x v="5"/>
    <n v="1"/>
    <n v="129"/>
    <x v="1"/>
    <s v="cliente129@mail.cl"/>
    <x v="0"/>
    <n v="39"/>
    <x v="3"/>
    <x v="3"/>
    <x v="1"/>
    <x v="3"/>
    <x v="1"/>
    <n v="700000"/>
    <n v="3"/>
    <n v="0.1"/>
    <n v="2100000"/>
    <n v="210000"/>
    <n v="1890000"/>
  </r>
  <r>
    <n v="781"/>
    <x v="6"/>
    <x v="6"/>
    <n v="0"/>
    <n v="129"/>
    <x v="1"/>
    <s v="cliente129@mail.cl"/>
    <x v="0"/>
    <n v="39"/>
    <x v="2"/>
    <x v="2"/>
    <x v="1"/>
    <x v="4"/>
    <x v="3"/>
    <n v="55000"/>
    <n v="1"/>
    <n v="0"/>
    <n v="55000"/>
    <n v="0"/>
    <n v="55000"/>
  </r>
  <r>
    <n v="278"/>
    <x v="7"/>
    <x v="7"/>
    <n v="3"/>
    <n v="264"/>
    <x v="2"/>
    <s v="cliente264@mail.cl"/>
    <x v="0"/>
    <n v="25"/>
    <x v="5"/>
    <x v="2"/>
    <x v="1"/>
    <x v="0"/>
    <x v="0"/>
    <n v="12000"/>
    <n v="3"/>
    <n v="0.1"/>
    <n v="36000"/>
    <n v="3600"/>
    <n v="32400"/>
  </r>
  <r>
    <n v="350"/>
    <x v="8"/>
    <x v="8"/>
    <n v="8"/>
    <n v="264"/>
    <x v="2"/>
    <s v="cliente264@mail.cl"/>
    <x v="0"/>
    <n v="25"/>
    <x v="4"/>
    <x v="3"/>
    <x v="0"/>
    <x v="5"/>
    <x v="2"/>
    <n v="750000"/>
    <n v="3"/>
    <n v="0.1"/>
    <n v="2250000"/>
    <n v="225000"/>
    <n v="2025000"/>
  </r>
  <r>
    <n v="703"/>
    <x v="9"/>
    <x v="9"/>
    <n v="1"/>
    <n v="264"/>
    <x v="2"/>
    <s v="cliente264@mail.cl"/>
    <x v="0"/>
    <n v="25"/>
    <x v="6"/>
    <x v="4"/>
    <x v="0"/>
    <x v="3"/>
    <x v="1"/>
    <n v="700000"/>
    <n v="3"/>
    <n v="0"/>
    <n v="2100000"/>
    <n v="0"/>
    <n v="2100000"/>
  </r>
  <r>
    <n v="764"/>
    <x v="10"/>
    <x v="5"/>
    <n v="1"/>
    <n v="264"/>
    <x v="2"/>
    <s v="cliente264@mail.cl"/>
    <x v="0"/>
    <n v="25"/>
    <x v="3"/>
    <x v="3"/>
    <x v="0"/>
    <x v="6"/>
    <x v="1"/>
    <n v="800000"/>
    <n v="3"/>
    <n v="0.1"/>
    <n v="2400000"/>
    <n v="240000"/>
    <n v="2160000"/>
  </r>
  <r>
    <n v="868"/>
    <x v="11"/>
    <x v="3"/>
    <n v="0"/>
    <n v="264"/>
    <x v="2"/>
    <s v="cliente264@mail.cl"/>
    <x v="0"/>
    <n v="25"/>
    <x v="3"/>
    <x v="3"/>
    <x v="2"/>
    <x v="7"/>
    <x v="0"/>
    <n v="25000"/>
    <n v="3"/>
    <n v="0"/>
    <n v="75000"/>
    <n v="0"/>
    <n v="75000"/>
  </r>
  <r>
    <n v="903"/>
    <x v="12"/>
    <x v="10"/>
    <n v="0"/>
    <n v="264"/>
    <x v="2"/>
    <s v="cliente264@mail.cl"/>
    <x v="0"/>
    <n v="25"/>
    <x v="7"/>
    <x v="5"/>
    <x v="1"/>
    <x v="7"/>
    <x v="0"/>
    <n v="25000"/>
    <n v="3"/>
    <n v="0"/>
    <n v="75000"/>
    <n v="0"/>
    <n v="75000"/>
  </r>
  <r>
    <n v="175"/>
    <x v="13"/>
    <x v="11"/>
    <n v="0"/>
    <n v="171"/>
    <x v="3"/>
    <s v="cliente171@mail.cl"/>
    <x v="1"/>
    <n v="27"/>
    <x v="8"/>
    <x v="6"/>
    <x v="0"/>
    <x v="0"/>
    <x v="0"/>
    <n v="12000"/>
    <n v="3"/>
    <n v="0"/>
    <n v="36000"/>
    <n v="0"/>
    <n v="36000"/>
  </r>
  <r>
    <n v="743"/>
    <x v="14"/>
    <x v="12"/>
    <n v="4"/>
    <n v="171"/>
    <x v="3"/>
    <s v="cliente171@mail.cl"/>
    <x v="1"/>
    <n v="27"/>
    <x v="2"/>
    <x v="2"/>
    <x v="0"/>
    <x v="8"/>
    <x v="4"/>
    <n v="35000"/>
    <n v="2"/>
    <n v="0.1"/>
    <n v="70000"/>
    <n v="7000"/>
    <n v="63000"/>
  </r>
  <r>
    <n v="777"/>
    <x v="15"/>
    <x v="13"/>
    <n v="1"/>
    <n v="171"/>
    <x v="3"/>
    <s v="cliente171@mail.cl"/>
    <x v="1"/>
    <n v="27"/>
    <x v="6"/>
    <x v="4"/>
    <x v="0"/>
    <x v="1"/>
    <x v="1"/>
    <n v="650000"/>
    <n v="2"/>
    <n v="0.05"/>
    <n v="1300000"/>
    <n v="65000"/>
    <n v="1235000"/>
  </r>
  <r>
    <n v="802"/>
    <x v="16"/>
    <x v="14"/>
    <n v="9"/>
    <n v="171"/>
    <x v="3"/>
    <s v="cliente171@mail.cl"/>
    <x v="1"/>
    <n v="27"/>
    <x v="8"/>
    <x v="6"/>
    <x v="0"/>
    <x v="9"/>
    <x v="4"/>
    <n v="15000"/>
    <n v="1"/>
    <n v="0"/>
    <n v="15000"/>
    <n v="0"/>
    <n v="15000"/>
  </r>
  <r>
    <n v="943"/>
    <x v="17"/>
    <x v="10"/>
    <n v="0"/>
    <n v="171"/>
    <x v="3"/>
    <s v="cliente171@mail.cl"/>
    <x v="1"/>
    <n v="27"/>
    <x v="7"/>
    <x v="5"/>
    <x v="0"/>
    <x v="2"/>
    <x v="2"/>
    <n v="450000"/>
    <n v="3"/>
    <n v="0.05"/>
    <n v="1350000"/>
    <n v="67500"/>
    <n v="1282500"/>
  </r>
  <r>
    <n v="114"/>
    <x v="18"/>
    <x v="15"/>
    <n v="8"/>
    <n v="37"/>
    <x v="4"/>
    <s v="cliente37@mail.cl"/>
    <x v="1"/>
    <n v="40"/>
    <x v="5"/>
    <x v="2"/>
    <x v="2"/>
    <x v="4"/>
    <x v="3"/>
    <n v="55000"/>
    <n v="1"/>
    <n v="0.1"/>
    <n v="55000"/>
    <n v="5500"/>
    <n v="49500"/>
  </r>
  <r>
    <n v="437"/>
    <x v="19"/>
    <x v="16"/>
    <n v="7"/>
    <n v="37"/>
    <x v="4"/>
    <s v="cliente37@mail.cl"/>
    <x v="1"/>
    <n v="40"/>
    <x v="4"/>
    <x v="3"/>
    <x v="1"/>
    <x v="6"/>
    <x v="1"/>
    <n v="800000"/>
    <n v="3"/>
    <n v="0.1"/>
    <n v="2400000"/>
    <n v="240000"/>
    <n v="2160000"/>
  </r>
  <r>
    <n v="486"/>
    <x v="20"/>
    <x v="17"/>
    <n v="0"/>
    <n v="37"/>
    <x v="4"/>
    <s v="cliente37@mail.cl"/>
    <x v="1"/>
    <n v="40"/>
    <x v="1"/>
    <x v="1"/>
    <x v="1"/>
    <x v="3"/>
    <x v="1"/>
    <n v="700000"/>
    <n v="1"/>
    <n v="0"/>
    <n v="700000"/>
    <n v="0"/>
    <n v="700000"/>
  </r>
  <r>
    <n v="586"/>
    <x v="21"/>
    <x v="16"/>
    <n v="7"/>
    <n v="37"/>
    <x v="4"/>
    <s v="cliente37@mail.cl"/>
    <x v="1"/>
    <n v="40"/>
    <x v="4"/>
    <x v="3"/>
    <x v="2"/>
    <x v="1"/>
    <x v="1"/>
    <n v="650000"/>
    <n v="3"/>
    <n v="0.05"/>
    <n v="1950000"/>
    <n v="97500"/>
    <n v="1852500"/>
  </r>
  <r>
    <n v="638"/>
    <x v="22"/>
    <x v="18"/>
    <n v="1"/>
    <n v="37"/>
    <x v="4"/>
    <s v="cliente37@mail.cl"/>
    <x v="1"/>
    <n v="40"/>
    <x v="3"/>
    <x v="3"/>
    <x v="0"/>
    <x v="0"/>
    <x v="0"/>
    <n v="12000"/>
    <n v="2"/>
    <n v="0.05"/>
    <n v="24000"/>
    <n v="1200"/>
    <n v="22800"/>
  </r>
  <r>
    <n v="692"/>
    <x v="23"/>
    <x v="19"/>
    <n v="4"/>
    <n v="37"/>
    <x v="4"/>
    <s v="cliente37@mail.cl"/>
    <x v="1"/>
    <n v="40"/>
    <x v="6"/>
    <x v="4"/>
    <x v="1"/>
    <x v="2"/>
    <x v="2"/>
    <n v="450000"/>
    <n v="3"/>
    <n v="0"/>
    <n v="1350000"/>
    <n v="0"/>
    <n v="1350000"/>
  </r>
  <r>
    <n v="822"/>
    <x v="24"/>
    <x v="20"/>
    <n v="6"/>
    <n v="37"/>
    <x v="4"/>
    <s v="cliente37@mail.cl"/>
    <x v="1"/>
    <n v="40"/>
    <x v="2"/>
    <x v="2"/>
    <x v="1"/>
    <x v="2"/>
    <x v="2"/>
    <n v="450000"/>
    <n v="1"/>
    <n v="0"/>
    <n v="450000"/>
    <n v="0"/>
    <n v="450000"/>
  </r>
  <r>
    <n v="860"/>
    <x v="25"/>
    <x v="21"/>
    <n v="7"/>
    <n v="37"/>
    <x v="4"/>
    <s v="cliente37@mail.cl"/>
    <x v="1"/>
    <n v="40"/>
    <x v="1"/>
    <x v="1"/>
    <x v="0"/>
    <x v="0"/>
    <x v="0"/>
    <n v="12000"/>
    <n v="1"/>
    <n v="0"/>
    <n v="12000"/>
    <n v="0"/>
    <n v="12000"/>
  </r>
  <r>
    <n v="493"/>
    <x v="26"/>
    <x v="22"/>
    <n v="5"/>
    <n v="181"/>
    <x v="5"/>
    <s v="cliente181@mail.cl"/>
    <x v="1"/>
    <n v="45"/>
    <x v="3"/>
    <x v="3"/>
    <x v="2"/>
    <x v="9"/>
    <x v="4"/>
    <n v="15000"/>
    <n v="3"/>
    <n v="0.05"/>
    <n v="45000"/>
    <n v="2250"/>
    <n v="42750"/>
  </r>
  <r>
    <n v="636"/>
    <x v="27"/>
    <x v="23"/>
    <n v="1"/>
    <n v="181"/>
    <x v="5"/>
    <s v="cliente181@mail.cl"/>
    <x v="1"/>
    <n v="45"/>
    <x v="2"/>
    <x v="2"/>
    <x v="2"/>
    <x v="4"/>
    <x v="3"/>
    <n v="55000"/>
    <n v="3"/>
    <n v="0.1"/>
    <n v="165000"/>
    <n v="16500"/>
    <n v="148500"/>
  </r>
  <r>
    <n v="128"/>
    <x v="28"/>
    <x v="24"/>
    <n v="4"/>
    <n v="88"/>
    <x v="6"/>
    <s v="cliente88@mail.cl"/>
    <x v="1"/>
    <n v="41"/>
    <x v="3"/>
    <x v="3"/>
    <x v="1"/>
    <x v="5"/>
    <x v="2"/>
    <n v="750000"/>
    <n v="2"/>
    <n v="0"/>
    <n v="1500000"/>
    <n v="0"/>
    <n v="1500000"/>
  </r>
  <r>
    <n v="785"/>
    <x v="29"/>
    <x v="0"/>
    <n v="5"/>
    <n v="88"/>
    <x v="6"/>
    <s v="cliente88@mail.cl"/>
    <x v="1"/>
    <n v="41"/>
    <x v="0"/>
    <x v="0"/>
    <x v="1"/>
    <x v="0"/>
    <x v="0"/>
    <n v="12000"/>
    <n v="3"/>
    <n v="0.1"/>
    <n v="36000"/>
    <n v="3600"/>
    <n v="32400"/>
  </r>
  <r>
    <n v="253"/>
    <x v="30"/>
    <x v="20"/>
    <n v="6"/>
    <n v="21"/>
    <x v="7"/>
    <s v="cliente21@mail.cl"/>
    <x v="1"/>
    <n v="55"/>
    <x v="2"/>
    <x v="2"/>
    <x v="1"/>
    <x v="5"/>
    <x v="2"/>
    <n v="750000"/>
    <n v="1"/>
    <n v="0.05"/>
    <n v="750000"/>
    <n v="37500"/>
    <n v="712500"/>
  </r>
  <r>
    <n v="383"/>
    <x v="31"/>
    <x v="15"/>
    <n v="8"/>
    <n v="21"/>
    <x v="7"/>
    <s v="cliente21@mail.cl"/>
    <x v="1"/>
    <n v="55"/>
    <x v="5"/>
    <x v="2"/>
    <x v="0"/>
    <x v="5"/>
    <x v="2"/>
    <n v="750000"/>
    <n v="2"/>
    <n v="0"/>
    <n v="1500000"/>
    <n v="0"/>
    <n v="1500000"/>
  </r>
  <r>
    <n v="159"/>
    <x v="32"/>
    <x v="25"/>
    <n v="1"/>
    <n v="174"/>
    <x v="8"/>
    <s v="cliente174@mail.cl"/>
    <x v="0"/>
    <n v="42"/>
    <x v="2"/>
    <x v="2"/>
    <x v="1"/>
    <x v="1"/>
    <x v="1"/>
    <n v="650000"/>
    <n v="2"/>
    <n v="0"/>
    <n v="1300000"/>
    <n v="0"/>
    <n v="1300000"/>
  </r>
  <r>
    <n v="944"/>
    <x v="33"/>
    <x v="26"/>
    <n v="1"/>
    <n v="174"/>
    <x v="8"/>
    <s v="cliente174@mail.cl"/>
    <x v="0"/>
    <n v="42"/>
    <x v="8"/>
    <x v="6"/>
    <x v="1"/>
    <x v="0"/>
    <x v="0"/>
    <n v="12000"/>
    <n v="3"/>
    <n v="0"/>
    <n v="36000"/>
    <n v="0"/>
    <n v="36000"/>
  </r>
  <r>
    <n v="131"/>
    <x v="34"/>
    <x v="18"/>
    <n v="1"/>
    <n v="147"/>
    <x v="9"/>
    <s v="cliente147@mail.cl"/>
    <x v="0"/>
    <n v="23"/>
    <x v="3"/>
    <x v="3"/>
    <x v="1"/>
    <x v="9"/>
    <x v="4"/>
    <n v="15000"/>
    <n v="2"/>
    <n v="0"/>
    <n v="30000"/>
    <n v="0"/>
    <n v="30000"/>
  </r>
  <r>
    <n v="217"/>
    <x v="35"/>
    <x v="27"/>
    <n v="4"/>
    <n v="147"/>
    <x v="9"/>
    <s v="cliente147@mail.cl"/>
    <x v="0"/>
    <n v="23"/>
    <x v="1"/>
    <x v="1"/>
    <x v="1"/>
    <x v="2"/>
    <x v="2"/>
    <n v="450000"/>
    <n v="3"/>
    <n v="0.1"/>
    <n v="1350000"/>
    <n v="135000"/>
    <n v="1215000"/>
  </r>
  <r>
    <n v="254"/>
    <x v="36"/>
    <x v="22"/>
    <n v="5"/>
    <n v="272"/>
    <x v="10"/>
    <s v="cliente272@mail.cl"/>
    <x v="1"/>
    <n v="20"/>
    <x v="3"/>
    <x v="3"/>
    <x v="2"/>
    <x v="8"/>
    <x v="4"/>
    <n v="35000"/>
    <n v="1"/>
    <n v="0.05"/>
    <n v="35000"/>
    <n v="1750"/>
    <n v="33250"/>
  </r>
  <r>
    <n v="293"/>
    <x v="37"/>
    <x v="28"/>
    <n v="0"/>
    <n v="272"/>
    <x v="10"/>
    <s v="cliente272@mail.cl"/>
    <x v="1"/>
    <n v="20"/>
    <x v="7"/>
    <x v="5"/>
    <x v="1"/>
    <x v="1"/>
    <x v="1"/>
    <n v="650000"/>
    <n v="1"/>
    <n v="0"/>
    <n v="650000"/>
    <n v="0"/>
    <n v="650000"/>
  </r>
  <r>
    <n v="518"/>
    <x v="38"/>
    <x v="29"/>
    <n v="2"/>
    <n v="272"/>
    <x v="10"/>
    <s v="cliente272@mail.cl"/>
    <x v="1"/>
    <n v="20"/>
    <x v="1"/>
    <x v="1"/>
    <x v="0"/>
    <x v="4"/>
    <x v="3"/>
    <n v="55000"/>
    <n v="2"/>
    <n v="0"/>
    <n v="110000"/>
    <n v="0"/>
    <n v="110000"/>
  </r>
  <r>
    <n v="594"/>
    <x v="39"/>
    <x v="4"/>
    <n v="6"/>
    <n v="272"/>
    <x v="10"/>
    <s v="cliente272@mail.cl"/>
    <x v="1"/>
    <n v="20"/>
    <x v="4"/>
    <x v="3"/>
    <x v="1"/>
    <x v="7"/>
    <x v="0"/>
    <n v="25000"/>
    <n v="3"/>
    <n v="0.1"/>
    <n v="75000"/>
    <n v="7500"/>
    <n v="67500"/>
  </r>
  <r>
    <n v="909"/>
    <x v="40"/>
    <x v="30"/>
    <n v="1"/>
    <n v="272"/>
    <x v="10"/>
    <s v="cliente272@mail.cl"/>
    <x v="1"/>
    <n v="20"/>
    <x v="6"/>
    <x v="4"/>
    <x v="1"/>
    <x v="1"/>
    <x v="1"/>
    <n v="650000"/>
    <n v="2"/>
    <n v="0.05"/>
    <n v="1300000"/>
    <n v="65000"/>
    <n v="1235000"/>
  </r>
  <r>
    <n v="67"/>
    <x v="41"/>
    <x v="25"/>
    <n v="1"/>
    <n v="222"/>
    <x v="11"/>
    <s v="cliente222@mail.cl"/>
    <x v="0"/>
    <n v="18"/>
    <x v="2"/>
    <x v="2"/>
    <x v="2"/>
    <x v="6"/>
    <x v="1"/>
    <n v="800000"/>
    <n v="3"/>
    <n v="0.1"/>
    <n v="2400000"/>
    <n v="240000"/>
    <n v="2160000"/>
  </r>
  <r>
    <n v="311"/>
    <x v="42"/>
    <x v="31"/>
    <n v="3"/>
    <n v="244"/>
    <x v="12"/>
    <s v="cliente244@mail.cl"/>
    <x v="1"/>
    <n v="48"/>
    <x v="5"/>
    <x v="2"/>
    <x v="1"/>
    <x v="4"/>
    <x v="3"/>
    <n v="55000"/>
    <n v="2"/>
    <n v="0"/>
    <n v="110000"/>
    <n v="0"/>
    <n v="110000"/>
  </r>
  <r>
    <n v="319"/>
    <x v="43"/>
    <x v="16"/>
    <n v="7"/>
    <n v="244"/>
    <x v="12"/>
    <s v="cliente244@mail.cl"/>
    <x v="1"/>
    <n v="48"/>
    <x v="4"/>
    <x v="3"/>
    <x v="1"/>
    <x v="0"/>
    <x v="0"/>
    <n v="12000"/>
    <n v="1"/>
    <n v="0"/>
    <n v="12000"/>
    <n v="0"/>
    <n v="12000"/>
  </r>
  <r>
    <n v="338"/>
    <x v="44"/>
    <x v="29"/>
    <n v="2"/>
    <n v="244"/>
    <x v="12"/>
    <s v="cliente244@mail.cl"/>
    <x v="1"/>
    <n v="48"/>
    <x v="1"/>
    <x v="1"/>
    <x v="0"/>
    <x v="0"/>
    <x v="0"/>
    <n v="12000"/>
    <n v="3"/>
    <n v="0"/>
    <n v="36000"/>
    <n v="0"/>
    <n v="36000"/>
  </r>
  <r>
    <n v="465"/>
    <x v="45"/>
    <x v="32"/>
    <n v="5"/>
    <n v="244"/>
    <x v="12"/>
    <s v="cliente244@mail.cl"/>
    <x v="1"/>
    <n v="48"/>
    <x v="6"/>
    <x v="4"/>
    <x v="1"/>
    <x v="0"/>
    <x v="0"/>
    <n v="12000"/>
    <n v="1"/>
    <n v="0.1"/>
    <n v="12000"/>
    <n v="1200"/>
    <n v="10800"/>
  </r>
  <r>
    <n v="319"/>
    <x v="43"/>
    <x v="16"/>
    <n v="7"/>
    <n v="244"/>
    <x v="12"/>
    <s v="cliente244@mail.cl"/>
    <x v="1"/>
    <n v="48"/>
    <x v="4"/>
    <x v="3"/>
    <x v="1"/>
    <x v="0"/>
    <x v="0"/>
    <n v="12000"/>
    <n v="1"/>
    <n v="0"/>
    <n v="12000"/>
    <n v="0"/>
    <n v="12000"/>
  </r>
  <r>
    <n v="95"/>
    <x v="46"/>
    <x v="23"/>
    <n v="1"/>
    <n v="1"/>
    <x v="13"/>
    <s v="cliente1@mail.cl"/>
    <x v="1"/>
    <n v="43"/>
    <x v="2"/>
    <x v="2"/>
    <x v="0"/>
    <x v="5"/>
    <x v="2"/>
    <n v="750000"/>
    <n v="2"/>
    <n v="0"/>
    <n v="1500000"/>
    <n v="0"/>
    <n v="1500000"/>
  </r>
  <r>
    <n v="441"/>
    <x v="47"/>
    <x v="33"/>
    <n v="4"/>
    <n v="1"/>
    <x v="13"/>
    <s v="cliente1@mail.cl"/>
    <x v="1"/>
    <n v="43"/>
    <x v="8"/>
    <x v="6"/>
    <x v="2"/>
    <x v="6"/>
    <x v="1"/>
    <n v="800000"/>
    <n v="1"/>
    <n v="0.05"/>
    <n v="800000"/>
    <n v="40000"/>
    <n v="760000"/>
  </r>
  <r>
    <n v="156"/>
    <x v="48"/>
    <x v="1"/>
    <n v="5"/>
    <n v="9"/>
    <x v="14"/>
    <s v="cliente9@mail.cl"/>
    <x v="0"/>
    <n v="32"/>
    <x v="1"/>
    <x v="1"/>
    <x v="0"/>
    <x v="7"/>
    <x v="0"/>
    <n v="25000"/>
    <n v="3"/>
    <n v="0"/>
    <n v="75000"/>
    <n v="0"/>
    <n v="75000"/>
  </r>
  <r>
    <n v="388"/>
    <x v="49"/>
    <x v="8"/>
    <n v="8"/>
    <n v="9"/>
    <x v="14"/>
    <s v="cliente9@mail.cl"/>
    <x v="0"/>
    <n v="32"/>
    <x v="4"/>
    <x v="3"/>
    <x v="1"/>
    <x v="6"/>
    <x v="1"/>
    <n v="800000"/>
    <n v="3"/>
    <n v="0"/>
    <n v="2400000"/>
    <n v="0"/>
    <n v="2400000"/>
  </r>
  <r>
    <n v="40"/>
    <x v="50"/>
    <x v="16"/>
    <n v="7"/>
    <n v="271"/>
    <x v="15"/>
    <s v="cliente271@mail.cl"/>
    <x v="0"/>
    <n v="55"/>
    <x v="4"/>
    <x v="3"/>
    <x v="1"/>
    <x v="1"/>
    <x v="1"/>
    <n v="650000"/>
    <n v="1"/>
    <n v="0"/>
    <n v="650000"/>
    <n v="0"/>
    <n v="650000"/>
  </r>
  <r>
    <n v="193"/>
    <x v="51"/>
    <x v="34"/>
    <n v="3"/>
    <n v="271"/>
    <x v="15"/>
    <s v="cliente271@mail.cl"/>
    <x v="0"/>
    <n v="55"/>
    <x v="6"/>
    <x v="4"/>
    <x v="0"/>
    <x v="4"/>
    <x v="3"/>
    <n v="55000"/>
    <n v="2"/>
    <n v="0"/>
    <n v="110000"/>
    <n v="0"/>
    <n v="110000"/>
  </r>
  <r>
    <n v="291"/>
    <x v="52"/>
    <x v="35"/>
    <n v="5"/>
    <n v="271"/>
    <x v="15"/>
    <s v="cliente271@mail.cl"/>
    <x v="0"/>
    <n v="55"/>
    <x v="6"/>
    <x v="4"/>
    <x v="2"/>
    <x v="8"/>
    <x v="4"/>
    <n v="35000"/>
    <n v="3"/>
    <n v="0.05"/>
    <n v="105000"/>
    <n v="5250"/>
    <n v="99750"/>
  </r>
  <r>
    <n v="849"/>
    <x v="53"/>
    <x v="12"/>
    <n v="4"/>
    <n v="271"/>
    <x v="15"/>
    <s v="cliente271@mail.cl"/>
    <x v="0"/>
    <n v="55"/>
    <x v="2"/>
    <x v="2"/>
    <x v="0"/>
    <x v="7"/>
    <x v="0"/>
    <n v="25000"/>
    <n v="2"/>
    <n v="0"/>
    <n v="50000"/>
    <n v="0"/>
    <n v="50000"/>
  </r>
  <r>
    <n v="755"/>
    <x v="54"/>
    <x v="27"/>
    <n v="4"/>
    <n v="78"/>
    <x v="16"/>
    <s v="cliente78@mail.cl"/>
    <x v="1"/>
    <n v="34"/>
    <x v="1"/>
    <x v="1"/>
    <x v="0"/>
    <x v="3"/>
    <x v="1"/>
    <n v="700000"/>
    <n v="3"/>
    <n v="0"/>
    <n v="2100000"/>
    <n v="0"/>
    <n v="2100000"/>
  </r>
  <r>
    <n v="799"/>
    <x v="55"/>
    <x v="36"/>
    <n v="2"/>
    <n v="78"/>
    <x v="16"/>
    <s v="cliente78@mail.cl"/>
    <x v="1"/>
    <n v="34"/>
    <x v="5"/>
    <x v="2"/>
    <x v="1"/>
    <x v="9"/>
    <x v="4"/>
    <n v="15000"/>
    <n v="1"/>
    <n v="0"/>
    <n v="15000"/>
    <n v="0"/>
    <n v="15000"/>
  </r>
  <r>
    <n v="830"/>
    <x v="56"/>
    <x v="37"/>
    <n v="3"/>
    <n v="78"/>
    <x v="16"/>
    <s v="cliente78@mail.cl"/>
    <x v="1"/>
    <n v="34"/>
    <x v="5"/>
    <x v="2"/>
    <x v="2"/>
    <x v="7"/>
    <x v="0"/>
    <n v="25000"/>
    <n v="2"/>
    <n v="0"/>
    <n v="50000"/>
    <n v="0"/>
    <n v="50000"/>
  </r>
  <r>
    <n v="26"/>
    <x v="57"/>
    <x v="26"/>
    <n v="1"/>
    <n v="114"/>
    <x v="17"/>
    <s v="cliente114@mail.cl"/>
    <x v="0"/>
    <n v="67"/>
    <x v="8"/>
    <x v="6"/>
    <x v="1"/>
    <x v="4"/>
    <x v="3"/>
    <n v="55000"/>
    <n v="1"/>
    <n v="0.1"/>
    <n v="55000"/>
    <n v="5500"/>
    <n v="49500"/>
  </r>
  <r>
    <n v="250"/>
    <x v="58"/>
    <x v="14"/>
    <n v="9"/>
    <n v="114"/>
    <x v="17"/>
    <s v="cliente114@mail.cl"/>
    <x v="0"/>
    <n v="67"/>
    <x v="8"/>
    <x v="6"/>
    <x v="2"/>
    <x v="1"/>
    <x v="1"/>
    <n v="650000"/>
    <n v="3"/>
    <n v="0.05"/>
    <n v="1950000"/>
    <n v="97500"/>
    <n v="1852500"/>
  </r>
  <r>
    <n v="527"/>
    <x v="59"/>
    <x v="24"/>
    <n v="4"/>
    <n v="114"/>
    <x v="17"/>
    <s v="cliente114@mail.cl"/>
    <x v="0"/>
    <n v="67"/>
    <x v="3"/>
    <x v="3"/>
    <x v="1"/>
    <x v="6"/>
    <x v="1"/>
    <n v="800000"/>
    <n v="1"/>
    <n v="0.05"/>
    <n v="800000"/>
    <n v="40000"/>
    <n v="760000"/>
  </r>
  <r>
    <n v="589"/>
    <x v="60"/>
    <x v="2"/>
    <n v="2"/>
    <n v="114"/>
    <x v="17"/>
    <s v="cliente114@mail.cl"/>
    <x v="0"/>
    <n v="67"/>
    <x v="2"/>
    <x v="2"/>
    <x v="0"/>
    <x v="0"/>
    <x v="0"/>
    <n v="12000"/>
    <n v="3"/>
    <n v="0.1"/>
    <n v="36000"/>
    <n v="3600"/>
    <n v="32400"/>
  </r>
  <r>
    <n v="360"/>
    <x v="61"/>
    <x v="38"/>
    <n v="6"/>
    <n v="84"/>
    <x v="18"/>
    <s v="cliente84@mail.cl"/>
    <x v="0"/>
    <n v="31"/>
    <x v="8"/>
    <x v="6"/>
    <x v="1"/>
    <x v="5"/>
    <x v="2"/>
    <n v="750000"/>
    <n v="2"/>
    <n v="0.1"/>
    <n v="1500000"/>
    <n v="150000"/>
    <n v="1350000"/>
  </r>
  <r>
    <n v="771"/>
    <x v="62"/>
    <x v="39"/>
    <n v="1"/>
    <n v="84"/>
    <x v="18"/>
    <s v="cliente84@mail.cl"/>
    <x v="0"/>
    <n v="31"/>
    <x v="8"/>
    <x v="6"/>
    <x v="2"/>
    <x v="5"/>
    <x v="2"/>
    <n v="750000"/>
    <n v="2"/>
    <n v="0.1"/>
    <n v="1500000"/>
    <n v="150000"/>
    <n v="1350000"/>
  </r>
  <r>
    <n v="798"/>
    <x v="63"/>
    <x v="40"/>
    <n v="1"/>
    <n v="84"/>
    <x v="18"/>
    <s v="cliente84@mail.cl"/>
    <x v="0"/>
    <n v="31"/>
    <x v="3"/>
    <x v="3"/>
    <x v="0"/>
    <x v="3"/>
    <x v="1"/>
    <n v="700000"/>
    <n v="2"/>
    <n v="0.1"/>
    <n v="1400000"/>
    <n v="140000"/>
    <n v="1260000"/>
  </r>
  <r>
    <n v="147"/>
    <x v="64"/>
    <x v="38"/>
    <n v="6"/>
    <n v="101"/>
    <x v="19"/>
    <s v="cliente101@mail.cl"/>
    <x v="0"/>
    <n v="21"/>
    <x v="8"/>
    <x v="6"/>
    <x v="0"/>
    <x v="0"/>
    <x v="0"/>
    <n v="12000"/>
    <n v="2"/>
    <n v="0"/>
    <n v="24000"/>
    <n v="0"/>
    <n v="24000"/>
  </r>
  <r>
    <n v="837"/>
    <x v="65"/>
    <x v="41"/>
    <n v="0"/>
    <n v="101"/>
    <x v="19"/>
    <s v="cliente101@mail.cl"/>
    <x v="0"/>
    <n v="21"/>
    <x v="2"/>
    <x v="2"/>
    <x v="1"/>
    <x v="1"/>
    <x v="1"/>
    <n v="650000"/>
    <n v="3"/>
    <n v="0.05"/>
    <n v="1950000"/>
    <n v="97500"/>
    <n v="1852500"/>
  </r>
  <r>
    <n v="840"/>
    <x v="66"/>
    <x v="42"/>
    <n v="3"/>
    <n v="101"/>
    <x v="19"/>
    <s v="cliente101@mail.cl"/>
    <x v="0"/>
    <n v="21"/>
    <x v="0"/>
    <x v="0"/>
    <x v="2"/>
    <x v="2"/>
    <x v="2"/>
    <n v="450000"/>
    <n v="1"/>
    <n v="0.1"/>
    <n v="450000"/>
    <n v="45000"/>
    <n v="405000"/>
  </r>
  <r>
    <n v="881"/>
    <x v="67"/>
    <x v="20"/>
    <n v="6"/>
    <n v="101"/>
    <x v="19"/>
    <s v="cliente101@mail.cl"/>
    <x v="0"/>
    <n v="21"/>
    <x v="2"/>
    <x v="2"/>
    <x v="2"/>
    <x v="2"/>
    <x v="2"/>
    <n v="450000"/>
    <n v="1"/>
    <n v="0.1"/>
    <n v="450000"/>
    <n v="45000"/>
    <n v="405000"/>
  </r>
  <r>
    <n v="970"/>
    <x v="68"/>
    <x v="7"/>
    <n v="3"/>
    <n v="101"/>
    <x v="19"/>
    <s v="cliente101@mail.cl"/>
    <x v="0"/>
    <n v="21"/>
    <x v="5"/>
    <x v="2"/>
    <x v="1"/>
    <x v="6"/>
    <x v="1"/>
    <n v="800000"/>
    <n v="3"/>
    <n v="0"/>
    <n v="2400000"/>
    <n v="0"/>
    <n v="2400000"/>
  </r>
  <r>
    <n v="240"/>
    <x v="69"/>
    <x v="6"/>
    <n v="0"/>
    <n v="16"/>
    <x v="20"/>
    <s v="cliente16@mail.cl"/>
    <x v="0"/>
    <n v="31"/>
    <x v="2"/>
    <x v="2"/>
    <x v="1"/>
    <x v="6"/>
    <x v="1"/>
    <n v="800000"/>
    <n v="3"/>
    <n v="0.1"/>
    <n v="2400000"/>
    <n v="240000"/>
    <n v="2160000"/>
  </r>
  <r>
    <n v="884"/>
    <x v="70"/>
    <x v="43"/>
    <n v="5"/>
    <n v="16"/>
    <x v="20"/>
    <s v="cliente16@mail.cl"/>
    <x v="0"/>
    <n v="31"/>
    <x v="7"/>
    <x v="5"/>
    <x v="1"/>
    <x v="1"/>
    <x v="1"/>
    <n v="650000"/>
    <n v="1"/>
    <n v="0.05"/>
    <n v="650000"/>
    <n v="32500"/>
    <n v="617500"/>
  </r>
  <r>
    <n v="974"/>
    <x v="71"/>
    <x v="20"/>
    <n v="6"/>
    <n v="16"/>
    <x v="20"/>
    <s v="cliente16@mail.cl"/>
    <x v="0"/>
    <n v="31"/>
    <x v="2"/>
    <x v="2"/>
    <x v="1"/>
    <x v="3"/>
    <x v="1"/>
    <n v="700000"/>
    <n v="1"/>
    <n v="0"/>
    <n v="700000"/>
    <n v="0"/>
    <n v="700000"/>
  </r>
  <r>
    <n v="115"/>
    <x v="72"/>
    <x v="21"/>
    <n v="7"/>
    <n v="267"/>
    <x v="21"/>
    <s v="cliente267@mail.cl"/>
    <x v="0"/>
    <n v="57"/>
    <x v="1"/>
    <x v="1"/>
    <x v="2"/>
    <x v="7"/>
    <x v="0"/>
    <n v="25000"/>
    <n v="3"/>
    <n v="0.1"/>
    <n v="75000"/>
    <n v="7500"/>
    <n v="67500"/>
  </r>
  <r>
    <n v="166"/>
    <x v="73"/>
    <x v="23"/>
    <n v="1"/>
    <n v="267"/>
    <x v="21"/>
    <s v="cliente267@mail.cl"/>
    <x v="0"/>
    <n v="57"/>
    <x v="2"/>
    <x v="2"/>
    <x v="0"/>
    <x v="7"/>
    <x v="0"/>
    <n v="25000"/>
    <n v="3"/>
    <n v="0"/>
    <n v="75000"/>
    <n v="0"/>
    <n v="75000"/>
  </r>
  <r>
    <n v="273"/>
    <x v="74"/>
    <x v="44"/>
    <n v="2"/>
    <n v="267"/>
    <x v="21"/>
    <s v="cliente267@mail.cl"/>
    <x v="0"/>
    <n v="57"/>
    <x v="2"/>
    <x v="2"/>
    <x v="1"/>
    <x v="8"/>
    <x v="4"/>
    <n v="35000"/>
    <n v="3"/>
    <n v="0.1"/>
    <n v="105000"/>
    <n v="10500"/>
    <n v="94500"/>
  </r>
  <r>
    <n v="795"/>
    <x v="75"/>
    <x v="45"/>
    <n v="1"/>
    <n v="267"/>
    <x v="21"/>
    <s v="cliente267@mail.cl"/>
    <x v="0"/>
    <n v="57"/>
    <x v="4"/>
    <x v="3"/>
    <x v="0"/>
    <x v="3"/>
    <x v="1"/>
    <n v="700000"/>
    <n v="2"/>
    <n v="0"/>
    <n v="1400000"/>
    <n v="0"/>
    <n v="1400000"/>
  </r>
  <r>
    <n v="960"/>
    <x v="76"/>
    <x v="9"/>
    <n v="1"/>
    <n v="267"/>
    <x v="21"/>
    <s v="cliente267@mail.cl"/>
    <x v="0"/>
    <n v="57"/>
    <x v="6"/>
    <x v="4"/>
    <x v="0"/>
    <x v="2"/>
    <x v="2"/>
    <n v="450000"/>
    <n v="1"/>
    <n v="0"/>
    <n v="450000"/>
    <n v="0"/>
    <n v="450000"/>
  </r>
  <r>
    <n v="247"/>
    <x v="77"/>
    <x v="31"/>
    <n v="3"/>
    <n v="8"/>
    <x v="22"/>
    <s v="cliente8@mail.cl"/>
    <x v="0"/>
    <n v="47"/>
    <x v="5"/>
    <x v="2"/>
    <x v="1"/>
    <x v="4"/>
    <x v="3"/>
    <n v="55000"/>
    <n v="2"/>
    <n v="0"/>
    <n v="110000"/>
    <n v="0"/>
    <n v="110000"/>
  </r>
  <r>
    <n v="512"/>
    <x v="78"/>
    <x v="4"/>
    <n v="6"/>
    <n v="8"/>
    <x v="22"/>
    <s v="cliente8@mail.cl"/>
    <x v="0"/>
    <n v="47"/>
    <x v="4"/>
    <x v="3"/>
    <x v="1"/>
    <x v="4"/>
    <x v="3"/>
    <n v="55000"/>
    <n v="2"/>
    <n v="0"/>
    <n v="110000"/>
    <n v="0"/>
    <n v="110000"/>
  </r>
  <r>
    <n v="686"/>
    <x v="79"/>
    <x v="46"/>
    <n v="0"/>
    <n v="8"/>
    <x v="22"/>
    <s v="cliente8@mail.cl"/>
    <x v="0"/>
    <n v="47"/>
    <x v="4"/>
    <x v="3"/>
    <x v="0"/>
    <x v="9"/>
    <x v="4"/>
    <n v="15000"/>
    <n v="1"/>
    <n v="0"/>
    <n v="15000"/>
    <n v="0"/>
    <n v="15000"/>
  </r>
  <r>
    <n v="103"/>
    <x v="80"/>
    <x v="14"/>
    <n v="9"/>
    <n v="169"/>
    <x v="23"/>
    <s v="cliente169@mail.cl"/>
    <x v="0"/>
    <n v="35"/>
    <x v="8"/>
    <x v="6"/>
    <x v="1"/>
    <x v="8"/>
    <x v="4"/>
    <n v="35000"/>
    <n v="1"/>
    <n v="0.05"/>
    <n v="35000"/>
    <n v="1750"/>
    <n v="33250"/>
  </r>
  <r>
    <n v="224"/>
    <x v="81"/>
    <x v="47"/>
    <n v="7"/>
    <n v="169"/>
    <x v="23"/>
    <s v="cliente169@mail.cl"/>
    <x v="0"/>
    <n v="35"/>
    <x v="8"/>
    <x v="6"/>
    <x v="1"/>
    <x v="0"/>
    <x v="0"/>
    <n v="12000"/>
    <n v="1"/>
    <n v="0.05"/>
    <n v="12000"/>
    <n v="600"/>
    <n v="11400"/>
  </r>
  <r>
    <n v="890"/>
    <x v="82"/>
    <x v="30"/>
    <n v="1"/>
    <n v="169"/>
    <x v="23"/>
    <s v="cliente169@mail.cl"/>
    <x v="0"/>
    <n v="35"/>
    <x v="6"/>
    <x v="4"/>
    <x v="1"/>
    <x v="0"/>
    <x v="0"/>
    <n v="12000"/>
    <n v="1"/>
    <n v="0.05"/>
    <n v="12000"/>
    <n v="600"/>
    <n v="11400"/>
  </r>
  <r>
    <n v="979"/>
    <x v="83"/>
    <x v="48"/>
    <n v="0"/>
    <n v="169"/>
    <x v="23"/>
    <s v="cliente169@mail.cl"/>
    <x v="0"/>
    <n v="35"/>
    <x v="9"/>
    <x v="7"/>
    <x v="0"/>
    <x v="8"/>
    <x v="4"/>
    <n v="35000"/>
    <n v="2"/>
    <n v="0"/>
    <n v="70000"/>
    <n v="0"/>
    <n v="70000"/>
  </r>
  <r>
    <n v="579"/>
    <x v="84"/>
    <x v="8"/>
    <n v="8"/>
    <n v="245"/>
    <x v="24"/>
    <s v="cliente245@mail.cl"/>
    <x v="0"/>
    <n v="23"/>
    <x v="4"/>
    <x v="3"/>
    <x v="0"/>
    <x v="6"/>
    <x v="1"/>
    <n v="800000"/>
    <n v="3"/>
    <n v="0.1"/>
    <n v="2400000"/>
    <n v="240000"/>
    <n v="2160000"/>
  </r>
  <r>
    <n v="104"/>
    <x v="85"/>
    <x v="49"/>
    <n v="9"/>
    <n v="64"/>
    <x v="25"/>
    <s v="cliente64@mail.cl"/>
    <x v="1"/>
    <n v="23"/>
    <x v="4"/>
    <x v="3"/>
    <x v="1"/>
    <x v="9"/>
    <x v="4"/>
    <n v="15000"/>
    <n v="3"/>
    <n v="0.05"/>
    <n v="45000"/>
    <n v="2250"/>
    <n v="42750"/>
  </r>
  <r>
    <n v="141"/>
    <x v="86"/>
    <x v="47"/>
    <n v="7"/>
    <n v="64"/>
    <x v="25"/>
    <s v="cliente64@mail.cl"/>
    <x v="1"/>
    <n v="23"/>
    <x v="8"/>
    <x v="6"/>
    <x v="0"/>
    <x v="0"/>
    <x v="0"/>
    <n v="12000"/>
    <n v="3"/>
    <n v="0.05"/>
    <n v="36000"/>
    <n v="1800"/>
    <n v="34200"/>
  </r>
  <r>
    <n v="603"/>
    <x v="87"/>
    <x v="7"/>
    <n v="3"/>
    <n v="64"/>
    <x v="25"/>
    <s v="cliente64@mail.cl"/>
    <x v="1"/>
    <n v="23"/>
    <x v="5"/>
    <x v="2"/>
    <x v="1"/>
    <x v="9"/>
    <x v="4"/>
    <n v="15000"/>
    <n v="3"/>
    <n v="0.1"/>
    <n v="45000"/>
    <n v="4500"/>
    <n v="40500"/>
  </r>
  <r>
    <n v="690"/>
    <x v="88"/>
    <x v="32"/>
    <n v="5"/>
    <n v="64"/>
    <x v="25"/>
    <s v="cliente64@mail.cl"/>
    <x v="1"/>
    <n v="23"/>
    <x v="6"/>
    <x v="4"/>
    <x v="1"/>
    <x v="7"/>
    <x v="0"/>
    <n v="25000"/>
    <n v="2"/>
    <n v="0.05"/>
    <n v="50000"/>
    <n v="2500"/>
    <n v="47500"/>
  </r>
  <r>
    <n v="66"/>
    <x v="89"/>
    <x v="50"/>
    <n v="2"/>
    <n v="176"/>
    <x v="26"/>
    <s v="cliente176@mail.cl"/>
    <x v="0"/>
    <n v="47"/>
    <x v="2"/>
    <x v="2"/>
    <x v="0"/>
    <x v="8"/>
    <x v="4"/>
    <n v="35000"/>
    <n v="2"/>
    <n v="0"/>
    <n v="70000"/>
    <n v="0"/>
    <n v="70000"/>
  </r>
  <r>
    <n v="196"/>
    <x v="90"/>
    <x v="27"/>
    <n v="4"/>
    <n v="176"/>
    <x v="26"/>
    <s v="cliente176@mail.cl"/>
    <x v="0"/>
    <n v="47"/>
    <x v="1"/>
    <x v="1"/>
    <x v="0"/>
    <x v="1"/>
    <x v="1"/>
    <n v="650000"/>
    <n v="2"/>
    <n v="0.1"/>
    <n v="1300000"/>
    <n v="130000"/>
    <n v="1170000"/>
  </r>
  <r>
    <n v="237"/>
    <x v="91"/>
    <x v="12"/>
    <n v="4"/>
    <n v="176"/>
    <x v="26"/>
    <s v="cliente176@mail.cl"/>
    <x v="0"/>
    <n v="47"/>
    <x v="2"/>
    <x v="2"/>
    <x v="1"/>
    <x v="7"/>
    <x v="0"/>
    <n v="25000"/>
    <n v="1"/>
    <n v="0"/>
    <n v="25000"/>
    <n v="0"/>
    <n v="25000"/>
  </r>
  <r>
    <n v="161"/>
    <x v="92"/>
    <x v="24"/>
    <n v="4"/>
    <n v="60"/>
    <x v="27"/>
    <s v="cliente60@mail.cl"/>
    <x v="1"/>
    <n v="49"/>
    <x v="3"/>
    <x v="3"/>
    <x v="0"/>
    <x v="5"/>
    <x v="2"/>
    <n v="750000"/>
    <n v="2"/>
    <n v="0.05"/>
    <n v="1500000"/>
    <n v="75000"/>
    <n v="1425000"/>
  </r>
  <r>
    <n v="268"/>
    <x v="93"/>
    <x v="9"/>
    <n v="1"/>
    <n v="60"/>
    <x v="27"/>
    <s v="cliente60@mail.cl"/>
    <x v="1"/>
    <n v="49"/>
    <x v="6"/>
    <x v="4"/>
    <x v="1"/>
    <x v="0"/>
    <x v="0"/>
    <n v="12000"/>
    <n v="2"/>
    <n v="0"/>
    <n v="24000"/>
    <n v="0"/>
    <n v="24000"/>
  </r>
  <r>
    <n v="455"/>
    <x v="94"/>
    <x v="51"/>
    <n v="1"/>
    <n v="60"/>
    <x v="27"/>
    <s v="cliente60@mail.cl"/>
    <x v="1"/>
    <n v="49"/>
    <x v="3"/>
    <x v="3"/>
    <x v="2"/>
    <x v="7"/>
    <x v="0"/>
    <n v="25000"/>
    <n v="2"/>
    <n v="0.1"/>
    <n v="50000"/>
    <n v="5000"/>
    <n v="45000"/>
  </r>
  <r>
    <n v="908"/>
    <x v="95"/>
    <x v="36"/>
    <n v="2"/>
    <n v="60"/>
    <x v="27"/>
    <s v="cliente60@mail.cl"/>
    <x v="1"/>
    <n v="49"/>
    <x v="5"/>
    <x v="2"/>
    <x v="0"/>
    <x v="0"/>
    <x v="0"/>
    <n v="12000"/>
    <n v="3"/>
    <n v="0"/>
    <n v="36000"/>
    <n v="0"/>
    <n v="36000"/>
  </r>
  <r>
    <n v="376"/>
    <x v="96"/>
    <x v="48"/>
    <n v="0"/>
    <n v="85"/>
    <x v="28"/>
    <s v="cliente85@mail.cl"/>
    <x v="1"/>
    <n v="28"/>
    <x v="9"/>
    <x v="7"/>
    <x v="1"/>
    <x v="5"/>
    <x v="2"/>
    <n v="750000"/>
    <n v="2"/>
    <n v="0"/>
    <n v="1500000"/>
    <n v="0"/>
    <n v="1500000"/>
  </r>
  <r>
    <n v="887"/>
    <x v="97"/>
    <x v="52"/>
    <n v="1"/>
    <n v="85"/>
    <x v="28"/>
    <s v="cliente85@mail.cl"/>
    <x v="1"/>
    <n v="28"/>
    <x v="6"/>
    <x v="4"/>
    <x v="1"/>
    <x v="7"/>
    <x v="0"/>
    <n v="25000"/>
    <n v="2"/>
    <n v="0"/>
    <n v="50000"/>
    <n v="0"/>
    <n v="50000"/>
  </r>
  <r>
    <n v="922"/>
    <x v="98"/>
    <x v="10"/>
    <n v="0"/>
    <n v="85"/>
    <x v="28"/>
    <s v="cliente85@mail.cl"/>
    <x v="1"/>
    <n v="28"/>
    <x v="7"/>
    <x v="5"/>
    <x v="0"/>
    <x v="9"/>
    <x v="4"/>
    <n v="15000"/>
    <n v="3"/>
    <n v="0"/>
    <n v="45000"/>
    <n v="0"/>
    <n v="45000"/>
  </r>
  <r>
    <n v="187"/>
    <x v="99"/>
    <x v="35"/>
    <n v="5"/>
    <n v="70"/>
    <x v="29"/>
    <s v="cliente70@mail.cl"/>
    <x v="0"/>
    <n v="30"/>
    <x v="6"/>
    <x v="4"/>
    <x v="1"/>
    <x v="0"/>
    <x v="0"/>
    <n v="12000"/>
    <n v="3"/>
    <n v="0"/>
    <n v="36000"/>
    <n v="0"/>
    <n v="36000"/>
  </r>
  <r>
    <n v="262"/>
    <x v="100"/>
    <x v="19"/>
    <n v="4"/>
    <n v="70"/>
    <x v="29"/>
    <s v="cliente70@mail.cl"/>
    <x v="0"/>
    <n v="30"/>
    <x v="6"/>
    <x v="4"/>
    <x v="2"/>
    <x v="1"/>
    <x v="1"/>
    <n v="650000"/>
    <n v="2"/>
    <n v="0.1"/>
    <n v="1300000"/>
    <n v="130000"/>
    <n v="1170000"/>
  </r>
  <r>
    <n v="539"/>
    <x v="101"/>
    <x v="2"/>
    <n v="2"/>
    <n v="70"/>
    <x v="29"/>
    <s v="cliente70@mail.cl"/>
    <x v="0"/>
    <n v="30"/>
    <x v="2"/>
    <x v="2"/>
    <x v="0"/>
    <x v="2"/>
    <x v="2"/>
    <n v="450000"/>
    <n v="2"/>
    <n v="0"/>
    <n v="900000"/>
    <n v="0"/>
    <n v="900000"/>
  </r>
  <r>
    <n v="870"/>
    <x v="102"/>
    <x v="53"/>
    <n v="4"/>
    <n v="70"/>
    <x v="29"/>
    <s v="cliente70@mail.cl"/>
    <x v="0"/>
    <n v="30"/>
    <x v="1"/>
    <x v="1"/>
    <x v="0"/>
    <x v="6"/>
    <x v="1"/>
    <n v="800000"/>
    <n v="1"/>
    <n v="0.05"/>
    <n v="800000"/>
    <n v="40000"/>
    <n v="760000"/>
  </r>
  <r>
    <n v="885"/>
    <x v="103"/>
    <x v="7"/>
    <n v="3"/>
    <n v="70"/>
    <x v="29"/>
    <s v="cliente70@mail.cl"/>
    <x v="0"/>
    <n v="30"/>
    <x v="5"/>
    <x v="2"/>
    <x v="1"/>
    <x v="9"/>
    <x v="4"/>
    <n v="15000"/>
    <n v="2"/>
    <n v="0"/>
    <n v="30000"/>
    <n v="0"/>
    <n v="30000"/>
  </r>
  <r>
    <n v="331"/>
    <x v="104"/>
    <x v="19"/>
    <n v="4"/>
    <n v="179"/>
    <x v="30"/>
    <s v="cliente179@mail.cl"/>
    <x v="1"/>
    <n v="34"/>
    <x v="6"/>
    <x v="4"/>
    <x v="1"/>
    <x v="5"/>
    <x v="2"/>
    <n v="750000"/>
    <n v="3"/>
    <n v="0.1"/>
    <n v="2250000"/>
    <n v="225000"/>
    <n v="2025000"/>
  </r>
  <r>
    <n v="672"/>
    <x v="105"/>
    <x v="45"/>
    <n v="1"/>
    <n v="179"/>
    <x v="30"/>
    <s v="cliente179@mail.cl"/>
    <x v="1"/>
    <n v="34"/>
    <x v="4"/>
    <x v="3"/>
    <x v="1"/>
    <x v="3"/>
    <x v="1"/>
    <n v="700000"/>
    <n v="3"/>
    <n v="0.1"/>
    <n v="2100000"/>
    <n v="210000"/>
    <n v="1890000"/>
  </r>
  <r>
    <n v="245"/>
    <x v="106"/>
    <x v="17"/>
    <n v="0"/>
    <n v="17"/>
    <x v="31"/>
    <s v="cliente17@mail.cl"/>
    <x v="0"/>
    <n v="25"/>
    <x v="1"/>
    <x v="1"/>
    <x v="1"/>
    <x v="6"/>
    <x v="1"/>
    <n v="800000"/>
    <n v="1"/>
    <n v="0.1"/>
    <n v="800000"/>
    <n v="80000"/>
    <n v="720000"/>
  </r>
  <r>
    <n v="299"/>
    <x v="107"/>
    <x v="23"/>
    <n v="1"/>
    <n v="17"/>
    <x v="31"/>
    <s v="cliente17@mail.cl"/>
    <x v="0"/>
    <n v="25"/>
    <x v="2"/>
    <x v="2"/>
    <x v="1"/>
    <x v="2"/>
    <x v="2"/>
    <n v="450000"/>
    <n v="1"/>
    <n v="0.1"/>
    <n v="450000"/>
    <n v="45000"/>
    <n v="405000"/>
  </r>
  <r>
    <n v="828"/>
    <x v="108"/>
    <x v="15"/>
    <n v="8"/>
    <n v="17"/>
    <x v="31"/>
    <s v="cliente17@mail.cl"/>
    <x v="0"/>
    <n v="25"/>
    <x v="5"/>
    <x v="2"/>
    <x v="1"/>
    <x v="0"/>
    <x v="0"/>
    <n v="12000"/>
    <n v="1"/>
    <n v="0"/>
    <n v="12000"/>
    <n v="0"/>
    <n v="12000"/>
  </r>
  <r>
    <n v="184"/>
    <x v="109"/>
    <x v="54"/>
    <n v="0"/>
    <n v="92"/>
    <x v="32"/>
    <s v="cliente92@mail.cl"/>
    <x v="0"/>
    <n v="49"/>
    <x v="9"/>
    <x v="7"/>
    <x v="2"/>
    <x v="0"/>
    <x v="0"/>
    <n v="12000"/>
    <n v="3"/>
    <n v="0"/>
    <n v="36000"/>
    <n v="0"/>
    <n v="36000"/>
  </r>
  <r>
    <n v="768"/>
    <x v="110"/>
    <x v="41"/>
    <n v="0"/>
    <n v="92"/>
    <x v="32"/>
    <s v="cliente92@mail.cl"/>
    <x v="0"/>
    <n v="49"/>
    <x v="2"/>
    <x v="2"/>
    <x v="0"/>
    <x v="7"/>
    <x v="0"/>
    <n v="25000"/>
    <n v="3"/>
    <n v="0"/>
    <n v="75000"/>
    <n v="0"/>
    <n v="75000"/>
  </r>
  <r>
    <n v="964"/>
    <x v="111"/>
    <x v="32"/>
    <n v="5"/>
    <n v="92"/>
    <x v="32"/>
    <s v="cliente92@mail.cl"/>
    <x v="0"/>
    <n v="49"/>
    <x v="6"/>
    <x v="4"/>
    <x v="2"/>
    <x v="7"/>
    <x v="0"/>
    <n v="25000"/>
    <n v="3"/>
    <n v="0.1"/>
    <n v="75000"/>
    <n v="7500"/>
    <n v="67500"/>
  </r>
  <r>
    <n v="332"/>
    <x v="112"/>
    <x v="28"/>
    <n v="0"/>
    <n v="49"/>
    <x v="33"/>
    <s v="cliente49@mail.cl"/>
    <x v="1"/>
    <n v="42"/>
    <x v="7"/>
    <x v="5"/>
    <x v="2"/>
    <x v="3"/>
    <x v="1"/>
    <n v="700000"/>
    <n v="2"/>
    <n v="0"/>
    <n v="1400000"/>
    <n v="0"/>
    <n v="1400000"/>
  </r>
  <r>
    <n v="697"/>
    <x v="113"/>
    <x v="45"/>
    <n v="1"/>
    <n v="49"/>
    <x v="33"/>
    <s v="cliente49@mail.cl"/>
    <x v="1"/>
    <n v="42"/>
    <x v="4"/>
    <x v="3"/>
    <x v="1"/>
    <x v="7"/>
    <x v="0"/>
    <n v="25000"/>
    <n v="3"/>
    <n v="0"/>
    <n v="75000"/>
    <n v="0"/>
    <n v="75000"/>
  </r>
  <r>
    <n v="488"/>
    <x v="114"/>
    <x v="47"/>
    <n v="7"/>
    <n v="170"/>
    <x v="34"/>
    <s v="cliente170@mail.cl"/>
    <x v="1"/>
    <n v="28"/>
    <x v="8"/>
    <x v="6"/>
    <x v="0"/>
    <x v="9"/>
    <x v="4"/>
    <n v="15000"/>
    <n v="3"/>
    <n v="0"/>
    <n v="45000"/>
    <n v="0"/>
    <n v="45000"/>
  </r>
  <r>
    <n v="504"/>
    <x v="115"/>
    <x v="42"/>
    <n v="3"/>
    <n v="170"/>
    <x v="34"/>
    <s v="cliente170@mail.cl"/>
    <x v="1"/>
    <n v="28"/>
    <x v="0"/>
    <x v="0"/>
    <x v="1"/>
    <x v="9"/>
    <x v="4"/>
    <n v="15000"/>
    <n v="2"/>
    <n v="0.05"/>
    <n v="30000"/>
    <n v="1500"/>
    <n v="28500"/>
  </r>
  <r>
    <n v="655"/>
    <x v="116"/>
    <x v="55"/>
    <n v="2"/>
    <n v="170"/>
    <x v="34"/>
    <s v="cliente170@mail.cl"/>
    <x v="1"/>
    <n v="28"/>
    <x v="9"/>
    <x v="7"/>
    <x v="0"/>
    <x v="6"/>
    <x v="1"/>
    <n v="800000"/>
    <n v="3"/>
    <n v="0.05"/>
    <n v="2400000"/>
    <n v="120000"/>
    <n v="2280000"/>
  </r>
  <r>
    <n v="741"/>
    <x v="117"/>
    <x v="56"/>
    <n v="1"/>
    <n v="170"/>
    <x v="34"/>
    <s v="cliente170@mail.cl"/>
    <x v="1"/>
    <n v="28"/>
    <x v="5"/>
    <x v="2"/>
    <x v="2"/>
    <x v="8"/>
    <x v="4"/>
    <n v="35000"/>
    <n v="3"/>
    <n v="0.05"/>
    <n v="105000"/>
    <n v="5250"/>
    <n v="99750"/>
  </r>
  <r>
    <n v="182"/>
    <x v="118"/>
    <x v="47"/>
    <n v="7"/>
    <n v="177"/>
    <x v="35"/>
    <s v="cliente177@mail.cl"/>
    <x v="0"/>
    <n v="38"/>
    <x v="8"/>
    <x v="6"/>
    <x v="1"/>
    <x v="3"/>
    <x v="1"/>
    <n v="700000"/>
    <n v="3"/>
    <n v="0.05"/>
    <n v="2100000"/>
    <n v="105000"/>
    <n v="1995000"/>
  </r>
  <r>
    <n v="461"/>
    <x v="119"/>
    <x v="12"/>
    <n v="4"/>
    <n v="177"/>
    <x v="35"/>
    <s v="cliente177@mail.cl"/>
    <x v="0"/>
    <n v="38"/>
    <x v="2"/>
    <x v="2"/>
    <x v="2"/>
    <x v="5"/>
    <x v="2"/>
    <n v="750000"/>
    <n v="1"/>
    <n v="0"/>
    <n v="750000"/>
    <n v="0"/>
    <n v="750000"/>
  </r>
  <r>
    <n v="515"/>
    <x v="120"/>
    <x v="8"/>
    <n v="8"/>
    <n v="177"/>
    <x v="35"/>
    <s v="cliente177@mail.cl"/>
    <x v="0"/>
    <n v="38"/>
    <x v="4"/>
    <x v="3"/>
    <x v="0"/>
    <x v="5"/>
    <x v="2"/>
    <n v="750000"/>
    <n v="3"/>
    <n v="0.1"/>
    <n v="2250000"/>
    <n v="225000"/>
    <n v="2025000"/>
  </r>
  <r>
    <n v="570"/>
    <x v="121"/>
    <x v="25"/>
    <n v="1"/>
    <n v="177"/>
    <x v="35"/>
    <s v="cliente177@mail.cl"/>
    <x v="0"/>
    <n v="38"/>
    <x v="2"/>
    <x v="2"/>
    <x v="1"/>
    <x v="9"/>
    <x v="4"/>
    <n v="15000"/>
    <n v="2"/>
    <n v="0"/>
    <n v="30000"/>
    <n v="0"/>
    <n v="30000"/>
  </r>
  <r>
    <n v="710"/>
    <x v="122"/>
    <x v="27"/>
    <n v="4"/>
    <n v="177"/>
    <x v="35"/>
    <s v="cliente177@mail.cl"/>
    <x v="0"/>
    <n v="38"/>
    <x v="1"/>
    <x v="1"/>
    <x v="1"/>
    <x v="1"/>
    <x v="1"/>
    <n v="650000"/>
    <n v="1"/>
    <n v="0"/>
    <n v="650000"/>
    <n v="0"/>
    <n v="650000"/>
  </r>
  <r>
    <n v="994"/>
    <x v="123"/>
    <x v="54"/>
    <n v="0"/>
    <n v="177"/>
    <x v="35"/>
    <s v="cliente177@mail.cl"/>
    <x v="0"/>
    <n v="38"/>
    <x v="9"/>
    <x v="7"/>
    <x v="0"/>
    <x v="3"/>
    <x v="1"/>
    <n v="700000"/>
    <n v="3"/>
    <n v="0"/>
    <n v="2100000"/>
    <n v="0"/>
    <n v="2100000"/>
  </r>
  <r>
    <n v="168"/>
    <x v="124"/>
    <x v="25"/>
    <n v="1"/>
    <n v="76"/>
    <x v="36"/>
    <s v="cliente76@mail.cl"/>
    <x v="1"/>
    <n v="47"/>
    <x v="2"/>
    <x v="2"/>
    <x v="2"/>
    <x v="6"/>
    <x v="1"/>
    <n v="800000"/>
    <n v="3"/>
    <n v="0.1"/>
    <n v="2400000"/>
    <n v="240000"/>
    <n v="2160000"/>
  </r>
  <r>
    <n v="266"/>
    <x v="125"/>
    <x v="57"/>
    <n v="1"/>
    <n v="76"/>
    <x v="36"/>
    <s v="cliente76@mail.cl"/>
    <x v="1"/>
    <n v="47"/>
    <x v="2"/>
    <x v="2"/>
    <x v="0"/>
    <x v="6"/>
    <x v="1"/>
    <n v="800000"/>
    <n v="3"/>
    <n v="0"/>
    <n v="2400000"/>
    <n v="0"/>
    <n v="2400000"/>
  </r>
  <r>
    <n v="529"/>
    <x v="126"/>
    <x v="5"/>
    <n v="1"/>
    <n v="76"/>
    <x v="36"/>
    <s v="cliente76@mail.cl"/>
    <x v="1"/>
    <n v="47"/>
    <x v="3"/>
    <x v="3"/>
    <x v="2"/>
    <x v="5"/>
    <x v="2"/>
    <n v="750000"/>
    <n v="1"/>
    <n v="0"/>
    <n v="750000"/>
    <n v="0"/>
    <n v="750000"/>
  </r>
  <r>
    <n v="845"/>
    <x v="127"/>
    <x v="26"/>
    <n v="1"/>
    <n v="76"/>
    <x v="36"/>
    <s v="cliente76@mail.cl"/>
    <x v="1"/>
    <n v="47"/>
    <x v="8"/>
    <x v="6"/>
    <x v="1"/>
    <x v="5"/>
    <x v="2"/>
    <n v="750000"/>
    <n v="1"/>
    <n v="0.05"/>
    <n v="750000"/>
    <n v="37500"/>
    <n v="712500"/>
  </r>
  <r>
    <n v="959"/>
    <x v="128"/>
    <x v="58"/>
    <n v="13"/>
    <n v="76"/>
    <x v="36"/>
    <s v="cliente76@mail.cl"/>
    <x v="1"/>
    <n v="47"/>
    <x v="1"/>
    <x v="1"/>
    <x v="2"/>
    <x v="0"/>
    <x v="0"/>
    <n v="12000"/>
    <n v="1"/>
    <n v="0"/>
    <n v="12000"/>
    <n v="0"/>
    <n v="12000"/>
  </r>
  <r>
    <n v="113"/>
    <x v="129"/>
    <x v="50"/>
    <n v="2"/>
    <n v="225"/>
    <x v="37"/>
    <s v="cliente225@mail.cl"/>
    <x v="1"/>
    <n v="32"/>
    <x v="2"/>
    <x v="2"/>
    <x v="0"/>
    <x v="2"/>
    <x v="2"/>
    <n v="450000"/>
    <n v="2"/>
    <n v="0.1"/>
    <n v="900000"/>
    <n v="90000"/>
    <n v="810000"/>
  </r>
  <r>
    <n v="120"/>
    <x v="130"/>
    <x v="3"/>
    <n v="0"/>
    <n v="225"/>
    <x v="37"/>
    <s v="cliente225@mail.cl"/>
    <x v="1"/>
    <n v="32"/>
    <x v="3"/>
    <x v="3"/>
    <x v="2"/>
    <x v="4"/>
    <x v="3"/>
    <n v="55000"/>
    <n v="3"/>
    <n v="0"/>
    <n v="165000"/>
    <n v="0"/>
    <n v="165000"/>
  </r>
  <r>
    <n v="289"/>
    <x v="131"/>
    <x v="19"/>
    <n v="4"/>
    <n v="225"/>
    <x v="37"/>
    <s v="cliente225@mail.cl"/>
    <x v="1"/>
    <n v="32"/>
    <x v="6"/>
    <x v="4"/>
    <x v="0"/>
    <x v="6"/>
    <x v="1"/>
    <n v="800000"/>
    <n v="3"/>
    <n v="0"/>
    <n v="2400000"/>
    <n v="0"/>
    <n v="2400000"/>
  </r>
  <r>
    <n v="433"/>
    <x v="132"/>
    <x v="59"/>
    <n v="0"/>
    <n v="225"/>
    <x v="37"/>
    <s v="cliente225@mail.cl"/>
    <x v="1"/>
    <n v="32"/>
    <x v="2"/>
    <x v="2"/>
    <x v="1"/>
    <x v="2"/>
    <x v="2"/>
    <n v="450000"/>
    <n v="1"/>
    <n v="0.05"/>
    <n v="450000"/>
    <n v="22500"/>
    <n v="427500"/>
  </r>
  <r>
    <n v="776"/>
    <x v="133"/>
    <x v="18"/>
    <n v="1"/>
    <n v="225"/>
    <x v="37"/>
    <s v="cliente225@mail.cl"/>
    <x v="1"/>
    <n v="32"/>
    <x v="3"/>
    <x v="3"/>
    <x v="0"/>
    <x v="7"/>
    <x v="0"/>
    <n v="25000"/>
    <n v="3"/>
    <n v="0.05"/>
    <n v="75000"/>
    <n v="3750"/>
    <n v="71250"/>
  </r>
  <r>
    <n v="816"/>
    <x v="134"/>
    <x v="45"/>
    <n v="1"/>
    <n v="225"/>
    <x v="37"/>
    <s v="cliente225@mail.cl"/>
    <x v="1"/>
    <n v="32"/>
    <x v="4"/>
    <x v="3"/>
    <x v="2"/>
    <x v="8"/>
    <x v="4"/>
    <n v="35000"/>
    <n v="1"/>
    <n v="0.1"/>
    <n v="35000"/>
    <n v="3500"/>
    <n v="31500"/>
  </r>
  <r>
    <n v="381"/>
    <x v="135"/>
    <x v="60"/>
    <n v="1"/>
    <n v="230"/>
    <x v="38"/>
    <s v="cliente230@mail.cl"/>
    <x v="1"/>
    <n v="46"/>
    <x v="8"/>
    <x v="6"/>
    <x v="1"/>
    <x v="7"/>
    <x v="0"/>
    <n v="25000"/>
    <n v="3"/>
    <n v="0"/>
    <n v="75000"/>
    <n v="0"/>
    <n v="75000"/>
  </r>
  <r>
    <n v="585"/>
    <x v="136"/>
    <x v="9"/>
    <n v="1"/>
    <n v="230"/>
    <x v="38"/>
    <s v="cliente230@mail.cl"/>
    <x v="1"/>
    <n v="46"/>
    <x v="6"/>
    <x v="4"/>
    <x v="2"/>
    <x v="8"/>
    <x v="4"/>
    <n v="35000"/>
    <n v="3"/>
    <n v="0"/>
    <n v="105000"/>
    <n v="0"/>
    <n v="105000"/>
  </r>
  <r>
    <n v="701"/>
    <x v="137"/>
    <x v="14"/>
    <n v="9"/>
    <n v="230"/>
    <x v="38"/>
    <s v="cliente230@mail.cl"/>
    <x v="1"/>
    <n v="46"/>
    <x v="8"/>
    <x v="6"/>
    <x v="1"/>
    <x v="9"/>
    <x v="4"/>
    <n v="15000"/>
    <n v="1"/>
    <n v="0"/>
    <n v="15000"/>
    <n v="0"/>
    <n v="15000"/>
  </r>
  <r>
    <n v="882"/>
    <x v="138"/>
    <x v="41"/>
    <n v="0"/>
    <n v="230"/>
    <x v="38"/>
    <s v="cliente230@mail.cl"/>
    <x v="1"/>
    <n v="46"/>
    <x v="2"/>
    <x v="2"/>
    <x v="1"/>
    <x v="3"/>
    <x v="1"/>
    <n v="700000"/>
    <n v="1"/>
    <n v="0.05"/>
    <n v="700000"/>
    <n v="35000"/>
    <n v="665000"/>
  </r>
  <r>
    <n v="343"/>
    <x v="139"/>
    <x v="33"/>
    <n v="4"/>
    <n v="158"/>
    <x v="39"/>
    <s v="cliente158@mail.cl"/>
    <x v="1"/>
    <n v="43"/>
    <x v="8"/>
    <x v="6"/>
    <x v="0"/>
    <x v="3"/>
    <x v="1"/>
    <n v="700000"/>
    <n v="2"/>
    <n v="0"/>
    <n v="1400000"/>
    <n v="0"/>
    <n v="1400000"/>
  </r>
  <r>
    <n v="580"/>
    <x v="140"/>
    <x v="46"/>
    <n v="0"/>
    <n v="158"/>
    <x v="39"/>
    <s v="cliente158@mail.cl"/>
    <x v="1"/>
    <n v="43"/>
    <x v="4"/>
    <x v="3"/>
    <x v="1"/>
    <x v="1"/>
    <x v="1"/>
    <n v="650000"/>
    <n v="1"/>
    <n v="0"/>
    <n v="650000"/>
    <n v="0"/>
    <n v="650000"/>
  </r>
  <r>
    <n v="677"/>
    <x v="141"/>
    <x v="61"/>
    <n v="3"/>
    <n v="158"/>
    <x v="39"/>
    <s v="cliente158@mail.cl"/>
    <x v="1"/>
    <n v="43"/>
    <x v="7"/>
    <x v="5"/>
    <x v="1"/>
    <x v="0"/>
    <x v="0"/>
    <n v="12000"/>
    <n v="3"/>
    <n v="0"/>
    <n v="36000"/>
    <n v="0"/>
    <n v="36000"/>
  </r>
  <r>
    <n v="747"/>
    <x v="142"/>
    <x v="55"/>
    <n v="2"/>
    <n v="158"/>
    <x v="39"/>
    <s v="cliente158@mail.cl"/>
    <x v="1"/>
    <n v="43"/>
    <x v="9"/>
    <x v="7"/>
    <x v="2"/>
    <x v="4"/>
    <x v="3"/>
    <n v="55000"/>
    <n v="1"/>
    <n v="0"/>
    <n v="55000"/>
    <n v="0"/>
    <n v="55000"/>
  </r>
  <r>
    <n v="757"/>
    <x v="143"/>
    <x v="16"/>
    <n v="7"/>
    <n v="158"/>
    <x v="39"/>
    <s v="cliente158@mail.cl"/>
    <x v="1"/>
    <n v="43"/>
    <x v="4"/>
    <x v="3"/>
    <x v="1"/>
    <x v="6"/>
    <x v="1"/>
    <n v="800000"/>
    <n v="2"/>
    <n v="0.1"/>
    <n v="1600000"/>
    <n v="160000"/>
    <n v="1440000"/>
  </r>
  <r>
    <n v="24"/>
    <x v="144"/>
    <x v="37"/>
    <n v="3"/>
    <n v="23"/>
    <x v="40"/>
    <s v="cliente23@mail.cl"/>
    <x v="0"/>
    <n v="38"/>
    <x v="5"/>
    <x v="2"/>
    <x v="1"/>
    <x v="8"/>
    <x v="4"/>
    <n v="35000"/>
    <n v="3"/>
    <n v="0.05"/>
    <n v="105000"/>
    <n v="5250"/>
    <n v="99750"/>
  </r>
  <r>
    <n v="429"/>
    <x v="145"/>
    <x v="38"/>
    <n v="6"/>
    <n v="23"/>
    <x v="40"/>
    <s v="cliente23@mail.cl"/>
    <x v="0"/>
    <n v="38"/>
    <x v="8"/>
    <x v="6"/>
    <x v="1"/>
    <x v="3"/>
    <x v="1"/>
    <n v="700000"/>
    <n v="1"/>
    <n v="0"/>
    <n v="700000"/>
    <n v="0"/>
    <n v="700000"/>
  </r>
  <r>
    <n v="663"/>
    <x v="146"/>
    <x v="62"/>
    <n v="0"/>
    <n v="23"/>
    <x v="40"/>
    <s v="cliente23@mail.cl"/>
    <x v="0"/>
    <n v="38"/>
    <x v="9"/>
    <x v="7"/>
    <x v="1"/>
    <x v="2"/>
    <x v="2"/>
    <n v="450000"/>
    <n v="2"/>
    <n v="0"/>
    <n v="900000"/>
    <n v="0"/>
    <n v="900000"/>
  </r>
  <r>
    <n v="957"/>
    <x v="147"/>
    <x v="63"/>
    <n v="6"/>
    <n v="23"/>
    <x v="40"/>
    <s v="cliente23@mail.cl"/>
    <x v="0"/>
    <n v="38"/>
    <x v="1"/>
    <x v="1"/>
    <x v="2"/>
    <x v="0"/>
    <x v="0"/>
    <n v="12000"/>
    <n v="2"/>
    <n v="0.1"/>
    <n v="24000"/>
    <n v="2400"/>
    <n v="21600"/>
  </r>
  <r>
    <n v="8"/>
    <x v="148"/>
    <x v="7"/>
    <n v="3"/>
    <n v="242"/>
    <x v="41"/>
    <s v="cliente242@mail.cl"/>
    <x v="0"/>
    <n v="36"/>
    <x v="5"/>
    <x v="2"/>
    <x v="0"/>
    <x v="5"/>
    <x v="2"/>
    <n v="750000"/>
    <n v="1"/>
    <n v="0.05"/>
    <n v="750000"/>
    <n v="37500"/>
    <n v="712500"/>
  </r>
  <r>
    <n v="48"/>
    <x v="149"/>
    <x v="5"/>
    <n v="1"/>
    <n v="204"/>
    <x v="42"/>
    <s v="cliente204@mail.cl"/>
    <x v="1"/>
    <n v="50"/>
    <x v="3"/>
    <x v="3"/>
    <x v="1"/>
    <x v="3"/>
    <x v="1"/>
    <n v="700000"/>
    <n v="2"/>
    <n v="0"/>
    <n v="1400000"/>
    <n v="0"/>
    <n v="1400000"/>
  </r>
  <r>
    <n v="502"/>
    <x v="150"/>
    <x v="41"/>
    <n v="0"/>
    <n v="204"/>
    <x v="42"/>
    <s v="cliente204@mail.cl"/>
    <x v="1"/>
    <n v="50"/>
    <x v="2"/>
    <x v="2"/>
    <x v="2"/>
    <x v="9"/>
    <x v="4"/>
    <n v="15000"/>
    <n v="3"/>
    <n v="0.05"/>
    <n v="45000"/>
    <n v="2250"/>
    <n v="42750"/>
  </r>
  <r>
    <n v="514"/>
    <x v="151"/>
    <x v="47"/>
    <n v="7"/>
    <n v="204"/>
    <x v="42"/>
    <s v="cliente204@mail.cl"/>
    <x v="1"/>
    <n v="50"/>
    <x v="8"/>
    <x v="6"/>
    <x v="0"/>
    <x v="4"/>
    <x v="3"/>
    <n v="55000"/>
    <n v="2"/>
    <n v="0.1"/>
    <n v="110000"/>
    <n v="11000"/>
    <n v="99000"/>
  </r>
  <r>
    <n v="713"/>
    <x v="152"/>
    <x v="10"/>
    <n v="0"/>
    <n v="204"/>
    <x v="42"/>
    <s v="cliente204@mail.cl"/>
    <x v="1"/>
    <n v="50"/>
    <x v="7"/>
    <x v="5"/>
    <x v="0"/>
    <x v="4"/>
    <x v="3"/>
    <n v="55000"/>
    <n v="3"/>
    <n v="0.1"/>
    <n v="165000"/>
    <n v="16500"/>
    <n v="148500"/>
  </r>
  <r>
    <n v="872"/>
    <x v="153"/>
    <x v="47"/>
    <n v="7"/>
    <n v="204"/>
    <x v="42"/>
    <s v="cliente204@mail.cl"/>
    <x v="1"/>
    <n v="50"/>
    <x v="8"/>
    <x v="6"/>
    <x v="0"/>
    <x v="6"/>
    <x v="1"/>
    <n v="800000"/>
    <n v="1"/>
    <n v="0.1"/>
    <n v="800000"/>
    <n v="80000"/>
    <n v="720000"/>
  </r>
  <r>
    <n v="30"/>
    <x v="154"/>
    <x v="1"/>
    <n v="5"/>
    <n v="122"/>
    <x v="43"/>
    <s v="cliente122@mail.cl"/>
    <x v="0"/>
    <n v="27"/>
    <x v="1"/>
    <x v="1"/>
    <x v="2"/>
    <x v="8"/>
    <x v="4"/>
    <n v="35000"/>
    <n v="3"/>
    <n v="0"/>
    <n v="105000"/>
    <n v="0"/>
    <n v="105000"/>
  </r>
  <r>
    <n v="255"/>
    <x v="155"/>
    <x v="45"/>
    <n v="1"/>
    <n v="122"/>
    <x v="43"/>
    <s v="cliente122@mail.cl"/>
    <x v="0"/>
    <n v="27"/>
    <x v="4"/>
    <x v="3"/>
    <x v="1"/>
    <x v="2"/>
    <x v="2"/>
    <n v="450000"/>
    <n v="2"/>
    <n v="0"/>
    <n v="900000"/>
    <n v="0"/>
    <n v="900000"/>
  </r>
  <r>
    <n v="336"/>
    <x v="156"/>
    <x v="5"/>
    <n v="1"/>
    <n v="122"/>
    <x v="43"/>
    <s v="cliente122@mail.cl"/>
    <x v="0"/>
    <n v="27"/>
    <x v="3"/>
    <x v="3"/>
    <x v="0"/>
    <x v="6"/>
    <x v="1"/>
    <n v="800000"/>
    <n v="1"/>
    <n v="0.1"/>
    <n v="800000"/>
    <n v="80000"/>
    <n v="720000"/>
  </r>
  <r>
    <n v="600"/>
    <x v="157"/>
    <x v="13"/>
    <n v="1"/>
    <n v="122"/>
    <x v="43"/>
    <s v="cliente122@mail.cl"/>
    <x v="0"/>
    <n v="27"/>
    <x v="6"/>
    <x v="4"/>
    <x v="0"/>
    <x v="7"/>
    <x v="0"/>
    <n v="25000"/>
    <n v="2"/>
    <n v="0"/>
    <n v="50000"/>
    <n v="0"/>
    <n v="50000"/>
  </r>
  <r>
    <n v="625"/>
    <x v="158"/>
    <x v="26"/>
    <n v="1"/>
    <n v="122"/>
    <x v="43"/>
    <s v="cliente122@mail.cl"/>
    <x v="0"/>
    <n v="27"/>
    <x v="8"/>
    <x v="6"/>
    <x v="1"/>
    <x v="8"/>
    <x v="4"/>
    <n v="35000"/>
    <n v="2"/>
    <n v="0"/>
    <n v="70000"/>
    <n v="0"/>
    <n v="70000"/>
  </r>
  <r>
    <n v="696"/>
    <x v="159"/>
    <x v="18"/>
    <n v="1"/>
    <n v="122"/>
    <x v="43"/>
    <s v="cliente122@mail.cl"/>
    <x v="0"/>
    <n v="27"/>
    <x v="3"/>
    <x v="3"/>
    <x v="1"/>
    <x v="1"/>
    <x v="1"/>
    <n v="650000"/>
    <n v="1"/>
    <n v="0.1"/>
    <n v="650000"/>
    <n v="65000"/>
    <n v="585000"/>
  </r>
  <r>
    <n v="145"/>
    <x v="160"/>
    <x v="16"/>
    <n v="7"/>
    <n v="163"/>
    <x v="44"/>
    <s v="cliente163@mail.cl"/>
    <x v="1"/>
    <n v="51"/>
    <x v="4"/>
    <x v="3"/>
    <x v="2"/>
    <x v="8"/>
    <x v="4"/>
    <n v="35000"/>
    <n v="3"/>
    <n v="0"/>
    <n v="105000"/>
    <n v="0"/>
    <n v="105000"/>
  </r>
  <r>
    <n v="174"/>
    <x v="161"/>
    <x v="41"/>
    <n v="0"/>
    <n v="163"/>
    <x v="44"/>
    <s v="cliente163@mail.cl"/>
    <x v="1"/>
    <n v="51"/>
    <x v="2"/>
    <x v="2"/>
    <x v="1"/>
    <x v="0"/>
    <x v="0"/>
    <n v="12000"/>
    <n v="2"/>
    <n v="0.1"/>
    <n v="24000"/>
    <n v="2400"/>
    <n v="21600"/>
  </r>
  <r>
    <n v="57"/>
    <x v="162"/>
    <x v="12"/>
    <n v="4"/>
    <n v="261"/>
    <x v="45"/>
    <s v="cliente261@mail.cl"/>
    <x v="1"/>
    <n v="26"/>
    <x v="2"/>
    <x v="2"/>
    <x v="1"/>
    <x v="2"/>
    <x v="2"/>
    <n v="450000"/>
    <n v="3"/>
    <n v="0"/>
    <n v="1350000"/>
    <n v="0"/>
    <n v="1350000"/>
  </r>
  <r>
    <n v="370"/>
    <x v="163"/>
    <x v="1"/>
    <n v="5"/>
    <n v="261"/>
    <x v="45"/>
    <s v="cliente261@mail.cl"/>
    <x v="1"/>
    <n v="26"/>
    <x v="1"/>
    <x v="1"/>
    <x v="0"/>
    <x v="0"/>
    <x v="0"/>
    <n v="12000"/>
    <n v="1"/>
    <n v="0"/>
    <n v="12000"/>
    <n v="0"/>
    <n v="12000"/>
  </r>
  <r>
    <n v="787"/>
    <x v="164"/>
    <x v="21"/>
    <n v="7"/>
    <n v="261"/>
    <x v="45"/>
    <s v="cliente261@mail.cl"/>
    <x v="1"/>
    <n v="26"/>
    <x v="1"/>
    <x v="1"/>
    <x v="1"/>
    <x v="0"/>
    <x v="0"/>
    <n v="12000"/>
    <n v="3"/>
    <n v="0"/>
    <n v="36000"/>
    <n v="0"/>
    <n v="36000"/>
  </r>
  <r>
    <n v="130"/>
    <x v="165"/>
    <x v="39"/>
    <n v="1"/>
    <n v="237"/>
    <x v="46"/>
    <s v="cliente237@mail.cl"/>
    <x v="1"/>
    <n v="18"/>
    <x v="8"/>
    <x v="6"/>
    <x v="1"/>
    <x v="2"/>
    <x v="2"/>
    <n v="450000"/>
    <n v="3"/>
    <n v="0.05"/>
    <n v="1350000"/>
    <n v="67500"/>
    <n v="1282500"/>
  </r>
  <r>
    <n v="229"/>
    <x v="166"/>
    <x v="55"/>
    <n v="2"/>
    <n v="237"/>
    <x v="46"/>
    <s v="cliente237@mail.cl"/>
    <x v="1"/>
    <n v="18"/>
    <x v="9"/>
    <x v="7"/>
    <x v="1"/>
    <x v="9"/>
    <x v="4"/>
    <n v="15000"/>
    <n v="1"/>
    <n v="0"/>
    <n v="15000"/>
    <n v="0"/>
    <n v="15000"/>
  </r>
  <r>
    <n v="294"/>
    <x v="167"/>
    <x v="53"/>
    <n v="4"/>
    <n v="237"/>
    <x v="46"/>
    <s v="cliente237@mail.cl"/>
    <x v="1"/>
    <n v="18"/>
    <x v="1"/>
    <x v="1"/>
    <x v="1"/>
    <x v="0"/>
    <x v="0"/>
    <n v="12000"/>
    <n v="3"/>
    <n v="0"/>
    <n v="36000"/>
    <n v="0"/>
    <n v="36000"/>
  </r>
  <r>
    <n v="306"/>
    <x v="168"/>
    <x v="46"/>
    <n v="0"/>
    <n v="237"/>
    <x v="46"/>
    <s v="cliente237@mail.cl"/>
    <x v="1"/>
    <n v="18"/>
    <x v="4"/>
    <x v="3"/>
    <x v="0"/>
    <x v="1"/>
    <x v="1"/>
    <n v="650000"/>
    <n v="2"/>
    <n v="0"/>
    <n v="1300000"/>
    <n v="0"/>
    <n v="1300000"/>
  </r>
  <r>
    <n v="296"/>
    <x v="169"/>
    <x v="37"/>
    <n v="3"/>
    <n v="214"/>
    <x v="47"/>
    <s v="cliente214@mail.cl"/>
    <x v="1"/>
    <n v="45"/>
    <x v="5"/>
    <x v="2"/>
    <x v="1"/>
    <x v="9"/>
    <x v="4"/>
    <n v="15000"/>
    <n v="1"/>
    <n v="0.05"/>
    <n v="15000"/>
    <n v="750"/>
    <n v="14250"/>
  </r>
  <r>
    <n v="639"/>
    <x v="170"/>
    <x v="27"/>
    <n v="4"/>
    <n v="214"/>
    <x v="47"/>
    <s v="cliente214@mail.cl"/>
    <x v="1"/>
    <n v="45"/>
    <x v="1"/>
    <x v="1"/>
    <x v="1"/>
    <x v="8"/>
    <x v="4"/>
    <n v="35000"/>
    <n v="1"/>
    <n v="0"/>
    <n v="35000"/>
    <n v="0"/>
    <n v="35000"/>
  </r>
  <r>
    <n v="642"/>
    <x v="171"/>
    <x v="39"/>
    <n v="1"/>
    <n v="214"/>
    <x v="47"/>
    <s v="cliente214@mail.cl"/>
    <x v="1"/>
    <n v="45"/>
    <x v="8"/>
    <x v="6"/>
    <x v="0"/>
    <x v="8"/>
    <x v="4"/>
    <n v="35000"/>
    <n v="1"/>
    <n v="0.1"/>
    <n v="35000"/>
    <n v="3500"/>
    <n v="31500"/>
  </r>
  <r>
    <n v="68"/>
    <x v="172"/>
    <x v="12"/>
    <n v="4"/>
    <n v="260"/>
    <x v="48"/>
    <s v="cliente260@mail.cl"/>
    <x v="0"/>
    <n v="47"/>
    <x v="2"/>
    <x v="2"/>
    <x v="1"/>
    <x v="7"/>
    <x v="0"/>
    <n v="25000"/>
    <n v="3"/>
    <n v="0"/>
    <n v="75000"/>
    <n v="0"/>
    <n v="75000"/>
  </r>
  <r>
    <n v="669"/>
    <x v="173"/>
    <x v="17"/>
    <n v="0"/>
    <n v="260"/>
    <x v="48"/>
    <s v="cliente260@mail.cl"/>
    <x v="0"/>
    <n v="47"/>
    <x v="1"/>
    <x v="1"/>
    <x v="1"/>
    <x v="9"/>
    <x v="4"/>
    <n v="15000"/>
    <n v="3"/>
    <n v="0.05"/>
    <n v="45000"/>
    <n v="2250"/>
    <n v="42750"/>
  </r>
  <r>
    <n v="694"/>
    <x v="174"/>
    <x v="42"/>
    <n v="3"/>
    <n v="260"/>
    <x v="48"/>
    <s v="cliente260@mail.cl"/>
    <x v="0"/>
    <n v="47"/>
    <x v="0"/>
    <x v="0"/>
    <x v="1"/>
    <x v="7"/>
    <x v="0"/>
    <n v="25000"/>
    <n v="3"/>
    <n v="0"/>
    <n v="75000"/>
    <n v="0"/>
    <n v="75000"/>
  </r>
  <r>
    <n v="474"/>
    <x v="175"/>
    <x v="10"/>
    <n v="0"/>
    <n v="15"/>
    <x v="49"/>
    <s v="cliente15@mail.cl"/>
    <x v="1"/>
    <n v="18"/>
    <x v="7"/>
    <x v="5"/>
    <x v="2"/>
    <x v="3"/>
    <x v="1"/>
    <n v="700000"/>
    <n v="1"/>
    <n v="0.05"/>
    <n v="700000"/>
    <n v="35000"/>
    <n v="665000"/>
  </r>
  <r>
    <n v="670"/>
    <x v="176"/>
    <x v="64"/>
    <n v="0"/>
    <n v="15"/>
    <x v="49"/>
    <s v="cliente15@mail.cl"/>
    <x v="1"/>
    <n v="18"/>
    <x v="5"/>
    <x v="2"/>
    <x v="1"/>
    <x v="0"/>
    <x v="0"/>
    <n v="12000"/>
    <n v="3"/>
    <n v="0.05"/>
    <n v="36000"/>
    <n v="1800"/>
    <n v="34200"/>
  </r>
  <r>
    <n v="925"/>
    <x v="177"/>
    <x v="25"/>
    <n v="1"/>
    <n v="15"/>
    <x v="49"/>
    <s v="cliente15@mail.cl"/>
    <x v="1"/>
    <n v="18"/>
    <x v="2"/>
    <x v="2"/>
    <x v="2"/>
    <x v="7"/>
    <x v="0"/>
    <n v="25000"/>
    <n v="2"/>
    <n v="0"/>
    <n v="50000"/>
    <n v="0"/>
    <n v="50000"/>
  </r>
  <r>
    <n v="79"/>
    <x v="178"/>
    <x v="61"/>
    <n v="3"/>
    <n v="226"/>
    <x v="50"/>
    <s v="cliente226@mail.cl"/>
    <x v="1"/>
    <n v="51"/>
    <x v="7"/>
    <x v="5"/>
    <x v="0"/>
    <x v="8"/>
    <x v="4"/>
    <n v="35000"/>
    <n v="1"/>
    <n v="0"/>
    <n v="35000"/>
    <n v="0"/>
    <n v="35000"/>
  </r>
  <r>
    <n v="631"/>
    <x v="179"/>
    <x v="37"/>
    <n v="3"/>
    <n v="226"/>
    <x v="50"/>
    <s v="cliente226@mail.cl"/>
    <x v="1"/>
    <n v="51"/>
    <x v="5"/>
    <x v="2"/>
    <x v="1"/>
    <x v="2"/>
    <x v="2"/>
    <n v="450000"/>
    <n v="1"/>
    <n v="0.05"/>
    <n v="450000"/>
    <n v="22500"/>
    <n v="427500"/>
  </r>
  <r>
    <n v="179"/>
    <x v="180"/>
    <x v="43"/>
    <n v="5"/>
    <n v="32"/>
    <x v="51"/>
    <s v="cliente32@mail.cl"/>
    <x v="0"/>
    <n v="60"/>
    <x v="7"/>
    <x v="5"/>
    <x v="1"/>
    <x v="6"/>
    <x v="1"/>
    <n v="800000"/>
    <n v="3"/>
    <n v="0.1"/>
    <n v="2400000"/>
    <n v="240000"/>
    <n v="2160000"/>
  </r>
  <r>
    <n v="831"/>
    <x v="181"/>
    <x v="28"/>
    <n v="0"/>
    <n v="32"/>
    <x v="51"/>
    <s v="cliente32@mail.cl"/>
    <x v="0"/>
    <n v="60"/>
    <x v="7"/>
    <x v="5"/>
    <x v="0"/>
    <x v="8"/>
    <x v="4"/>
    <n v="35000"/>
    <n v="2"/>
    <n v="0.05"/>
    <n v="70000"/>
    <n v="3500"/>
    <n v="66500"/>
  </r>
  <r>
    <n v="64"/>
    <x v="182"/>
    <x v="46"/>
    <n v="0"/>
    <n v="263"/>
    <x v="52"/>
    <s v="cliente263@mail.cl"/>
    <x v="0"/>
    <n v="18"/>
    <x v="4"/>
    <x v="3"/>
    <x v="1"/>
    <x v="3"/>
    <x v="1"/>
    <n v="700000"/>
    <n v="2"/>
    <n v="0"/>
    <n v="1400000"/>
    <n v="0"/>
    <n v="1400000"/>
  </r>
  <r>
    <n v="405"/>
    <x v="183"/>
    <x v="65"/>
    <n v="4"/>
    <n v="263"/>
    <x v="52"/>
    <s v="cliente263@mail.cl"/>
    <x v="0"/>
    <n v="18"/>
    <x v="7"/>
    <x v="5"/>
    <x v="1"/>
    <x v="8"/>
    <x v="4"/>
    <n v="35000"/>
    <n v="2"/>
    <n v="0.1"/>
    <n v="70000"/>
    <n v="7000"/>
    <n v="63000"/>
  </r>
  <r>
    <n v="534"/>
    <x v="184"/>
    <x v="4"/>
    <n v="6"/>
    <n v="263"/>
    <x v="52"/>
    <s v="cliente263@mail.cl"/>
    <x v="0"/>
    <n v="18"/>
    <x v="4"/>
    <x v="3"/>
    <x v="0"/>
    <x v="6"/>
    <x v="1"/>
    <n v="800000"/>
    <n v="1"/>
    <n v="0.1"/>
    <n v="800000"/>
    <n v="80000"/>
    <n v="720000"/>
  </r>
  <r>
    <n v="739"/>
    <x v="185"/>
    <x v="53"/>
    <n v="4"/>
    <n v="263"/>
    <x v="52"/>
    <s v="cliente263@mail.cl"/>
    <x v="0"/>
    <n v="18"/>
    <x v="1"/>
    <x v="1"/>
    <x v="1"/>
    <x v="3"/>
    <x v="1"/>
    <n v="700000"/>
    <n v="1"/>
    <n v="0.1"/>
    <n v="700000"/>
    <n v="70000"/>
    <n v="630000"/>
  </r>
  <r>
    <n v="892"/>
    <x v="186"/>
    <x v="35"/>
    <n v="5"/>
    <n v="275"/>
    <x v="53"/>
    <s v="cliente275@mail.cl"/>
    <x v="1"/>
    <n v="26"/>
    <x v="6"/>
    <x v="4"/>
    <x v="1"/>
    <x v="8"/>
    <x v="4"/>
    <n v="35000"/>
    <n v="1"/>
    <n v="0.05"/>
    <n v="35000"/>
    <n v="1750"/>
    <n v="33250"/>
  </r>
  <r>
    <n v="151"/>
    <x v="187"/>
    <x v="32"/>
    <n v="5"/>
    <n v="120"/>
    <x v="54"/>
    <s v="cliente120@mail.cl"/>
    <x v="0"/>
    <n v="47"/>
    <x v="6"/>
    <x v="4"/>
    <x v="0"/>
    <x v="5"/>
    <x v="2"/>
    <n v="750000"/>
    <n v="2"/>
    <n v="0"/>
    <n v="1500000"/>
    <n v="0"/>
    <n v="1500000"/>
  </r>
  <r>
    <n v="440"/>
    <x v="188"/>
    <x v="61"/>
    <n v="3"/>
    <n v="175"/>
    <x v="55"/>
    <s v="cliente175@mail.cl"/>
    <x v="1"/>
    <n v="41"/>
    <x v="7"/>
    <x v="5"/>
    <x v="1"/>
    <x v="9"/>
    <x v="4"/>
    <n v="15000"/>
    <n v="1"/>
    <n v="0"/>
    <n v="15000"/>
    <n v="0"/>
    <n v="15000"/>
  </r>
  <r>
    <n v="490"/>
    <x v="189"/>
    <x v="66"/>
    <n v="0"/>
    <n v="175"/>
    <x v="55"/>
    <s v="cliente175@mail.cl"/>
    <x v="1"/>
    <n v="41"/>
    <x v="9"/>
    <x v="7"/>
    <x v="0"/>
    <x v="8"/>
    <x v="4"/>
    <n v="35000"/>
    <n v="3"/>
    <n v="0.1"/>
    <n v="105000"/>
    <n v="10500"/>
    <n v="94500"/>
  </r>
  <r>
    <n v="497"/>
    <x v="190"/>
    <x v="47"/>
    <n v="7"/>
    <n v="175"/>
    <x v="55"/>
    <s v="cliente175@mail.cl"/>
    <x v="1"/>
    <n v="41"/>
    <x v="8"/>
    <x v="6"/>
    <x v="1"/>
    <x v="5"/>
    <x v="2"/>
    <n v="750000"/>
    <n v="3"/>
    <n v="0"/>
    <n v="2250000"/>
    <n v="0"/>
    <n v="2250000"/>
  </r>
  <r>
    <n v="535"/>
    <x v="191"/>
    <x v="16"/>
    <n v="7"/>
    <n v="175"/>
    <x v="55"/>
    <s v="cliente175@mail.cl"/>
    <x v="1"/>
    <n v="41"/>
    <x v="4"/>
    <x v="3"/>
    <x v="1"/>
    <x v="6"/>
    <x v="1"/>
    <n v="800000"/>
    <n v="3"/>
    <n v="0.05"/>
    <n v="2400000"/>
    <n v="120000"/>
    <n v="2280000"/>
  </r>
  <r>
    <n v="637"/>
    <x v="192"/>
    <x v="67"/>
    <n v="9"/>
    <n v="175"/>
    <x v="55"/>
    <s v="cliente175@mail.cl"/>
    <x v="1"/>
    <n v="41"/>
    <x v="2"/>
    <x v="2"/>
    <x v="2"/>
    <x v="7"/>
    <x v="0"/>
    <n v="25000"/>
    <n v="3"/>
    <n v="0.05"/>
    <n v="75000"/>
    <n v="3750"/>
    <n v="71250"/>
  </r>
  <r>
    <n v="497"/>
    <x v="190"/>
    <x v="47"/>
    <n v="7"/>
    <n v="175"/>
    <x v="55"/>
    <s v="cliente175@mail.cl"/>
    <x v="1"/>
    <n v="41"/>
    <x v="8"/>
    <x v="6"/>
    <x v="1"/>
    <x v="5"/>
    <x v="2"/>
    <n v="750000"/>
    <n v="3"/>
    <n v="0"/>
    <n v="2250000"/>
    <n v="0"/>
    <n v="2250000"/>
  </r>
  <r>
    <n v="223"/>
    <x v="193"/>
    <x v="41"/>
    <n v="0"/>
    <n v="151"/>
    <x v="56"/>
    <s v="cliente151@mail.cl"/>
    <x v="1"/>
    <n v="41"/>
    <x v="2"/>
    <x v="2"/>
    <x v="1"/>
    <x v="9"/>
    <x v="4"/>
    <n v="15000"/>
    <n v="1"/>
    <n v="0.05"/>
    <n v="15000"/>
    <n v="750"/>
    <n v="14250"/>
  </r>
  <r>
    <n v="573"/>
    <x v="194"/>
    <x v="45"/>
    <n v="1"/>
    <n v="151"/>
    <x v="56"/>
    <s v="cliente151@mail.cl"/>
    <x v="1"/>
    <n v="41"/>
    <x v="4"/>
    <x v="3"/>
    <x v="2"/>
    <x v="2"/>
    <x v="2"/>
    <n v="450000"/>
    <n v="2"/>
    <n v="0"/>
    <n v="900000"/>
    <n v="0"/>
    <n v="900000"/>
  </r>
  <r>
    <n v="97"/>
    <x v="195"/>
    <x v="21"/>
    <n v="7"/>
    <n v="4"/>
    <x v="57"/>
    <s v="cliente4@mail.cl"/>
    <x v="1"/>
    <n v="56"/>
    <x v="1"/>
    <x v="1"/>
    <x v="0"/>
    <x v="7"/>
    <x v="0"/>
    <n v="25000"/>
    <n v="2"/>
    <n v="0"/>
    <n v="50000"/>
    <n v="0"/>
    <n v="50000"/>
  </r>
  <r>
    <n v="676"/>
    <x v="196"/>
    <x v="56"/>
    <n v="1"/>
    <n v="4"/>
    <x v="57"/>
    <s v="cliente4@mail.cl"/>
    <x v="1"/>
    <n v="56"/>
    <x v="5"/>
    <x v="2"/>
    <x v="2"/>
    <x v="1"/>
    <x v="1"/>
    <n v="650000"/>
    <n v="2"/>
    <n v="0"/>
    <n v="1300000"/>
    <n v="0"/>
    <n v="1300000"/>
  </r>
  <r>
    <n v="864"/>
    <x v="197"/>
    <x v="40"/>
    <n v="1"/>
    <n v="4"/>
    <x v="57"/>
    <s v="cliente4@mail.cl"/>
    <x v="1"/>
    <n v="56"/>
    <x v="3"/>
    <x v="3"/>
    <x v="1"/>
    <x v="0"/>
    <x v="0"/>
    <n v="12000"/>
    <n v="1"/>
    <n v="0.05"/>
    <n v="12000"/>
    <n v="600"/>
    <n v="11400"/>
  </r>
  <r>
    <n v="85"/>
    <x v="198"/>
    <x v="18"/>
    <n v="1"/>
    <n v="38"/>
    <x v="58"/>
    <s v="cliente38@mail.cl"/>
    <x v="1"/>
    <n v="18"/>
    <x v="3"/>
    <x v="3"/>
    <x v="1"/>
    <x v="2"/>
    <x v="2"/>
    <n v="450000"/>
    <n v="1"/>
    <n v="0.1"/>
    <n v="450000"/>
    <n v="45000"/>
    <n v="405000"/>
  </r>
  <r>
    <n v="256"/>
    <x v="199"/>
    <x v="36"/>
    <n v="2"/>
    <n v="38"/>
    <x v="58"/>
    <s v="cliente38@mail.cl"/>
    <x v="1"/>
    <n v="18"/>
    <x v="5"/>
    <x v="2"/>
    <x v="2"/>
    <x v="1"/>
    <x v="1"/>
    <n v="650000"/>
    <n v="2"/>
    <n v="0.1"/>
    <n v="1300000"/>
    <n v="130000"/>
    <n v="1170000"/>
  </r>
  <r>
    <n v="584"/>
    <x v="200"/>
    <x v="58"/>
    <n v="13"/>
    <n v="38"/>
    <x v="58"/>
    <s v="cliente38@mail.cl"/>
    <x v="1"/>
    <n v="18"/>
    <x v="1"/>
    <x v="1"/>
    <x v="1"/>
    <x v="7"/>
    <x v="0"/>
    <n v="25000"/>
    <n v="3"/>
    <n v="0.1"/>
    <n v="75000"/>
    <n v="7500"/>
    <n v="67500"/>
  </r>
  <r>
    <n v="928"/>
    <x v="201"/>
    <x v="24"/>
    <n v="4"/>
    <n v="38"/>
    <x v="58"/>
    <s v="cliente38@mail.cl"/>
    <x v="1"/>
    <n v="18"/>
    <x v="3"/>
    <x v="3"/>
    <x v="1"/>
    <x v="4"/>
    <x v="3"/>
    <n v="55000"/>
    <n v="2"/>
    <n v="0.1"/>
    <n v="110000"/>
    <n v="11000"/>
    <n v="99000"/>
  </r>
  <r>
    <n v="932"/>
    <x v="202"/>
    <x v="54"/>
    <n v="0"/>
    <n v="38"/>
    <x v="58"/>
    <s v="cliente38@mail.cl"/>
    <x v="1"/>
    <n v="18"/>
    <x v="9"/>
    <x v="7"/>
    <x v="1"/>
    <x v="3"/>
    <x v="1"/>
    <n v="700000"/>
    <n v="3"/>
    <n v="0"/>
    <n v="2100000"/>
    <n v="0"/>
    <n v="2100000"/>
  </r>
  <r>
    <n v="72"/>
    <x v="203"/>
    <x v="60"/>
    <n v="1"/>
    <n v="165"/>
    <x v="59"/>
    <s v="cliente165@mail.cl"/>
    <x v="0"/>
    <n v="49"/>
    <x v="8"/>
    <x v="6"/>
    <x v="1"/>
    <x v="1"/>
    <x v="1"/>
    <n v="650000"/>
    <n v="2"/>
    <n v="0.1"/>
    <n v="1300000"/>
    <n v="130000"/>
    <n v="1170000"/>
  </r>
  <r>
    <n v="394"/>
    <x v="204"/>
    <x v="22"/>
    <n v="5"/>
    <n v="165"/>
    <x v="59"/>
    <s v="cliente165@mail.cl"/>
    <x v="0"/>
    <n v="49"/>
    <x v="3"/>
    <x v="3"/>
    <x v="2"/>
    <x v="0"/>
    <x v="0"/>
    <n v="12000"/>
    <n v="2"/>
    <n v="0"/>
    <n v="24000"/>
    <n v="0"/>
    <n v="24000"/>
  </r>
  <r>
    <n v="478"/>
    <x v="205"/>
    <x v="43"/>
    <n v="5"/>
    <n v="165"/>
    <x v="59"/>
    <s v="cliente165@mail.cl"/>
    <x v="0"/>
    <n v="49"/>
    <x v="7"/>
    <x v="5"/>
    <x v="0"/>
    <x v="0"/>
    <x v="0"/>
    <n v="12000"/>
    <n v="2"/>
    <n v="0.1"/>
    <n v="24000"/>
    <n v="2400"/>
    <n v="21600"/>
  </r>
  <r>
    <n v="906"/>
    <x v="206"/>
    <x v="34"/>
    <n v="3"/>
    <n v="165"/>
    <x v="59"/>
    <s v="cliente165@mail.cl"/>
    <x v="0"/>
    <n v="49"/>
    <x v="6"/>
    <x v="4"/>
    <x v="2"/>
    <x v="4"/>
    <x v="3"/>
    <n v="55000"/>
    <n v="3"/>
    <n v="0.1"/>
    <n v="165000"/>
    <n v="16500"/>
    <n v="148500"/>
  </r>
  <r>
    <n v="102"/>
    <x v="207"/>
    <x v="67"/>
    <n v="9"/>
    <n v="105"/>
    <x v="60"/>
    <s v="cliente105@mail.cl"/>
    <x v="1"/>
    <n v="36"/>
    <x v="2"/>
    <x v="2"/>
    <x v="1"/>
    <x v="2"/>
    <x v="2"/>
    <n v="450000"/>
    <n v="1"/>
    <n v="0.1"/>
    <n v="450000"/>
    <n v="45000"/>
    <n v="405000"/>
  </r>
  <r>
    <n v="333"/>
    <x v="208"/>
    <x v="60"/>
    <n v="1"/>
    <n v="105"/>
    <x v="60"/>
    <s v="cliente105@mail.cl"/>
    <x v="1"/>
    <n v="36"/>
    <x v="8"/>
    <x v="6"/>
    <x v="1"/>
    <x v="7"/>
    <x v="0"/>
    <n v="25000"/>
    <n v="3"/>
    <n v="0.05"/>
    <n v="75000"/>
    <n v="3750"/>
    <n v="71250"/>
  </r>
  <r>
    <n v="724"/>
    <x v="209"/>
    <x v="8"/>
    <n v="8"/>
    <n v="105"/>
    <x v="60"/>
    <s v="cliente105@mail.cl"/>
    <x v="1"/>
    <n v="36"/>
    <x v="4"/>
    <x v="3"/>
    <x v="2"/>
    <x v="0"/>
    <x v="0"/>
    <n v="12000"/>
    <n v="3"/>
    <n v="0"/>
    <n v="36000"/>
    <n v="0"/>
    <n v="36000"/>
  </r>
  <r>
    <n v="205"/>
    <x v="210"/>
    <x v="57"/>
    <n v="1"/>
    <n v="266"/>
    <x v="61"/>
    <s v="cliente266@mail.cl"/>
    <x v="0"/>
    <n v="23"/>
    <x v="2"/>
    <x v="2"/>
    <x v="1"/>
    <x v="1"/>
    <x v="1"/>
    <n v="650000"/>
    <n v="2"/>
    <n v="0"/>
    <n v="1300000"/>
    <n v="0"/>
    <n v="1300000"/>
  </r>
  <r>
    <n v="780"/>
    <x v="211"/>
    <x v="16"/>
    <n v="7"/>
    <n v="266"/>
    <x v="61"/>
    <s v="cliente266@mail.cl"/>
    <x v="0"/>
    <n v="23"/>
    <x v="4"/>
    <x v="3"/>
    <x v="1"/>
    <x v="8"/>
    <x v="4"/>
    <n v="35000"/>
    <n v="1"/>
    <n v="0.05"/>
    <n v="35000"/>
    <n v="1750"/>
    <n v="33250"/>
  </r>
  <r>
    <n v="793"/>
    <x v="212"/>
    <x v="58"/>
    <n v="13"/>
    <n v="266"/>
    <x v="61"/>
    <s v="cliente266@mail.cl"/>
    <x v="0"/>
    <n v="23"/>
    <x v="1"/>
    <x v="1"/>
    <x v="0"/>
    <x v="5"/>
    <x v="2"/>
    <n v="750000"/>
    <n v="3"/>
    <n v="0"/>
    <n v="2250000"/>
    <n v="0"/>
    <n v="2250000"/>
  </r>
  <r>
    <n v="86"/>
    <x v="213"/>
    <x v="59"/>
    <n v="0"/>
    <n v="191"/>
    <x v="62"/>
    <s v="cliente191@mail.cl"/>
    <x v="0"/>
    <n v="32"/>
    <x v="2"/>
    <x v="2"/>
    <x v="0"/>
    <x v="6"/>
    <x v="1"/>
    <n v="800000"/>
    <n v="1"/>
    <n v="0"/>
    <n v="800000"/>
    <n v="0"/>
    <n v="800000"/>
  </r>
  <r>
    <n v="135"/>
    <x v="214"/>
    <x v="68"/>
    <n v="8"/>
    <n v="191"/>
    <x v="62"/>
    <s v="cliente191@mail.cl"/>
    <x v="0"/>
    <n v="32"/>
    <x v="9"/>
    <x v="7"/>
    <x v="1"/>
    <x v="6"/>
    <x v="1"/>
    <n v="800000"/>
    <n v="1"/>
    <n v="0"/>
    <n v="800000"/>
    <n v="0"/>
    <n v="800000"/>
  </r>
  <r>
    <n v="181"/>
    <x v="215"/>
    <x v="67"/>
    <n v="9"/>
    <n v="191"/>
    <x v="62"/>
    <s v="cliente191@mail.cl"/>
    <x v="0"/>
    <n v="32"/>
    <x v="2"/>
    <x v="2"/>
    <x v="1"/>
    <x v="2"/>
    <x v="2"/>
    <n v="450000"/>
    <n v="3"/>
    <n v="0"/>
    <n v="1350000"/>
    <n v="0"/>
    <n v="1350000"/>
  </r>
  <r>
    <n v="309"/>
    <x v="216"/>
    <x v="25"/>
    <n v="1"/>
    <n v="191"/>
    <x v="62"/>
    <s v="cliente191@mail.cl"/>
    <x v="0"/>
    <n v="32"/>
    <x v="2"/>
    <x v="2"/>
    <x v="0"/>
    <x v="1"/>
    <x v="1"/>
    <n v="650000"/>
    <n v="2"/>
    <n v="0"/>
    <n v="1300000"/>
    <n v="0"/>
    <n v="1300000"/>
  </r>
  <r>
    <n v="321"/>
    <x v="217"/>
    <x v="34"/>
    <n v="3"/>
    <n v="191"/>
    <x v="62"/>
    <s v="cliente191@mail.cl"/>
    <x v="0"/>
    <n v="32"/>
    <x v="6"/>
    <x v="4"/>
    <x v="1"/>
    <x v="5"/>
    <x v="2"/>
    <n v="750000"/>
    <n v="3"/>
    <n v="0"/>
    <n v="2250000"/>
    <n v="0"/>
    <n v="2250000"/>
  </r>
  <r>
    <n v="337"/>
    <x v="218"/>
    <x v="63"/>
    <n v="6"/>
    <n v="191"/>
    <x v="62"/>
    <s v="cliente191@mail.cl"/>
    <x v="0"/>
    <n v="32"/>
    <x v="1"/>
    <x v="1"/>
    <x v="0"/>
    <x v="1"/>
    <x v="1"/>
    <n v="650000"/>
    <n v="1"/>
    <n v="0"/>
    <n v="650000"/>
    <n v="0"/>
    <n v="650000"/>
  </r>
  <r>
    <n v="419"/>
    <x v="219"/>
    <x v="34"/>
    <n v="3"/>
    <n v="191"/>
    <x v="62"/>
    <s v="cliente191@mail.cl"/>
    <x v="0"/>
    <n v="32"/>
    <x v="6"/>
    <x v="4"/>
    <x v="0"/>
    <x v="3"/>
    <x v="1"/>
    <n v="700000"/>
    <n v="2"/>
    <n v="0"/>
    <n v="1400000"/>
    <n v="0"/>
    <n v="1400000"/>
  </r>
  <r>
    <n v="444"/>
    <x v="220"/>
    <x v="7"/>
    <n v="3"/>
    <n v="191"/>
    <x v="62"/>
    <s v="cliente191@mail.cl"/>
    <x v="0"/>
    <n v="32"/>
    <x v="5"/>
    <x v="2"/>
    <x v="0"/>
    <x v="0"/>
    <x v="0"/>
    <n v="12000"/>
    <n v="3"/>
    <n v="0.1"/>
    <n v="36000"/>
    <n v="3600"/>
    <n v="32400"/>
  </r>
  <r>
    <n v="606"/>
    <x v="221"/>
    <x v="54"/>
    <n v="0"/>
    <n v="191"/>
    <x v="62"/>
    <s v="cliente191@mail.cl"/>
    <x v="0"/>
    <n v="32"/>
    <x v="9"/>
    <x v="7"/>
    <x v="1"/>
    <x v="3"/>
    <x v="1"/>
    <n v="700000"/>
    <n v="1"/>
    <n v="0.1"/>
    <n v="700000"/>
    <n v="70000"/>
    <n v="630000"/>
  </r>
  <r>
    <n v="901"/>
    <x v="222"/>
    <x v="24"/>
    <n v="4"/>
    <n v="191"/>
    <x v="62"/>
    <s v="cliente191@mail.cl"/>
    <x v="0"/>
    <n v="32"/>
    <x v="3"/>
    <x v="3"/>
    <x v="0"/>
    <x v="0"/>
    <x v="0"/>
    <n v="12000"/>
    <n v="3"/>
    <n v="0"/>
    <n v="36000"/>
    <n v="0"/>
    <n v="36000"/>
  </r>
  <r>
    <n v="80"/>
    <x v="223"/>
    <x v="38"/>
    <n v="6"/>
    <n v="121"/>
    <x v="63"/>
    <s v="cliente121@mail.cl"/>
    <x v="1"/>
    <n v="47"/>
    <x v="8"/>
    <x v="6"/>
    <x v="1"/>
    <x v="1"/>
    <x v="1"/>
    <n v="650000"/>
    <n v="2"/>
    <n v="0.1"/>
    <n v="1300000"/>
    <n v="130000"/>
    <n v="1170000"/>
  </r>
  <r>
    <n v="538"/>
    <x v="224"/>
    <x v="46"/>
    <n v="0"/>
    <n v="121"/>
    <x v="63"/>
    <s v="cliente121@mail.cl"/>
    <x v="1"/>
    <n v="47"/>
    <x v="4"/>
    <x v="3"/>
    <x v="2"/>
    <x v="4"/>
    <x v="3"/>
    <n v="55000"/>
    <n v="3"/>
    <n v="0.1"/>
    <n v="165000"/>
    <n v="16500"/>
    <n v="148500"/>
  </r>
  <r>
    <n v="693"/>
    <x v="225"/>
    <x v="37"/>
    <n v="3"/>
    <n v="121"/>
    <x v="63"/>
    <s v="cliente121@mail.cl"/>
    <x v="1"/>
    <n v="47"/>
    <x v="5"/>
    <x v="2"/>
    <x v="2"/>
    <x v="7"/>
    <x v="0"/>
    <n v="25000"/>
    <n v="1"/>
    <n v="0"/>
    <n v="25000"/>
    <n v="0"/>
    <n v="25000"/>
  </r>
  <r>
    <n v="760"/>
    <x v="226"/>
    <x v="16"/>
    <n v="7"/>
    <n v="121"/>
    <x v="63"/>
    <s v="cliente121@mail.cl"/>
    <x v="1"/>
    <n v="47"/>
    <x v="4"/>
    <x v="3"/>
    <x v="1"/>
    <x v="1"/>
    <x v="1"/>
    <n v="650000"/>
    <n v="2"/>
    <n v="0.05"/>
    <n v="1300000"/>
    <n v="65000"/>
    <n v="1235000"/>
  </r>
  <r>
    <n v="949"/>
    <x v="227"/>
    <x v="11"/>
    <n v="0"/>
    <n v="121"/>
    <x v="63"/>
    <s v="cliente121@mail.cl"/>
    <x v="1"/>
    <n v="47"/>
    <x v="8"/>
    <x v="6"/>
    <x v="1"/>
    <x v="0"/>
    <x v="0"/>
    <n v="12000"/>
    <n v="2"/>
    <n v="0"/>
    <n v="24000"/>
    <n v="0"/>
    <n v="24000"/>
  </r>
  <r>
    <n v="259"/>
    <x v="228"/>
    <x v="8"/>
    <n v="8"/>
    <n v="197"/>
    <x v="64"/>
    <s v="cliente197@mail.cl"/>
    <x v="0"/>
    <n v="27"/>
    <x v="4"/>
    <x v="3"/>
    <x v="0"/>
    <x v="3"/>
    <x v="1"/>
    <n v="700000"/>
    <n v="1"/>
    <n v="0.1"/>
    <n v="700000"/>
    <n v="70000"/>
    <n v="630000"/>
  </r>
  <r>
    <n v="482"/>
    <x v="229"/>
    <x v="39"/>
    <n v="1"/>
    <n v="197"/>
    <x v="64"/>
    <s v="cliente197@mail.cl"/>
    <x v="0"/>
    <n v="27"/>
    <x v="8"/>
    <x v="6"/>
    <x v="0"/>
    <x v="3"/>
    <x v="1"/>
    <n v="700000"/>
    <n v="1"/>
    <n v="0"/>
    <n v="700000"/>
    <n v="0"/>
    <n v="700000"/>
  </r>
  <r>
    <n v="523"/>
    <x v="230"/>
    <x v="49"/>
    <n v="9"/>
    <n v="152"/>
    <x v="65"/>
    <s v="cliente152@mail.cl"/>
    <x v="0"/>
    <n v="42"/>
    <x v="4"/>
    <x v="3"/>
    <x v="0"/>
    <x v="5"/>
    <x v="2"/>
    <n v="750000"/>
    <n v="1"/>
    <n v="0.1"/>
    <n v="750000"/>
    <n v="75000"/>
    <n v="675000"/>
  </r>
  <r>
    <n v="626"/>
    <x v="231"/>
    <x v="44"/>
    <n v="2"/>
    <n v="152"/>
    <x v="65"/>
    <s v="cliente152@mail.cl"/>
    <x v="0"/>
    <n v="42"/>
    <x v="2"/>
    <x v="2"/>
    <x v="0"/>
    <x v="3"/>
    <x v="1"/>
    <n v="700000"/>
    <n v="2"/>
    <n v="0"/>
    <n v="1400000"/>
    <n v="0"/>
    <n v="1400000"/>
  </r>
  <r>
    <n v="899"/>
    <x v="232"/>
    <x v="6"/>
    <n v="0"/>
    <n v="152"/>
    <x v="65"/>
    <s v="cliente152@mail.cl"/>
    <x v="0"/>
    <n v="42"/>
    <x v="2"/>
    <x v="2"/>
    <x v="0"/>
    <x v="1"/>
    <x v="1"/>
    <n v="650000"/>
    <n v="3"/>
    <n v="0.1"/>
    <n v="1950000"/>
    <n v="195000"/>
    <n v="1755000"/>
  </r>
  <r>
    <n v="973"/>
    <x v="233"/>
    <x v="48"/>
    <n v="0"/>
    <n v="152"/>
    <x v="65"/>
    <s v="cliente152@mail.cl"/>
    <x v="0"/>
    <n v="42"/>
    <x v="9"/>
    <x v="7"/>
    <x v="0"/>
    <x v="3"/>
    <x v="1"/>
    <n v="700000"/>
    <n v="1"/>
    <n v="0.1"/>
    <n v="700000"/>
    <n v="70000"/>
    <n v="630000"/>
  </r>
  <r>
    <n v="297"/>
    <x v="234"/>
    <x v="36"/>
    <n v="2"/>
    <n v="223"/>
    <x v="66"/>
    <s v="cliente223@mail.cl"/>
    <x v="1"/>
    <n v="46"/>
    <x v="5"/>
    <x v="2"/>
    <x v="0"/>
    <x v="3"/>
    <x v="1"/>
    <n v="700000"/>
    <n v="1"/>
    <n v="0.05"/>
    <n v="700000"/>
    <n v="35000"/>
    <n v="665000"/>
  </r>
  <r>
    <n v="32"/>
    <x v="235"/>
    <x v="17"/>
    <n v="0"/>
    <n v="43"/>
    <x v="67"/>
    <s v="cliente43@mail.cl"/>
    <x v="1"/>
    <n v="36"/>
    <x v="1"/>
    <x v="1"/>
    <x v="0"/>
    <x v="1"/>
    <x v="1"/>
    <n v="650000"/>
    <n v="2"/>
    <n v="0"/>
    <n v="1300000"/>
    <n v="0"/>
    <n v="1300000"/>
  </r>
  <r>
    <n v="364"/>
    <x v="236"/>
    <x v="13"/>
    <n v="1"/>
    <n v="43"/>
    <x v="67"/>
    <s v="cliente43@mail.cl"/>
    <x v="1"/>
    <n v="36"/>
    <x v="6"/>
    <x v="4"/>
    <x v="0"/>
    <x v="0"/>
    <x v="0"/>
    <n v="12000"/>
    <n v="1"/>
    <n v="0.1"/>
    <n v="12000"/>
    <n v="1200"/>
    <n v="10800"/>
  </r>
  <r>
    <n v="368"/>
    <x v="237"/>
    <x v="23"/>
    <n v="1"/>
    <n v="43"/>
    <x v="67"/>
    <s v="cliente43@mail.cl"/>
    <x v="1"/>
    <n v="36"/>
    <x v="2"/>
    <x v="2"/>
    <x v="1"/>
    <x v="1"/>
    <x v="1"/>
    <n v="650000"/>
    <n v="3"/>
    <n v="0"/>
    <n v="1950000"/>
    <n v="0"/>
    <n v="1950000"/>
  </r>
  <r>
    <n v="545"/>
    <x v="238"/>
    <x v="27"/>
    <n v="4"/>
    <n v="43"/>
    <x v="67"/>
    <s v="cliente43@mail.cl"/>
    <x v="1"/>
    <n v="36"/>
    <x v="1"/>
    <x v="1"/>
    <x v="1"/>
    <x v="9"/>
    <x v="4"/>
    <n v="15000"/>
    <n v="2"/>
    <n v="0"/>
    <n v="30000"/>
    <n v="0"/>
    <n v="30000"/>
  </r>
  <r>
    <n v="119"/>
    <x v="239"/>
    <x v="56"/>
    <n v="1"/>
    <n v="116"/>
    <x v="68"/>
    <s v="cliente116@mail.cl"/>
    <x v="0"/>
    <n v="41"/>
    <x v="5"/>
    <x v="2"/>
    <x v="0"/>
    <x v="7"/>
    <x v="0"/>
    <n v="25000"/>
    <n v="1"/>
    <n v="0.1"/>
    <n v="25000"/>
    <n v="2500"/>
    <n v="22500"/>
  </r>
  <r>
    <n v="422"/>
    <x v="240"/>
    <x v="6"/>
    <n v="0"/>
    <n v="116"/>
    <x v="68"/>
    <s v="cliente116@mail.cl"/>
    <x v="0"/>
    <n v="41"/>
    <x v="2"/>
    <x v="2"/>
    <x v="1"/>
    <x v="4"/>
    <x v="3"/>
    <n v="55000"/>
    <n v="1"/>
    <n v="0.05"/>
    <n v="55000"/>
    <n v="2750"/>
    <n v="52250"/>
  </r>
  <r>
    <n v="634"/>
    <x v="241"/>
    <x v="35"/>
    <n v="5"/>
    <n v="116"/>
    <x v="68"/>
    <s v="cliente116@mail.cl"/>
    <x v="0"/>
    <n v="41"/>
    <x v="6"/>
    <x v="4"/>
    <x v="0"/>
    <x v="9"/>
    <x v="4"/>
    <n v="15000"/>
    <n v="1"/>
    <n v="0"/>
    <n v="15000"/>
    <n v="0"/>
    <n v="15000"/>
  </r>
  <r>
    <n v="891"/>
    <x v="242"/>
    <x v="8"/>
    <n v="8"/>
    <n v="116"/>
    <x v="68"/>
    <s v="cliente116@mail.cl"/>
    <x v="0"/>
    <n v="41"/>
    <x v="4"/>
    <x v="3"/>
    <x v="1"/>
    <x v="9"/>
    <x v="4"/>
    <n v="15000"/>
    <n v="2"/>
    <n v="0.1"/>
    <n v="30000"/>
    <n v="3000"/>
    <n v="27000"/>
  </r>
  <r>
    <n v="988"/>
    <x v="243"/>
    <x v="47"/>
    <n v="7"/>
    <n v="116"/>
    <x v="68"/>
    <s v="cliente116@mail.cl"/>
    <x v="0"/>
    <n v="41"/>
    <x v="8"/>
    <x v="6"/>
    <x v="0"/>
    <x v="5"/>
    <x v="2"/>
    <n v="750000"/>
    <n v="2"/>
    <n v="0"/>
    <n v="1500000"/>
    <n v="0"/>
    <n v="1500000"/>
  </r>
  <r>
    <n v="249"/>
    <x v="244"/>
    <x v="34"/>
    <n v="3"/>
    <n v="7"/>
    <x v="69"/>
    <s v="cliente7@mail.cl"/>
    <x v="1"/>
    <n v="56"/>
    <x v="6"/>
    <x v="4"/>
    <x v="2"/>
    <x v="2"/>
    <x v="2"/>
    <n v="450000"/>
    <n v="3"/>
    <n v="0"/>
    <n v="1350000"/>
    <n v="0"/>
    <n v="1350000"/>
  </r>
  <r>
    <n v="582"/>
    <x v="245"/>
    <x v="48"/>
    <n v="0"/>
    <n v="7"/>
    <x v="69"/>
    <s v="cliente7@mail.cl"/>
    <x v="1"/>
    <n v="56"/>
    <x v="9"/>
    <x v="7"/>
    <x v="0"/>
    <x v="8"/>
    <x v="4"/>
    <n v="35000"/>
    <n v="3"/>
    <n v="0"/>
    <n v="105000"/>
    <n v="0"/>
    <n v="105000"/>
  </r>
  <r>
    <n v="805"/>
    <x v="246"/>
    <x v="8"/>
    <n v="8"/>
    <n v="7"/>
    <x v="69"/>
    <s v="cliente7@mail.cl"/>
    <x v="1"/>
    <n v="56"/>
    <x v="4"/>
    <x v="3"/>
    <x v="0"/>
    <x v="6"/>
    <x v="1"/>
    <n v="800000"/>
    <n v="1"/>
    <n v="0"/>
    <n v="800000"/>
    <n v="0"/>
    <n v="800000"/>
  </r>
  <r>
    <n v="3"/>
    <x v="247"/>
    <x v="55"/>
    <n v="2"/>
    <n v="196"/>
    <x v="70"/>
    <s v="cliente196@mail.cl"/>
    <x v="1"/>
    <n v="42"/>
    <x v="9"/>
    <x v="7"/>
    <x v="2"/>
    <x v="3"/>
    <x v="1"/>
    <n v="700000"/>
    <n v="2"/>
    <n v="0.05"/>
    <n v="1400000"/>
    <n v="70000"/>
    <n v="1330000"/>
  </r>
  <r>
    <n v="61"/>
    <x v="248"/>
    <x v="51"/>
    <n v="1"/>
    <n v="196"/>
    <x v="70"/>
    <s v="cliente196@mail.cl"/>
    <x v="1"/>
    <n v="42"/>
    <x v="3"/>
    <x v="3"/>
    <x v="1"/>
    <x v="0"/>
    <x v="0"/>
    <n v="12000"/>
    <n v="1"/>
    <n v="0.1"/>
    <n v="12000"/>
    <n v="1200"/>
    <n v="10800"/>
  </r>
  <r>
    <n v="284"/>
    <x v="249"/>
    <x v="68"/>
    <n v="8"/>
    <n v="196"/>
    <x v="70"/>
    <s v="cliente196@mail.cl"/>
    <x v="1"/>
    <n v="42"/>
    <x v="9"/>
    <x v="7"/>
    <x v="1"/>
    <x v="3"/>
    <x v="1"/>
    <n v="700000"/>
    <n v="2"/>
    <n v="0"/>
    <n v="1400000"/>
    <n v="0"/>
    <n v="1400000"/>
  </r>
  <r>
    <n v="537"/>
    <x v="250"/>
    <x v="11"/>
    <n v="0"/>
    <n v="196"/>
    <x v="70"/>
    <s v="cliente196@mail.cl"/>
    <x v="1"/>
    <n v="42"/>
    <x v="8"/>
    <x v="6"/>
    <x v="2"/>
    <x v="2"/>
    <x v="2"/>
    <n v="450000"/>
    <n v="1"/>
    <n v="0"/>
    <n v="450000"/>
    <n v="0"/>
    <n v="450000"/>
  </r>
  <r>
    <n v="736"/>
    <x v="251"/>
    <x v="13"/>
    <n v="1"/>
    <n v="196"/>
    <x v="70"/>
    <s v="cliente196@mail.cl"/>
    <x v="1"/>
    <n v="42"/>
    <x v="6"/>
    <x v="4"/>
    <x v="0"/>
    <x v="1"/>
    <x v="1"/>
    <n v="650000"/>
    <n v="3"/>
    <n v="0.1"/>
    <n v="1950000"/>
    <n v="195000"/>
    <n v="1755000"/>
  </r>
  <r>
    <n v="169"/>
    <x v="252"/>
    <x v="9"/>
    <n v="1"/>
    <n v="14"/>
    <x v="71"/>
    <s v="cliente14@mail.cl"/>
    <x v="1"/>
    <n v="18"/>
    <x v="6"/>
    <x v="4"/>
    <x v="0"/>
    <x v="9"/>
    <x v="4"/>
    <n v="15000"/>
    <n v="3"/>
    <n v="0"/>
    <n v="45000"/>
    <n v="0"/>
    <n v="45000"/>
  </r>
  <r>
    <n v="879"/>
    <x v="253"/>
    <x v="26"/>
    <n v="1"/>
    <n v="198"/>
    <x v="72"/>
    <s v="cliente198@mail.cl"/>
    <x v="0"/>
    <n v="39"/>
    <x v="8"/>
    <x v="6"/>
    <x v="1"/>
    <x v="8"/>
    <x v="4"/>
    <n v="35000"/>
    <n v="2"/>
    <n v="0"/>
    <n v="70000"/>
    <n v="0"/>
    <n v="70000"/>
  </r>
  <r>
    <n v="251"/>
    <x v="254"/>
    <x v="9"/>
    <n v="1"/>
    <n v="258"/>
    <x v="73"/>
    <s v="cliente258@mail.cl"/>
    <x v="0"/>
    <n v="29"/>
    <x v="6"/>
    <x v="4"/>
    <x v="0"/>
    <x v="9"/>
    <x v="4"/>
    <n v="15000"/>
    <n v="3"/>
    <n v="0"/>
    <n v="45000"/>
    <n v="0"/>
    <n v="45000"/>
  </r>
  <r>
    <n v="681"/>
    <x v="255"/>
    <x v="64"/>
    <n v="0"/>
    <n v="258"/>
    <x v="73"/>
    <s v="cliente258@mail.cl"/>
    <x v="0"/>
    <n v="29"/>
    <x v="5"/>
    <x v="2"/>
    <x v="1"/>
    <x v="6"/>
    <x v="1"/>
    <n v="800000"/>
    <n v="3"/>
    <n v="0"/>
    <n v="2400000"/>
    <n v="0"/>
    <n v="2400000"/>
  </r>
  <r>
    <n v="709"/>
    <x v="256"/>
    <x v="5"/>
    <n v="1"/>
    <n v="258"/>
    <x v="73"/>
    <s v="cliente258@mail.cl"/>
    <x v="0"/>
    <n v="29"/>
    <x v="3"/>
    <x v="3"/>
    <x v="0"/>
    <x v="1"/>
    <x v="1"/>
    <n v="650000"/>
    <n v="1"/>
    <n v="0.1"/>
    <n v="650000"/>
    <n v="65000"/>
    <n v="585000"/>
  </r>
  <r>
    <n v="235"/>
    <x v="257"/>
    <x v="66"/>
    <n v="0"/>
    <n v="209"/>
    <x v="74"/>
    <s v="cliente209@mail.cl"/>
    <x v="1"/>
    <n v="44"/>
    <x v="9"/>
    <x v="7"/>
    <x v="1"/>
    <x v="6"/>
    <x v="1"/>
    <n v="800000"/>
    <n v="2"/>
    <n v="0.05"/>
    <n v="1600000"/>
    <n v="80000"/>
    <n v="1520000"/>
  </r>
  <r>
    <n v="565"/>
    <x v="258"/>
    <x v="47"/>
    <n v="7"/>
    <n v="209"/>
    <x v="74"/>
    <s v="cliente209@mail.cl"/>
    <x v="1"/>
    <n v="44"/>
    <x v="8"/>
    <x v="6"/>
    <x v="1"/>
    <x v="1"/>
    <x v="1"/>
    <n v="650000"/>
    <n v="2"/>
    <n v="0"/>
    <n v="1300000"/>
    <n v="0"/>
    <n v="1300000"/>
  </r>
  <r>
    <n v="517"/>
    <x v="259"/>
    <x v="36"/>
    <n v="2"/>
    <n v="59"/>
    <x v="75"/>
    <s v="cliente59@mail.cl"/>
    <x v="1"/>
    <n v="41"/>
    <x v="5"/>
    <x v="2"/>
    <x v="1"/>
    <x v="5"/>
    <x v="2"/>
    <n v="750000"/>
    <n v="3"/>
    <n v="0"/>
    <n v="2250000"/>
    <n v="0"/>
    <n v="2250000"/>
  </r>
  <r>
    <n v="105"/>
    <x v="260"/>
    <x v="18"/>
    <n v="1"/>
    <n v="53"/>
    <x v="76"/>
    <s v="cliente53@mail.cl"/>
    <x v="0"/>
    <n v="29"/>
    <x v="3"/>
    <x v="3"/>
    <x v="0"/>
    <x v="1"/>
    <x v="1"/>
    <n v="650000"/>
    <n v="1"/>
    <n v="0"/>
    <n v="650000"/>
    <n v="0"/>
    <n v="650000"/>
  </r>
  <r>
    <n v="244"/>
    <x v="261"/>
    <x v="8"/>
    <n v="8"/>
    <n v="53"/>
    <x v="76"/>
    <s v="cliente53@mail.cl"/>
    <x v="0"/>
    <n v="29"/>
    <x v="4"/>
    <x v="3"/>
    <x v="1"/>
    <x v="2"/>
    <x v="2"/>
    <n v="450000"/>
    <n v="2"/>
    <n v="0"/>
    <n v="900000"/>
    <n v="0"/>
    <n v="900000"/>
  </r>
  <r>
    <n v="400"/>
    <x v="262"/>
    <x v="1"/>
    <n v="5"/>
    <n v="53"/>
    <x v="76"/>
    <s v="cliente53@mail.cl"/>
    <x v="0"/>
    <n v="29"/>
    <x v="1"/>
    <x v="1"/>
    <x v="2"/>
    <x v="9"/>
    <x v="4"/>
    <n v="15000"/>
    <n v="1"/>
    <n v="0.05"/>
    <n v="15000"/>
    <n v="750"/>
    <n v="14250"/>
  </r>
  <r>
    <n v="658"/>
    <x v="263"/>
    <x v="29"/>
    <n v="2"/>
    <n v="53"/>
    <x v="76"/>
    <s v="cliente53@mail.cl"/>
    <x v="0"/>
    <n v="29"/>
    <x v="1"/>
    <x v="1"/>
    <x v="1"/>
    <x v="8"/>
    <x v="4"/>
    <n v="35000"/>
    <n v="3"/>
    <n v="0.05"/>
    <n v="105000"/>
    <n v="5250"/>
    <n v="99750"/>
  </r>
  <r>
    <n v="105"/>
    <x v="260"/>
    <x v="18"/>
    <n v="1"/>
    <n v="53"/>
    <x v="76"/>
    <s v="cliente53@mail.cl"/>
    <x v="0"/>
    <n v="29"/>
    <x v="3"/>
    <x v="3"/>
    <x v="0"/>
    <x v="1"/>
    <x v="1"/>
    <n v="650000"/>
    <n v="1"/>
    <n v="0"/>
    <n v="650000"/>
    <n v="0"/>
    <n v="650000"/>
  </r>
  <r>
    <n v="17"/>
    <x v="264"/>
    <x v="35"/>
    <n v="5"/>
    <n v="207"/>
    <x v="77"/>
    <s v="cliente207@mail.cl"/>
    <x v="0"/>
    <n v="44"/>
    <x v="6"/>
    <x v="4"/>
    <x v="0"/>
    <x v="3"/>
    <x v="1"/>
    <n v="700000"/>
    <n v="2"/>
    <n v="0"/>
    <n v="1400000"/>
    <n v="0"/>
    <n v="1400000"/>
  </r>
  <r>
    <n v="598"/>
    <x v="265"/>
    <x v="43"/>
    <n v="5"/>
    <n v="207"/>
    <x v="77"/>
    <s v="cliente207@mail.cl"/>
    <x v="0"/>
    <n v="44"/>
    <x v="7"/>
    <x v="5"/>
    <x v="0"/>
    <x v="0"/>
    <x v="0"/>
    <n v="12000"/>
    <n v="2"/>
    <n v="0.05"/>
    <n v="24000"/>
    <n v="1200"/>
    <n v="22800"/>
  </r>
  <r>
    <n v="630"/>
    <x v="266"/>
    <x v="33"/>
    <n v="4"/>
    <n v="207"/>
    <x v="77"/>
    <s v="cliente207@mail.cl"/>
    <x v="0"/>
    <n v="44"/>
    <x v="8"/>
    <x v="6"/>
    <x v="0"/>
    <x v="3"/>
    <x v="1"/>
    <n v="700000"/>
    <n v="2"/>
    <n v="0"/>
    <n v="1400000"/>
    <n v="0"/>
    <n v="1400000"/>
  </r>
  <r>
    <n v="894"/>
    <x v="267"/>
    <x v="46"/>
    <n v="0"/>
    <n v="207"/>
    <x v="77"/>
    <s v="cliente207@mail.cl"/>
    <x v="0"/>
    <n v="44"/>
    <x v="4"/>
    <x v="3"/>
    <x v="1"/>
    <x v="1"/>
    <x v="1"/>
    <n v="650000"/>
    <n v="1"/>
    <n v="0"/>
    <n v="650000"/>
    <n v="0"/>
    <n v="650000"/>
  </r>
  <r>
    <n v="106"/>
    <x v="268"/>
    <x v="35"/>
    <n v="5"/>
    <n v="228"/>
    <x v="78"/>
    <s v="cliente228@mail.cl"/>
    <x v="0"/>
    <n v="25"/>
    <x v="6"/>
    <x v="4"/>
    <x v="1"/>
    <x v="4"/>
    <x v="3"/>
    <n v="55000"/>
    <n v="3"/>
    <n v="0"/>
    <n v="165000"/>
    <n v="0"/>
    <n v="165000"/>
  </r>
  <r>
    <n v="148"/>
    <x v="269"/>
    <x v="57"/>
    <n v="1"/>
    <n v="228"/>
    <x v="78"/>
    <s v="cliente228@mail.cl"/>
    <x v="0"/>
    <n v="25"/>
    <x v="2"/>
    <x v="2"/>
    <x v="2"/>
    <x v="6"/>
    <x v="1"/>
    <n v="800000"/>
    <n v="3"/>
    <n v="0.05"/>
    <n v="2400000"/>
    <n v="120000"/>
    <n v="2280000"/>
  </r>
  <r>
    <n v="282"/>
    <x v="270"/>
    <x v="17"/>
    <n v="0"/>
    <n v="228"/>
    <x v="78"/>
    <s v="cliente228@mail.cl"/>
    <x v="0"/>
    <n v="25"/>
    <x v="1"/>
    <x v="1"/>
    <x v="1"/>
    <x v="0"/>
    <x v="0"/>
    <n v="12000"/>
    <n v="1"/>
    <n v="0.05"/>
    <n v="12000"/>
    <n v="600"/>
    <n v="11400"/>
  </r>
  <r>
    <n v="327"/>
    <x v="271"/>
    <x v="0"/>
    <n v="5"/>
    <n v="228"/>
    <x v="78"/>
    <s v="cliente228@mail.cl"/>
    <x v="0"/>
    <n v="25"/>
    <x v="0"/>
    <x v="0"/>
    <x v="2"/>
    <x v="4"/>
    <x v="3"/>
    <n v="55000"/>
    <n v="1"/>
    <n v="0"/>
    <n v="55000"/>
    <n v="0"/>
    <n v="55000"/>
  </r>
  <r>
    <n v="552"/>
    <x v="272"/>
    <x v="38"/>
    <n v="6"/>
    <n v="228"/>
    <x v="78"/>
    <s v="cliente228@mail.cl"/>
    <x v="0"/>
    <n v="25"/>
    <x v="8"/>
    <x v="6"/>
    <x v="1"/>
    <x v="5"/>
    <x v="2"/>
    <n v="750000"/>
    <n v="1"/>
    <n v="0"/>
    <n v="750000"/>
    <n v="0"/>
    <n v="750000"/>
  </r>
  <r>
    <n v="641"/>
    <x v="273"/>
    <x v="54"/>
    <n v="0"/>
    <n v="190"/>
    <x v="79"/>
    <s v="cliente190@mail.cl"/>
    <x v="1"/>
    <n v="19"/>
    <x v="9"/>
    <x v="7"/>
    <x v="1"/>
    <x v="7"/>
    <x v="0"/>
    <n v="25000"/>
    <n v="1"/>
    <n v="0.05"/>
    <n v="25000"/>
    <n v="1250"/>
    <n v="23750"/>
  </r>
  <r>
    <n v="886"/>
    <x v="274"/>
    <x v="4"/>
    <n v="6"/>
    <n v="190"/>
    <x v="79"/>
    <s v="cliente190@mail.cl"/>
    <x v="1"/>
    <n v="19"/>
    <x v="4"/>
    <x v="3"/>
    <x v="2"/>
    <x v="1"/>
    <x v="1"/>
    <n v="650000"/>
    <n v="2"/>
    <n v="0.05"/>
    <n v="1300000"/>
    <n v="65000"/>
    <n v="1235000"/>
  </r>
  <r>
    <n v="22"/>
    <x v="275"/>
    <x v="37"/>
    <n v="3"/>
    <n v="40"/>
    <x v="80"/>
    <s v="cliente40@mail.cl"/>
    <x v="1"/>
    <n v="40"/>
    <x v="5"/>
    <x v="2"/>
    <x v="1"/>
    <x v="8"/>
    <x v="4"/>
    <n v="35000"/>
    <n v="3"/>
    <n v="0"/>
    <n v="105000"/>
    <n v="0"/>
    <n v="105000"/>
  </r>
  <r>
    <n v="127"/>
    <x v="276"/>
    <x v="5"/>
    <n v="1"/>
    <n v="40"/>
    <x v="80"/>
    <s v="cliente40@mail.cl"/>
    <x v="1"/>
    <n v="40"/>
    <x v="3"/>
    <x v="3"/>
    <x v="1"/>
    <x v="4"/>
    <x v="3"/>
    <n v="55000"/>
    <n v="1"/>
    <n v="0"/>
    <n v="55000"/>
    <n v="0"/>
    <n v="55000"/>
  </r>
  <r>
    <n v="173"/>
    <x v="277"/>
    <x v="50"/>
    <n v="2"/>
    <n v="40"/>
    <x v="80"/>
    <s v="cliente40@mail.cl"/>
    <x v="1"/>
    <n v="40"/>
    <x v="2"/>
    <x v="2"/>
    <x v="0"/>
    <x v="6"/>
    <x v="1"/>
    <n v="800000"/>
    <n v="3"/>
    <n v="0"/>
    <n v="2400000"/>
    <n v="0"/>
    <n v="2400000"/>
  </r>
  <r>
    <n v="720"/>
    <x v="278"/>
    <x v="43"/>
    <n v="5"/>
    <n v="40"/>
    <x v="80"/>
    <s v="cliente40@mail.cl"/>
    <x v="1"/>
    <n v="40"/>
    <x v="7"/>
    <x v="5"/>
    <x v="1"/>
    <x v="1"/>
    <x v="1"/>
    <n v="650000"/>
    <n v="3"/>
    <n v="0.1"/>
    <n v="1950000"/>
    <n v="195000"/>
    <n v="1755000"/>
  </r>
  <r>
    <n v="865"/>
    <x v="279"/>
    <x v="50"/>
    <n v="2"/>
    <n v="40"/>
    <x v="80"/>
    <s v="cliente40@mail.cl"/>
    <x v="1"/>
    <n v="40"/>
    <x v="2"/>
    <x v="2"/>
    <x v="1"/>
    <x v="7"/>
    <x v="0"/>
    <n v="25000"/>
    <n v="1"/>
    <n v="0.1"/>
    <n v="25000"/>
    <n v="2500"/>
    <n v="22500"/>
  </r>
  <r>
    <n v="911"/>
    <x v="280"/>
    <x v="25"/>
    <n v="1"/>
    <n v="40"/>
    <x v="80"/>
    <s v="cliente40@mail.cl"/>
    <x v="1"/>
    <n v="40"/>
    <x v="2"/>
    <x v="2"/>
    <x v="2"/>
    <x v="6"/>
    <x v="1"/>
    <n v="800000"/>
    <n v="2"/>
    <n v="0"/>
    <n v="1600000"/>
    <n v="0"/>
    <n v="1600000"/>
  </r>
  <r>
    <n v="152"/>
    <x v="281"/>
    <x v="7"/>
    <n v="3"/>
    <n v="229"/>
    <x v="81"/>
    <s v="cliente229@mail.cl"/>
    <x v="1"/>
    <n v="29"/>
    <x v="5"/>
    <x v="2"/>
    <x v="0"/>
    <x v="4"/>
    <x v="3"/>
    <n v="55000"/>
    <n v="2"/>
    <n v="0.05"/>
    <n v="110000"/>
    <n v="5500"/>
    <n v="104500"/>
  </r>
  <r>
    <n v="183"/>
    <x v="282"/>
    <x v="42"/>
    <n v="3"/>
    <n v="229"/>
    <x v="81"/>
    <s v="cliente229@mail.cl"/>
    <x v="1"/>
    <n v="29"/>
    <x v="0"/>
    <x v="0"/>
    <x v="2"/>
    <x v="9"/>
    <x v="4"/>
    <n v="15000"/>
    <n v="3"/>
    <n v="0"/>
    <n v="45000"/>
    <n v="0"/>
    <n v="45000"/>
  </r>
  <r>
    <n v="374"/>
    <x v="283"/>
    <x v="32"/>
    <n v="5"/>
    <n v="229"/>
    <x v="81"/>
    <s v="cliente229@mail.cl"/>
    <x v="1"/>
    <n v="29"/>
    <x v="6"/>
    <x v="4"/>
    <x v="0"/>
    <x v="0"/>
    <x v="0"/>
    <n v="12000"/>
    <n v="2"/>
    <n v="0.05"/>
    <n v="24000"/>
    <n v="1200"/>
    <n v="22800"/>
  </r>
  <r>
    <n v="962"/>
    <x v="284"/>
    <x v="0"/>
    <n v="5"/>
    <n v="229"/>
    <x v="81"/>
    <s v="cliente229@mail.cl"/>
    <x v="1"/>
    <n v="29"/>
    <x v="0"/>
    <x v="0"/>
    <x v="0"/>
    <x v="1"/>
    <x v="1"/>
    <n v="650000"/>
    <n v="2"/>
    <n v="0"/>
    <n v="1300000"/>
    <n v="0"/>
    <n v="1300000"/>
  </r>
  <r>
    <n v="984"/>
    <x v="285"/>
    <x v="8"/>
    <n v="8"/>
    <n v="229"/>
    <x v="81"/>
    <s v="cliente229@mail.cl"/>
    <x v="1"/>
    <n v="29"/>
    <x v="4"/>
    <x v="3"/>
    <x v="1"/>
    <x v="2"/>
    <x v="2"/>
    <n v="450000"/>
    <n v="2"/>
    <n v="0.05"/>
    <n v="900000"/>
    <n v="45000"/>
    <n v="855000"/>
  </r>
  <r>
    <n v="146"/>
    <x v="286"/>
    <x v="57"/>
    <n v="1"/>
    <n v="247"/>
    <x v="82"/>
    <s v="cliente247@mail.cl"/>
    <x v="0"/>
    <n v="32"/>
    <x v="2"/>
    <x v="2"/>
    <x v="0"/>
    <x v="6"/>
    <x v="1"/>
    <n v="800000"/>
    <n v="3"/>
    <n v="0"/>
    <n v="2400000"/>
    <n v="0"/>
    <n v="2400000"/>
  </r>
  <r>
    <n v="487"/>
    <x v="287"/>
    <x v="35"/>
    <n v="5"/>
    <n v="247"/>
    <x v="82"/>
    <s v="cliente247@mail.cl"/>
    <x v="0"/>
    <n v="32"/>
    <x v="6"/>
    <x v="4"/>
    <x v="1"/>
    <x v="2"/>
    <x v="2"/>
    <n v="450000"/>
    <n v="2"/>
    <n v="0"/>
    <n v="900000"/>
    <n v="0"/>
    <n v="900000"/>
  </r>
  <r>
    <n v="39"/>
    <x v="288"/>
    <x v="28"/>
    <n v="0"/>
    <n v="178"/>
    <x v="83"/>
    <s v="cliente178@mail.cl"/>
    <x v="0"/>
    <n v="55"/>
    <x v="7"/>
    <x v="5"/>
    <x v="0"/>
    <x v="5"/>
    <x v="2"/>
    <n v="750000"/>
    <n v="2"/>
    <n v="0.05"/>
    <n v="1500000"/>
    <n v="75000"/>
    <n v="1425000"/>
  </r>
  <r>
    <n v="138"/>
    <x v="289"/>
    <x v="50"/>
    <n v="2"/>
    <n v="178"/>
    <x v="83"/>
    <s v="cliente178@mail.cl"/>
    <x v="0"/>
    <n v="55"/>
    <x v="2"/>
    <x v="2"/>
    <x v="2"/>
    <x v="1"/>
    <x v="1"/>
    <n v="650000"/>
    <n v="1"/>
    <n v="0"/>
    <n v="650000"/>
    <n v="0"/>
    <n v="650000"/>
  </r>
  <r>
    <n v="154"/>
    <x v="290"/>
    <x v="24"/>
    <n v="4"/>
    <n v="178"/>
    <x v="83"/>
    <s v="cliente178@mail.cl"/>
    <x v="0"/>
    <n v="55"/>
    <x v="3"/>
    <x v="3"/>
    <x v="1"/>
    <x v="3"/>
    <x v="1"/>
    <n v="700000"/>
    <n v="3"/>
    <n v="0.1"/>
    <n v="2100000"/>
    <n v="210000"/>
    <n v="1890000"/>
  </r>
  <r>
    <n v="410"/>
    <x v="291"/>
    <x v="16"/>
    <n v="7"/>
    <n v="178"/>
    <x v="83"/>
    <s v="cliente178@mail.cl"/>
    <x v="0"/>
    <n v="55"/>
    <x v="4"/>
    <x v="3"/>
    <x v="2"/>
    <x v="9"/>
    <x v="4"/>
    <n v="15000"/>
    <n v="3"/>
    <n v="0"/>
    <n v="45000"/>
    <n v="0"/>
    <n v="45000"/>
  </r>
  <r>
    <n v="510"/>
    <x v="292"/>
    <x v="41"/>
    <n v="0"/>
    <n v="178"/>
    <x v="83"/>
    <s v="cliente178@mail.cl"/>
    <x v="0"/>
    <n v="55"/>
    <x v="2"/>
    <x v="2"/>
    <x v="1"/>
    <x v="7"/>
    <x v="0"/>
    <n v="25000"/>
    <n v="2"/>
    <n v="0.1"/>
    <n v="50000"/>
    <n v="5000"/>
    <n v="45000"/>
  </r>
  <r>
    <n v="581"/>
    <x v="293"/>
    <x v="18"/>
    <n v="1"/>
    <n v="178"/>
    <x v="83"/>
    <s v="cliente178@mail.cl"/>
    <x v="0"/>
    <n v="55"/>
    <x v="3"/>
    <x v="3"/>
    <x v="1"/>
    <x v="5"/>
    <x v="2"/>
    <n v="750000"/>
    <n v="2"/>
    <n v="0.1"/>
    <n v="1500000"/>
    <n v="150000"/>
    <n v="1350000"/>
  </r>
  <r>
    <n v="833"/>
    <x v="294"/>
    <x v="23"/>
    <n v="1"/>
    <n v="178"/>
    <x v="83"/>
    <s v="cliente178@mail.cl"/>
    <x v="0"/>
    <n v="55"/>
    <x v="2"/>
    <x v="2"/>
    <x v="0"/>
    <x v="3"/>
    <x v="1"/>
    <n v="700000"/>
    <n v="1"/>
    <n v="0.05"/>
    <n v="700000"/>
    <n v="35000"/>
    <n v="665000"/>
  </r>
  <r>
    <n v="323"/>
    <x v="295"/>
    <x v="46"/>
    <n v="0"/>
    <n v="153"/>
    <x v="84"/>
    <s v="cliente153@mail.cl"/>
    <x v="1"/>
    <n v="29"/>
    <x v="4"/>
    <x v="3"/>
    <x v="1"/>
    <x v="7"/>
    <x v="0"/>
    <n v="25000"/>
    <n v="2"/>
    <n v="0"/>
    <n v="50000"/>
    <n v="0"/>
    <n v="50000"/>
  </r>
  <r>
    <n v="810"/>
    <x v="296"/>
    <x v="26"/>
    <n v="1"/>
    <n v="153"/>
    <x v="84"/>
    <s v="cliente153@mail.cl"/>
    <x v="1"/>
    <n v="29"/>
    <x v="8"/>
    <x v="6"/>
    <x v="1"/>
    <x v="2"/>
    <x v="2"/>
    <n v="450000"/>
    <n v="3"/>
    <n v="0.1"/>
    <n v="1350000"/>
    <n v="135000"/>
    <n v="1215000"/>
  </r>
  <r>
    <n v="898"/>
    <x v="297"/>
    <x v="52"/>
    <n v="1"/>
    <n v="153"/>
    <x v="84"/>
    <s v="cliente153@mail.cl"/>
    <x v="1"/>
    <n v="29"/>
    <x v="6"/>
    <x v="4"/>
    <x v="0"/>
    <x v="3"/>
    <x v="1"/>
    <n v="700000"/>
    <n v="3"/>
    <n v="0"/>
    <n v="2100000"/>
    <n v="0"/>
    <n v="2100000"/>
  </r>
  <r>
    <n v="702"/>
    <x v="298"/>
    <x v="46"/>
    <n v="0"/>
    <n v="199"/>
    <x v="85"/>
    <s v="cliente199@mail.cl"/>
    <x v="1"/>
    <n v="38"/>
    <x v="4"/>
    <x v="3"/>
    <x v="0"/>
    <x v="4"/>
    <x v="3"/>
    <n v="55000"/>
    <n v="2"/>
    <n v="0"/>
    <n v="110000"/>
    <n v="0"/>
    <n v="110000"/>
  </r>
  <r>
    <n v="889"/>
    <x v="299"/>
    <x v="49"/>
    <n v="9"/>
    <n v="199"/>
    <x v="85"/>
    <s v="cliente199@mail.cl"/>
    <x v="1"/>
    <n v="38"/>
    <x v="4"/>
    <x v="3"/>
    <x v="0"/>
    <x v="3"/>
    <x v="1"/>
    <n v="700000"/>
    <n v="1"/>
    <n v="0"/>
    <n v="700000"/>
    <n v="0"/>
    <n v="700000"/>
  </r>
  <r>
    <n v="172"/>
    <x v="300"/>
    <x v="9"/>
    <n v="1"/>
    <n v="107"/>
    <x v="86"/>
    <s v="cliente107@mail.cl"/>
    <x v="0"/>
    <n v="60"/>
    <x v="6"/>
    <x v="4"/>
    <x v="1"/>
    <x v="5"/>
    <x v="2"/>
    <n v="750000"/>
    <n v="3"/>
    <n v="0"/>
    <n v="2250000"/>
    <n v="0"/>
    <n v="2250000"/>
  </r>
  <r>
    <n v="287"/>
    <x v="301"/>
    <x v="66"/>
    <n v="0"/>
    <n v="107"/>
    <x v="86"/>
    <s v="cliente107@mail.cl"/>
    <x v="0"/>
    <n v="60"/>
    <x v="9"/>
    <x v="7"/>
    <x v="1"/>
    <x v="3"/>
    <x v="1"/>
    <n v="700000"/>
    <n v="2"/>
    <n v="0"/>
    <n v="1400000"/>
    <n v="0"/>
    <n v="1400000"/>
  </r>
  <r>
    <n v="134"/>
    <x v="302"/>
    <x v="3"/>
    <n v="0"/>
    <n v="188"/>
    <x v="87"/>
    <s v="cliente188@mail.cl"/>
    <x v="0"/>
    <n v="37"/>
    <x v="3"/>
    <x v="3"/>
    <x v="1"/>
    <x v="5"/>
    <x v="2"/>
    <n v="750000"/>
    <n v="3"/>
    <n v="0.05"/>
    <n v="2250000"/>
    <n v="112500"/>
    <n v="2137500"/>
  </r>
  <r>
    <n v="189"/>
    <x v="303"/>
    <x v="5"/>
    <n v="1"/>
    <n v="188"/>
    <x v="87"/>
    <s v="cliente188@mail.cl"/>
    <x v="0"/>
    <n v="37"/>
    <x v="3"/>
    <x v="3"/>
    <x v="0"/>
    <x v="6"/>
    <x v="1"/>
    <n v="800000"/>
    <n v="3"/>
    <n v="0.1"/>
    <n v="2400000"/>
    <n v="240000"/>
    <n v="2160000"/>
  </r>
  <r>
    <n v="349"/>
    <x v="304"/>
    <x v="1"/>
    <n v="5"/>
    <n v="188"/>
    <x v="87"/>
    <s v="cliente188@mail.cl"/>
    <x v="0"/>
    <n v="37"/>
    <x v="1"/>
    <x v="1"/>
    <x v="2"/>
    <x v="3"/>
    <x v="1"/>
    <n v="700000"/>
    <n v="3"/>
    <n v="0.05"/>
    <n v="2100000"/>
    <n v="105000"/>
    <n v="1995000"/>
  </r>
  <r>
    <n v="134"/>
    <x v="302"/>
    <x v="3"/>
    <n v="0"/>
    <n v="188"/>
    <x v="87"/>
    <s v="cliente188@mail.cl"/>
    <x v="0"/>
    <n v="37"/>
    <x v="3"/>
    <x v="3"/>
    <x v="1"/>
    <x v="5"/>
    <x v="2"/>
    <n v="750000"/>
    <n v="3"/>
    <n v="0.05"/>
    <n v="2250000"/>
    <n v="112500"/>
    <n v="2137500"/>
  </r>
  <r>
    <n v="74"/>
    <x v="305"/>
    <x v="58"/>
    <n v="13"/>
    <n v="26"/>
    <x v="88"/>
    <s v="cliente26@mail.cl"/>
    <x v="0"/>
    <n v="39"/>
    <x v="1"/>
    <x v="1"/>
    <x v="1"/>
    <x v="5"/>
    <x v="2"/>
    <n v="750000"/>
    <n v="2"/>
    <n v="0"/>
    <n v="1500000"/>
    <n v="0"/>
    <n v="1500000"/>
  </r>
  <r>
    <n v="198"/>
    <x v="306"/>
    <x v="55"/>
    <n v="2"/>
    <n v="26"/>
    <x v="88"/>
    <s v="cliente26@mail.cl"/>
    <x v="0"/>
    <n v="39"/>
    <x v="9"/>
    <x v="7"/>
    <x v="0"/>
    <x v="9"/>
    <x v="4"/>
    <n v="15000"/>
    <n v="1"/>
    <n v="0"/>
    <n v="15000"/>
    <n v="0"/>
    <n v="15000"/>
  </r>
  <r>
    <n v="361"/>
    <x v="307"/>
    <x v="36"/>
    <n v="2"/>
    <n v="26"/>
    <x v="88"/>
    <s v="cliente26@mail.cl"/>
    <x v="0"/>
    <n v="39"/>
    <x v="5"/>
    <x v="2"/>
    <x v="1"/>
    <x v="9"/>
    <x v="4"/>
    <n v="15000"/>
    <n v="2"/>
    <n v="0"/>
    <n v="30000"/>
    <n v="0"/>
    <n v="30000"/>
  </r>
  <r>
    <n v="385"/>
    <x v="308"/>
    <x v="38"/>
    <n v="6"/>
    <n v="26"/>
    <x v="88"/>
    <s v="cliente26@mail.cl"/>
    <x v="0"/>
    <n v="39"/>
    <x v="8"/>
    <x v="6"/>
    <x v="0"/>
    <x v="6"/>
    <x v="1"/>
    <n v="800000"/>
    <n v="2"/>
    <n v="0"/>
    <n v="1600000"/>
    <n v="0"/>
    <n v="1600000"/>
  </r>
  <r>
    <n v="451"/>
    <x v="309"/>
    <x v="53"/>
    <n v="4"/>
    <n v="26"/>
    <x v="88"/>
    <s v="cliente26@mail.cl"/>
    <x v="0"/>
    <n v="39"/>
    <x v="1"/>
    <x v="1"/>
    <x v="2"/>
    <x v="6"/>
    <x v="1"/>
    <n v="800000"/>
    <n v="2"/>
    <n v="0"/>
    <n v="1600000"/>
    <n v="0"/>
    <n v="1600000"/>
  </r>
  <r>
    <n v="738"/>
    <x v="310"/>
    <x v="8"/>
    <n v="8"/>
    <n v="26"/>
    <x v="88"/>
    <s v="cliente26@mail.cl"/>
    <x v="0"/>
    <n v="39"/>
    <x v="4"/>
    <x v="3"/>
    <x v="1"/>
    <x v="9"/>
    <x v="4"/>
    <n v="15000"/>
    <n v="3"/>
    <n v="0.05"/>
    <n v="45000"/>
    <n v="2250"/>
    <n v="42750"/>
  </r>
  <r>
    <n v="912"/>
    <x v="311"/>
    <x v="14"/>
    <n v="9"/>
    <n v="26"/>
    <x v="88"/>
    <s v="cliente26@mail.cl"/>
    <x v="0"/>
    <n v="39"/>
    <x v="8"/>
    <x v="6"/>
    <x v="1"/>
    <x v="7"/>
    <x v="0"/>
    <n v="25000"/>
    <n v="2"/>
    <n v="0"/>
    <n v="50000"/>
    <n v="0"/>
    <n v="50000"/>
  </r>
  <r>
    <n v="919"/>
    <x v="312"/>
    <x v="4"/>
    <n v="6"/>
    <n v="26"/>
    <x v="88"/>
    <s v="cliente26@mail.cl"/>
    <x v="0"/>
    <n v="39"/>
    <x v="4"/>
    <x v="3"/>
    <x v="2"/>
    <x v="7"/>
    <x v="0"/>
    <n v="25000"/>
    <n v="3"/>
    <n v="0.1"/>
    <n v="75000"/>
    <n v="7500"/>
    <n v="67500"/>
  </r>
  <r>
    <n v="292"/>
    <x v="313"/>
    <x v="19"/>
    <n v="4"/>
    <n v="3"/>
    <x v="89"/>
    <s v="cliente3@mail.cl"/>
    <x v="1"/>
    <n v="45"/>
    <x v="6"/>
    <x v="4"/>
    <x v="0"/>
    <x v="2"/>
    <x v="2"/>
    <n v="450000"/>
    <n v="1"/>
    <n v="0.1"/>
    <n v="450000"/>
    <n v="45000"/>
    <n v="405000"/>
  </r>
  <r>
    <n v="424"/>
    <x v="314"/>
    <x v="40"/>
    <n v="1"/>
    <n v="3"/>
    <x v="89"/>
    <s v="cliente3@mail.cl"/>
    <x v="1"/>
    <n v="45"/>
    <x v="3"/>
    <x v="3"/>
    <x v="1"/>
    <x v="6"/>
    <x v="1"/>
    <n v="800000"/>
    <n v="1"/>
    <n v="0"/>
    <n v="800000"/>
    <n v="0"/>
    <n v="800000"/>
  </r>
  <r>
    <n v="211"/>
    <x v="315"/>
    <x v="7"/>
    <n v="3"/>
    <n v="273"/>
    <x v="90"/>
    <s v="cliente273@mail.cl"/>
    <x v="0"/>
    <n v="51"/>
    <x v="5"/>
    <x v="2"/>
    <x v="1"/>
    <x v="0"/>
    <x v="0"/>
    <n v="12000"/>
    <n v="2"/>
    <n v="0"/>
    <n v="24000"/>
    <n v="0"/>
    <n v="24000"/>
  </r>
  <r>
    <n v="348"/>
    <x v="316"/>
    <x v="6"/>
    <n v="0"/>
    <n v="250"/>
    <x v="91"/>
    <s v="cliente250@mail.cl"/>
    <x v="0"/>
    <n v="42"/>
    <x v="2"/>
    <x v="2"/>
    <x v="1"/>
    <x v="3"/>
    <x v="1"/>
    <n v="700000"/>
    <n v="1"/>
    <n v="0"/>
    <n v="700000"/>
    <n v="0"/>
    <n v="700000"/>
  </r>
  <r>
    <n v="470"/>
    <x v="317"/>
    <x v="22"/>
    <n v="5"/>
    <n v="250"/>
    <x v="91"/>
    <s v="cliente250@mail.cl"/>
    <x v="0"/>
    <n v="42"/>
    <x v="3"/>
    <x v="3"/>
    <x v="1"/>
    <x v="9"/>
    <x v="4"/>
    <n v="15000"/>
    <n v="1"/>
    <n v="0"/>
    <n v="15000"/>
    <n v="0"/>
    <n v="15000"/>
  </r>
  <r>
    <n v="29"/>
    <x v="318"/>
    <x v="19"/>
    <n v="4"/>
    <n v="110"/>
    <x v="92"/>
    <s v="cliente110@mail.cl"/>
    <x v="0"/>
    <n v="37"/>
    <x v="6"/>
    <x v="4"/>
    <x v="2"/>
    <x v="0"/>
    <x v="0"/>
    <n v="12000"/>
    <n v="2"/>
    <n v="0"/>
    <n v="24000"/>
    <n v="0"/>
    <n v="24000"/>
  </r>
  <r>
    <n v="78"/>
    <x v="319"/>
    <x v="17"/>
    <n v="0"/>
    <n v="110"/>
    <x v="92"/>
    <s v="cliente110@mail.cl"/>
    <x v="0"/>
    <n v="37"/>
    <x v="1"/>
    <x v="1"/>
    <x v="0"/>
    <x v="6"/>
    <x v="1"/>
    <n v="800000"/>
    <n v="1"/>
    <n v="0.1"/>
    <n v="800000"/>
    <n v="80000"/>
    <n v="720000"/>
  </r>
  <r>
    <n v="623"/>
    <x v="320"/>
    <x v="35"/>
    <n v="5"/>
    <n v="110"/>
    <x v="92"/>
    <s v="cliente110@mail.cl"/>
    <x v="0"/>
    <n v="37"/>
    <x v="6"/>
    <x v="4"/>
    <x v="1"/>
    <x v="2"/>
    <x v="2"/>
    <n v="450000"/>
    <n v="3"/>
    <n v="0"/>
    <n v="1350000"/>
    <n v="0"/>
    <n v="1350000"/>
  </r>
  <r>
    <n v="654"/>
    <x v="321"/>
    <x v="35"/>
    <n v="5"/>
    <n v="110"/>
    <x v="92"/>
    <s v="cliente110@mail.cl"/>
    <x v="0"/>
    <n v="37"/>
    <x v="6"/>
    <x v="4"/>
    <x v="0"/>
    <x v="0"/>
    <x v="0"/>
    <n v="12000"/>
    <n v="2"/>
    <n v="0.1"/>
    <n v="24000"/>
    <n v="2400"/>
    <n v="21600"/>
  </r>
  <r>
    <n v="628"/>
    <x v="322"/>
    <x v="54"/>
    <n v="0"/>
    <n v="134"/>
    <x v="93"/>
    <s v="cliente134@mail.cl"/>
    <x v="1"/>
    <n v="43"/>
    <x v="9"/>
    <x v="7"/>
    <x v="0"/>
    <x v="8"/>
    <x v="4"/>
    <n v="35000"/>
    <n v="3"/>
    <n v="0"/>
    <n v="105000"/>
    <n v="0"/>
    <n v="105000"/>
  </r>
  <r>
    <n v="65"/>
    <x v="323"/>
    <x v="62"/>
    <n v="0"/>
    <n v="193"/>
    <x v="94"/>
    <s v="cliente193@mail.cl"/>
    <x v="1"/>
    <n v="40"/>
    <x v="9"/>
    <x v="7"/>
    <x v="0"/>
    <x v="2"/>
    <x v="2"/>
    <n v="450000"/>
    <n v="2"/>
    <n v="0.1"/>
    <n v="900000"/>
    <n v="90000"/>
    <n v="810000"/>
  </r>
  <r>
    <n v="660"/>
    <x v="324"/>
    <x v="26"/>
    <n v="1"/>
    <n v="193"/>
    <x v="94"/>
    <s v="cliente193@mail.cl"/>
    <x v="1"/>
    <n v="40"/>
    <x v="8"/>
    <x v="6"/>
    <x v="2"/>
    <x v="9"/>
    <x v="4"/>
    <n v="15000"/>
    <n v="1"/>
    <n v="0.1"/>
    <n v="15000"/>
    <n v="1500"/>
    <n v="13500"/>
  </r>
  <r>
    <n v="812"/>
    <x v="325"/>
    <x v="35"/>
    <n v="5"/>
    <n v="193"/>
    <x v="94"/>
    <s v="cliente193@mail.cl"/>
    <x v="1"/>
    <n v="40"/>
    <x v="6"/>
    <x v="4"/>
    <x v="1"/>
    <x v="5"/>
    <x v="2"/>
    <n v="750000"/>
    <n v="2"/>
    <n v="0"/>
    <n v="1500000"/>
    <n v="0"/>
    <n v="1500000"/>
  </r>
  <r>
    <n v="982"/>
    <x v="326"/>
    <x v="3"/>
    <n v="0"/>
    <n v="193"/>
    <x v="94"/>
    <s v="cliente193@mail.cl"/>
    <x v="1"/>
    <n v="40"/>
    <x v="3"/>
    <x v="3"/>
    <x v="1"/>
    <x v="8"/>
    <x v="4"/>
    <n v="35000"/>
    <n v="2"/>
    <n v="0.1"/>
    <n v="70000"/>
    <n v="7000"/>
    <n v="63000"/>
  </r>
  <r>
    <n v="472"/>
    <x v="327"/>
    <x v="43"/>
    <n v="5"/>
    <n v="11"/>
    <x v="95"/>
    <s v="cliente11@mail.cl"/>
    <x v="1"/>
    <n v="32"/>
    <x v="7"/>
    <x v="5"/>
    <x v="1"/>
    <x v="4"/>
    <x v="3"/>
    <n v="55000"/>
    <n v="3"/>
    <n v="0"/>
    <n v="165000"/>
    <n v="0"/>
    <n v="165000"/>
  </r>
  <r>
    <n v="485"/>
    <x v="328"/>
    <x v="55"/>
    <n v="2"/>
    <n v="11"/>
    <x v="95"/>
    <s v="cliente11@mail.cl"/>
    <x v="1"/>
    <n v="32"/>
    <x v="9"/>
    <x v="7"/>
    <x v="1"/>
    <x v="7"/>
    <x v="0"/>
    <n v="25000"/>
    <n v="1"/>
    <n v="0.05"/>
    <n v="25000"/>
    <n v="1250"/>
    <n v="23750"/>
  </r>
  <r>
    <n v="548"/>
    <x v="329"/>
    <x v="49"/>
    <n v="9"/>
    <n v="11"/>
    <x v="95"/>
    <s v="cliente11@mail.cl"/>
    <x v="1"/>
    <n v="32"/>
    <x v="4"/>
    <x v="3"/>
    <x v="1"/>
    <x v="3"/>
    <x v="1"/>
    <n v="700000"/>
    <n v="1"/>
    <n v="0"/>
    <n v="700000"/>
    <n v="0"/>
    <n v="700000"/>
  </r>
  <r>
    <n v="715"/>
    <x v="330"/>
    <x v="44"/>
    <n v="2"/>
    <n v="11"/>
    <x v="95"/>
    <s v="cliente11@mail.cl"/>
    <x v="1"/>
    <n v="32"/>
    <x v="2"/>
    <x v="2"/>
    <x v="0"/>
    <x v="7"/>
    <x v="0"/>
    <n v="25000"/>
    <n v="3"/>
    <n v="0.05"/>
    <n v="75000"/>
    <n v="3750"/>
    <n v="71250"/>
  </r>
  <r>
    <n v="15"/>
    <x v="331"/>
    <x v="26"/>
    <n v="1"/>
    <n v="67"/>
    <x v="96"/>
    <s v="cliente67@mail.cl"/>
    <x v="1"/>
    <n v="37"/>
    <x v="8"/>
    <x v="6"/>
    <x v="1"/>
    <x v="1"/>
    <x v="1"/>
    <n v="650000"/>
    <n v="3"/>
    <n v="0.05"/>
    <n v="1950000"/>
    <n v="97500"/>
    <n v="1852500"/>
  </r>
  <r>
    <n v="112"/>
    <x v="332"/>
    <x v="34"/>
    <n v="3"/>
    <n v="67"/>
    <x v="96"/>
    <s v="cliente67@mail.cl"/>
    <x v="1"/>
    <n v="37"/>
    <x v="6"/>
    <x v="4"/>
    <x v="0"/>
    <x v="6"/>
    <x v="1"/>
    <n v="800000"/>
    <n v="3"/>
    <n v="0"/>
    <n v="2400000"/>
    <n v="0"/>
    <n v="2400000"/>
  </r>
  <r>
    <n v="276"/>
    <x v="333"/>
    <x v="64"/>
    <n v="0"/>
    <n v="67"/>
    <x v="96"/>
    <s v="cliente67@mail.cl"/>
    <x v="1"/>
    <n v="37"/>
    <x v="5"/>
    <x v="2"/>
    <x v="1"/>
    <x v="8"/>
    <x v="4"/>
    <n v="35000"/>
    <n v="1"/>
    <n v="0"/>
    <n v="35000"/>
    <n v="0"/>
    <n v="35000"/>
  </r>
  <r>
    <n v="553"/>
    <x v="334"/>
    <x v="54"/>
    <n v="0"/>
    <n v="67"/>
    <x v="96"/>
    <s v="cliente67@mail.cl"/>
    <x v="1"/>
    <n v="37"/>
    <x v="9"/>
    <x v="7"/>
    <x v="1"/>
    <x v="3"/>
    <x v="1"/>
    <n v="700000"/>
    <n v="3"/>
    <n v="0"/>
    <n v="2100000"/>
    <n v="0"/>
    <n v="2100000"/>
  </r>
  <r>
    <n v="578"/>
    <x v="335"/>
    <x v="37"/>
    <n v="3"/>
    <n v="67"/>
    <x v="96"/>
    <s v="cliente67@mail.cl"/>
    <x v="1"/>
    <n v="37"/>
    <x v="5"/>
    <x v="2"/>
    <x v="0"/>
    <x v="5"/>
    <x v="2"/>
    <n v="750000"/>
    <n v="2"/>
    <n v="0.1"/>
    <n v="1500000"/>
    <n v="150000"/>
    <n v="1350000"/>
  </r>
  <r>
    <n v="729"/>
    <x v="336"/>
    <x v="69"/>
    <n v="1"/>
    <n v="67"/>
    <x v="96"/>
    <s v="cliente67@mail.cl"/>
    <x v="1"/>
    <n v="37"/>
    <x v="4"/>
    <x v="3"/>
    <x v="0"/>
    <x v="5"/>
    <x v="2"/>
    <n v="750000"/>
    <n v="1"/>
    <n v="0.05"/>
    <n v="750000"/>
    <n v="37500"/>
    <n v="712500"/>
  </r>
  <r>
    <n v="976"/>
    <x v="337"/>
    <x v="37"/>
    <n v="3"/>
    <n v="67"/>
    <x v="96"/>
    <s v="cliente67@mail.cl"/>
    <x v="1"/>
    <n v="37"/>
    <x v="5"/>
    <x v="2"/>
    <x v="2"/>
    <x v="9"/>
    <x v="4"/>
    <n v="15000"/>
    <n v="3"/>
    <n v="0.05"/>
    <n v="45000"/>
    <n v="2250"/>
    <n v="42750"/>
  </r>
  <r>
    <n v="31"/>
    <x v="338"/>
    <x v="44"/>
    <n v="2"/>
    <n v="162"/>
    <x v="97"/>
    <s v="cliente162@mail.cl"/>
    <x v="0"/>
    <n v="47"/>
    <x v="2"/>
    <x v="2"/>
    <x v="0"/>
    <x v="1"/>
    <x v="1"/>
    <n v="650000"/>
    <n v="1"/>
    <n v="0.1"/>
    <n v="650000"/>
    <n v="65000"/>
    <n v="585000"/>
  </r>
  <r>
    <n v="77"/>
    <x v="339"/>
    <x v="48"/>
    <n v="0"/>
    <n v="162"/>
    <x v="97"/>
    <s v="cliente162@mail.cl"/>
    <x v="0"/>
    <n v="47"/>
    <x v="9"/>
    <x v="7"/>
    <x v="2"/>
    <x v="1"/>
    <x v="1"/>
    <n v="650000"/>
    <n v="3"/>
    <n v="0"/>
    <n v="1950000"/>
    <n v="0"/>
    <n v="1950000"/>
  </r>
  <r>
    <n v="546"/>
    <x v="340"/>
    <x v="30"/>
    <n v="1"/>
    <n v="162"/>
    <x v="97"/>
    <s v="cliente162@mail.cl"/>
    <x v="0"/>
    <n v="47"/>
    <x v="6"/>
    <x v="4"/>
    <x v="1"/>
    <x v="6"/>
    <x v="1"/>
    <n v="800000"/>
    <n v="1"/>
    <n v="0"/>
    <n v="800000"/>
    <n v="0"/>
    <n v="800000"/>
  </r>
  <r>
    <n v="989"/>
    <x v="341"/>
    <x v="30"/>
    <n v="1"/>
    <n v="162"/>
    <x v="97"/>
    <s v="cliente162@mail.cl"/>
    <x v="0"/>
    <n v="47"/>
    <x v="6"/>
    <x v="4"/>
    <x v="1"/>
    <x v="1"/>
    <x v="1"/>
    <n v="650000"/>
    <n v="3"/>
    <n v="0.05"/>
    <n v="1950000"/>
    <n v="97500"/>
    <n v="1852500"/>
  </r>
  <r>
    <n v="5"/>
    <x v="342"/>
    <x v="11"/>
    <n v="0"/>
    <n v="218"/>
    <x v="98"/>
    <s v="cliente218@mail.cl"/>
    <x v="0"/>
    <n v="35"/>
    <x v="8"/>
    <x v="6"/>
    <x v="1"/>
    <x v="9"/>
    <x v="4"/>
    <n v="15000"/>
    <n v="1"/>
    <n v="0.1"/>
    <n v="15000"/>
    <n v="1500"/>
    <n v="13500"/>
  </r>
  <r>
    <n v="353"/>
    <x v="343"/>
    <x v="4"/>
    <n v="6"/>
    <n v="218"/>
    <x v="98"/>
    <s v="cliente218@mail.cl"/>
    <x v="0"/>
    <n v="35"/>
    <x v="4"/>
    <x v="3"/>
    <x v="1"/>
    <x v="7"/>
    <x v="0"/>
    <n v="25000"/>
    <n v="1"/>
    <n v="0"/>
    <n v="25000"/>
    <n v="0"/>
    <n v="25000"/>
  </r>
  <r>
    <n v="330"/>
    <x v="344"/>
    <x v="0"/>
    <n v="5"/>
    <n v="54"/>
    <x v="99"/>
    <s v="cliente54@mail.cl"/>
    <x v="0"/>
    <n v="45"/>
    <x v="0"/>
    <x v="0"/>
    <x v="2"/>
    <x v="3"/>
    <x v="1"/>
    <n v="700000"/>
    <n v="1"/>
    <n v="0.1"/>
    <n v="700000"/>
    <n v="70000"/>
    <n v="630000"/>
  </r>
  <r>
    <n v="746"/>
    <x v="345"/>
    <x v="53"/>
    <n v="4"/>
    <n v="54"/>
    <x v="99"/>
    <s v="cliente54@mail.cl"/>
    <x v="0"/>
    <n v="45"/>
    <x v="1"/>
    <x v="1"/>
    <x v="1"/>
    <x v="2"/>
    <x v="2"/>
    <n v="450000"/>
    <n v="1"/>
    <n v="0.05"/>
    <n v="450000"/>
    <n v="22500"/>
    <n v="427500"/>
  </r>
  <r>
    <n v="162"/>
    <x v="346"/>
    <x v="18"/>
    <n v="1"/>
    <n v="227"/>
    <x v="100"/>
    <s v="cliente227@mail.cl"/>
    <x v="0"/>
    <n v="38"/>
    <x v="3"/>
    <x v="3"/>
    <x v="1"/>
    <x v="5"/>
    <x v="2"/>
    <n v="750000"/>
    <n v="1"/>
    <n v="0"/>
    <n v="750000"/>
    <n v="0"/>
    <n v="750000"/>
  </r>
  <r>
    <n v="643"/>
    <x v="347"/>
    <x v="16"/>
    <n v="7"/>
    <n v="227"/>
    <x v="100"/>
    <s v="cliente227@mail.cl"/>
    <x v="0"/>
    <n v="38"/>
    <x v="4"/>
    <x v="3"/>
    <x v="1"/>
    <x v="1"/>
    <x v="1"/>
    <n v="650000"/>
    <n v="2"/>
    <n v="0.05"/>
    <n v="1300000"/>
    <n v="65000"/>
    <n v="1235000"/>
  </r>
  <r>
    <n v="737"/>
    <x v="348"/>
    <x v="53"/>
    <n v="4"/>
    <n v="227"/>
    <x v="100"/>
    <s v="cliente227@mail.cl"/>
    <x v="0"/>
    <n v="38"/>
    <x v="1"/>
    <x v="1"/>
    <x v="0"/>
    <x v="4"/>
    <x v="3"/>
    <n v="55000"/>
    <n v="2"/>
    <n v="0.1"/>
    <n v="110000"/>
    <n v="11000"/>
    <n v="99000"/>
  </r>
  <r>
    <n v="952"/>
    <x v="349"/>
    <x v="13"/>
    <n v="1"/>
    <n v="227"/>
    <x v="100"/>
    <s v="cliente227@mail.cl"/>
    <x v="0"/>
    <n v="38"/>
    <x v="6"/>
    <x v="4"/>
    <x v="2"/>
    <x v="5"/>
    <x v="2"/>
    <n v="750000"/>
    <n v="3"/>
    <n v="0"/>
    <n v="2250000"/>
    <n v="0"/>
    <n v="2250000"/>
  </r>
  <r>
    <n v="876"/>
    <x v="350"/>
    <x v="65"/>
    <n v="4"/>
    <n v="280"/>
    <x v="101"/>
    <s v="cliente280@mail.cl"/>
    <x v="0"/>
    <n v="33"/>
    <x v="7"/>
    <x v="5"/>
    <x v="0"/>
    <x v="3"/>
    <x v="1"/>
    <n v="700000"/>
    <n v="1"/>
    <n v="0"/>
    <n v="700000"/>
    <n v="0"/>
    <n v="700000"/>
  </r>
  <r>
    <n v="82"/>
    <x v="351"/>
    <x v="67"/>
    <n v="9"/>
    <n v="145"/>
    <x v="102"/>
    <s v="cliente145@mail.cl"/>
    <x v="1"/>
    <n v="41"/>
    <x v="2"/>
    <x v="2"/>
    <x v="2"/>
    <x v="5"/>
    <x v="2"/>
    <n v="750000"/>
    <n v="3"/>
    <n v="0"/>
    <n v="2250000"/>
    <n v="0"/>
    <n v="2250000"/>
  </r>
  <r>
    <n v="457"/>
    <x v="352"/>
    <x v="56"/>
    <n v="1"/>
    <n v="145"/>
    <x v="102"/>
    <s v="cliente145@mail.cl"/>
    <x v="1"/>
    <n v="41"/>
    <x v="5"/>
    <x v="2"/>
    <x v="1"/>
    <x v="3"/>
    <x v="1"/>
    <n v="700000"/>
    <n v="3"/>
    <n v="0.05"/>
    <n v="2100000"/>
    <n v="105000"/>
    <n v="1995000"/>
  </r>
  <r>
    <n v="907"/>
    <x v="353"/>
    <x v="4"/>
    <n v="6"/>
    <n v="145"/>
    <x v="102"/>
    <s v="cliente145@mail.cl"/>
    <x v="1"/>
    <n v="41"/>
    <x v="4"/>
    <x v="3"/>
    <x v="1"/>
    <x v="9"/>
    <x v="4"/>
    <n v="15000"/>
    <n v="2"/>
    <n v="0"/>
    <n v="30000"/>
    <n v="0"/>
    <n v="30000"/>
  </r>
  <r>
    <n v="28"/>
    <x v="354"/>
    <x v="20"/>
    <n v="6"/>
    <n v="220"/>
    <x v="103"/>
    <s v="cliente220@mail.cl"/>
    <x v="1"/>
    <n v="38"/>
    <x v="2"/>
    <x v="2"/>
    <x v="1"/>
    <x v="5"/>
    <x v="2"/>
    <n v="750000"/>
    <n v="2"/>
    <n v="0"/>
    <n v="1500000"/>
    <n v="0"/>
    <n v="1500000"/>
  </r>
  <r>
    <n v="458"/>
    <x v="355"/>
    <x v="37"/>
    <n v="3"/>
    <n v="220"/>
    <x v="103"/>
    <s v="cliente220@mail.cl"/>
    <x v="1"/>
    <n v="38"/>
    <x v="5"/>
    <x v="2"/>
    <x v="0"/>
    <x v="3"/>
    <x v="1"/>
    <n v="700000"/>
    <n v="2"/>
    <n v="0"/>
    <n v="1400000"/>
    <n v="0"/>
    <n v="1400000"/>
  </r>
  <r>
    <n v="568"/>
    <x v="356"/>
    <x v="52"/>
    <n v="1"/>
    <n v="220"/>
    <x v="103"/>
    <s v="cliente220@mail.cl"/>
    <x v="1"/>
    <n v="38"/>
    <x v="6"/>
    <x v="4"/>
    <x v="2"/>
    <x v="2"/>
    <x v="2"/>
    <n v="450000"/>
    <n v="2"/>
    <n v="0"/>
    <n v="900000"/>
    <n v="0"/>
    <n v="900000"/>
  </r>
  <r>
    <n v="213"/>
    <x v="357"/>
    <x v="41"/>
    <n v="0"/>
    <n v="63"/>
    <x v="104"/>
    <s v="cliente63@mail.cl"/>
    <x v="0"/>
    <n v="24"/>
    <x v="2"/>
    <x v="2"/>
    <x v="1"/>
    <x v="0"/>
    <x v="0"/>
    <n v="12000"/>
    <n v="1"/>
    <n v="0.1"/>
    <n v="12000"/>
    <n v="1200"/>
    <n v="10800"/>
  </r>
  <r>
    <n v="248"/>
    <x v="358"/>
    <x v="26"/>
    <n v="1"/>
    <n v="63"/>
    <x v="104"/>
    <s v="cliente63@mail.cl"/>
    <x v="0"/>
    <n v="24"/>
    <x v="8"/>
    <x v="6"/>
    <x v="0"/>
    <x v="6"/>
    <x v="1"/>
    <n v="800000"/>
    <n v="3"/>
    <n v="0.05"/>
    <n v="2400000"/>
    <n v="120000"/>
    <n v="2280000"/>
  </r>
  <r>
    <n v="832"/>
    <x v="359"/>
    <x v="54"/>
    <n v="0"/>
    <n v="63"/>
    <x v="104"/>
    <s v="cliente63@mail.cl"/>
    <x v="0"/>
    <n v="24"/>
    <x v="9"/>
    <x v="7"/>
    <x v="0"/>
    <x v="5"/>
    <x v="2"/>
    <n v="750000"/>
    <n v="2"/>
    <n v="0"/>
    <n v="1500000"/>
    <n v="0"/>
    <n v="1500000"/>
  </r>
  <r>
    <n v="167"/>
    <x v="360"/>
    <x v="37"/>
    <n v="3"/>
    <n v="213"/>
    <x v="105"/>
    <s v="cliente213@mail.cl"/>
    <x v="0"/>
    <n v="49"/>
    <x v="5"/>
    <x v="2"/>
    <x v="0"/>
    <x v="1"/>
    <x v="1"/>
    <n v="650000"/>
    <n v="1"/>
    <n v="0"/>
    <n v="650000"/>
    <n v="0"/>
    <n v="650000"/>
  </r>
  <r>
    <n v="202"/>
    <x v="361"/>
    <x v="5"/>
    <n v="1"/>
    <n v="213"/>
    <x v="105"/>
    <s v="cliente213@mail.cl"/>
    <x v="0"/>
    <n v="49"/>
    <x v="3"/>
    <x v="3"/>
    <x v="2"/>
    <x v="4"/>
    <x v="3"/>
    <n v="55000"/>
    <n v="1"/>
    <n v="0.05"/>
    <n v="55000"/>
    <n v="2750"/>
    <n v="52250"/>
  </r>
  <r>
    <n v="290"/>
    <x v="362"/>
    <x v="9"/>
    <n v="1"/>
    <n v="213"/>
    <x v="105"/>
    <s v="cliente213@mail.cl"/>
    <x v="0"/>
    <n v="49"/>
    <x v="6"/>
    <x v="4"/>
    <x v="2"/>
    <x v="8"/>
    <x v="4"/>
    <n v="35000"/>
    <n v="1"/>
    <n v="0"/>
    <n v="35000"/>
    <n v="0"/>
    <n v="35000"/>
  </r>
  <r>
    <n v="801"/>
    <x v="363"/>
    <x v="23"/>
    <n v="1"/>
    <n v="213"/>
    <x v="105"/>
    <s v="cliente213@mail.cl"/>
    <x v="0"/>
    <n v="49"/>
    <x v="2"/>
    <x v="2"/>
    <x v="1"/>
    <x v="9"/>
    <x v="4"/>
    <n v="15000"/>
    <n v="2"/>
    <n v="0.1"/>
    <n v="30000"/>
    <n v="3000"/>
    <n v="27000"/>
  </r>
  <r>
    <n v="401"/>
    <x v="364"/>
    <x v="53"/>
    <n v="4"/>
    <n v="126"/>
    <x v="106"/>
    <s v="cliente126@mail.cl"/>
    <x v="0"/>
    <n v="64"/>
    <x v="1"/>
    <x v="1"/>
    <x v="1"/>
    <x v="9"/>
    <x v="4"/>
    <n v="15000"/>
    <n v="3"/>
    <n v="0"/>
    <n v="45000"/>
    <n v="0"/>
    <n v="45000"/>
  </r>
  <r>
    <n v="425"/>
    <x v="365"/>
    <x v="37"/>
    <n v="3"/>
    <n v="126"/>
    <x v="106"/>
    <s v="cliente126@mail.cl"/>
    <x v="0"/>
    <n v="64"/>
    <x v="5"/>
    <x v="2"/>
    <x v="1"/>
    <x v="2"/>
    <x v="2"/>
    <n v="450000"/>
    <n v="3"/>
    <n v="0.05"/>
    <n v="1350000"/>
    <n v="67500"/>
    <n v="1282500"/>
  </r>
  <r>
    <n v="499"/>
    <x v="366"/>
    <x v="50"/>
    <n v="2"/>
    <n v="126"/>
    <x v="106"/>
    <s v="cliente126@mail.cl"/>
    <x v="0"/>
    <n v="64"/>
    <x v="2"/>
    <x v="2"/>
    <x v="1"/>
    <x v="6"/>
    <x v="1"/>
    <n v="800000"/>
    <n v="3"/>
    <n v="0.05"/>
    <n v="2400000"/>
    <n v="120000"/>
    <n v="2280000"/>
  </r>
  <r>
    <n v="314"/>
    <x v="367"/>
    <x v="29"/>
    <n v="2"/>
    <n v="180"/>
    <x v="107"/>
    <s v="cliente180@mail.cl"/>
    <x v="1"/>
    <n v="70"/>
    <x v="1"/>
    <x v="1"/>
    <x v="1"/>
    <x v="8"/>
    <x v="4"/>
    <n v="35000"/>
    <n v="2"/>
    <n v="0.05"/>
    <n v="70000"/>
    <n v="3500"/>
    <n v="66500"/>
  </r>
  <r>
    <n v="398"/>
    <x v="368"/>
    <x v="65"/>
    <n v="4"/>
    <n v="180"/>
    <x v="107"/>
    <s v="cliente180@mail.cl"/>
    <x v="1"/>
    <n v="70"/>
    <x v="7"/>
    <x v="5"/>
    <x v="0"/>
    <x v="5"/>
    <x v="2"/>
    <n v="750000"/>
    <n v="3"/>
    <n v="0"/>
    <n v="2250000"/>
    <n v="0"/>
    <n v="2250000"/>
  </r>
  <r>
    <n v="608"/>
    <x v="369"/>
    <x v="60"/>
    <n v="1"/>
    <n v="180"/>
    <x v="107"/>
    <s v="cliente180@mail.cl"/>
    <x v="1"/>
    <n v="70"/>
    <x v="8"/>
    <x v="6"/>
    <x v="2"/>
    <x v="6"/>
    <x v="1"/>
    <n v="800000"/>
    <n v="2"/>
    <n v="0.1"/>
    <n v="1600000"/>
    <n v="160000"/>
    <n v="1440000"/>
  </r>
  <r>
    <n v="945"/>
    <x v="370"/>
    <x v="6"/>
    <n v="0"/>
    <n v="180"/>
    <x v="107"/>
    <s v="cliente180@mail.cl"/>
    <x v="1"/>
    <n v="70"/>
    <x v="2"/>
    <x v="2"/>
    <x v="1"/>
    <x v="8"/>
    <x v="4"/>
    <n v="35000"/>
    <n v="3"/>
    <n v="0"/>
    <n v="105000"/>
    <n v="0"/>
    <n v="105000"/>
  </r>
  <r>
    <n v="116"/>
    <x v="371"/>
    <x v="1"/>
    <n v="5"/>
    <n v="278"/>
    <x v="108"/>
    <s v="cliente278@mail.cl"/>
    <x v="1"/>
    <n v="30"/>
    <x v="1"/>
    <x v="1"/>
    <x v="1"/>
    <x v="0"/>
    <x v="0"/>
    <n v="12000"/>
    <n v="3"/>
    <n v="0.05"/>
    <n v="36000"/>
    <n v="1800"/>
    <n v="34200"/>
  </r>
  <r>
    <n v="682"/>
    <x v="372"/>
    <x v="21"/>
    <n v="7"/>
    <n v="278"/>
    <x v="108"/>
    <s v="cliente278@mail.cl"/>
    <x v="1"/>
    <n v="30"/>
    <x v="1"/>
    <x v="1"/>
    <x v="0"/>
    <x v="7"/>
    <x v="0"/>
    <n v="25000"/>
    <n v="2"/>
    <n v="0.1"/>
    <n v="50000"/>
    <n v="5000"/>
    <n v="45000"/>
  </r>
  <r>
    <n v="155"/>
    <x v="373"/>
    <x v="62"/>
    <n v="0"/>
    <n v="241"/>
    <x v="109"/>
    <s v="cliente241@mail.cl"/>
    <x v="0"/>
    <n v="28"/>
    <x v="9"/>
    <x v="7"/>
    <x v="1"/>
    <x v="3"/>
    <x v="1"/>
    <n v="700000"/>
    <n v="3"/>
    <n v="0.1"/>
    <n v="2100000"/>
    <n v="210000"/>
    <n v="1890000"/>
  </r>
  <r>
    <n v="281"/>
    <x v="374"/>
    <x v="67"/>
    <n v="9"/>
    <n v="241"/>
    <x v="109"/>
    <s v="cliente241@mail.cl"/>
    <x v="0"/>
    <n v="28"/>
    <x v="2"/>
    <x v="2"/>
    <x v="0"/>
    <x v="4"/>
    <x v="3"/>
    <n v="55000"/>
    <n v="2"/>
    <n v="0"/>
    <n v="110000"/>
    <n v="0"/>
    <n v="110000"/>
  </r>
  <r>
    <n v="900"/>
    <x v="375"/>
    <x v="59"/>
    <n v="0"/>
    <n v="241"/>
    <x v="109"/>
    <s v="cliente241@mail.cl"/>
    <x v="0"/>
    <n v="28"/>
    <x v="2"/>
    <x v="2"/>
    <x v="1"/>
    <x v="2"/>
    <x v="2"/>
    <n v="450000"/>
    <n v="3"/>
    <n v="0.1"/>
    <n v="1350000"/>
    <n v="135000"/>
    <n v="1215000"/>
  </r>
  <r>
    <n v="14"/>
    <x v="376"/>
    <x v="43"/>
    <n v="5"/>
    <n v="189"/>
    <x v="110"/>
    <s v="cliente189@mail.cl"/>
    <x v="0"/>
    <n v="27"/>
    <x v="7"/>
    <x v="5"/>
    <x v="0"/>
    <x v="2"/>
    <x v="2"/>
    <n v="450000"/>
    <n v="1"/>
    <n v="0.1"/>
    <n v="450000"/>
    <n v="45000"/>
    <n v="405000"/>
  </r>
  <r>
    <n v="239"/>
    <x v="377"/>
    <x v="22"/>
    <n v="5"/>
    <n v="189"/>
    <x v="110"/>
    <s v="cliente189@mail.cl"/>
    <x v="0"/>
    <n v="27"/>
    <x v="3"/>
    <x v="3"/>
    <x v="1"/>
    <x v="1"/>
    <x v="1"/>
    <n v="650000"/>
    <n v="1"/>
    <n v="0.05"/>
    <n v="650000"/>
    <n v="32500"/>
    <n v="617500"/>
  </r>
  <r>
    <n v="432"/>
    <x v="378"/>
    <x v="38"/>
    <n v="6"/>
    <n v="189"/>
    <x v="110"/>
    <s v="cliente189@mail.cl"/>
    <x v="0"/>
    <n v="27"/>
    <x v="8"/>
    <x v="6"/>
    <x v="1"/>
    <x v="3"/>
    <x v="1"/>
    <n v="700000"/>
    <n v="2"/>
    <n v="0"/>
    <n v="1400000"/>
    <n v="0"/>
    <n v="1400000"/>
  </r>
  <r>
    <n v="459"/>
    <x v="379"/>
    <x v="42"/>
    <n v="3"/>
    <n v="189"/>
    <x v="110"/>
    <s v="cliente189@mail.cl"/>
    <x v="0"/>
    <n v="27"/>
    <x v="0"/>
    <x v="0"/>
    <x v="0"/>
    <x v="7"/>
    <x v="0"/>
    <n v="25000"/>
    <n v="3"/>
    <n v="0"/>
    <n v="75000"/>
    <n v="0"/>
    <n v="75000"/>
  </r>
  <r>
    <n v="775"/>
    <x v="380"/>
    <x v="51"/>
    <n v="1"/>
    <n v="189"/>
    <x v="110"/>
    <s v="cliente189@mail.cl"/>
    <x v="0"/>
    <n v="27"/>
    <x v="3"/>
    <x v="3"/>
    <x v="0"/>
    <x v="2"/>
    <x v="2"/>
    <n v="450000"/>
    <n v="3"/>
    <n v="0"/>
    <n v="1350000"/>
    <n v="0"/>
    <n v="1350000"/>
  </r>
  <r>
    <n v="456"/>
    <x v="381"/>
    <x v="3"/>
    <n v="0"/>
    <n v="79"/>
    <x v="111"/>
    <s v="cliente79@mail.cl"/>
    <x v="0"/>
    <n v="39"/>
    <x v="3"/>
    <x v="3"/>
    <x v="0"/>
    <x v="4"/>
    <x v="3"/>
    <n v="55000"/>
    <n v="3"/>
    <n v="0"/>
    <n v="165000"/>
    <n v="0"/>
    <n v="165000"/>
  </r>
  <r>
    <n v="689"/>
    <x v="382"/>
    <x v="53"/>
    <n v="4"/>
    <n v="79"/>
    <x v="111"/>
    <s v="cliente79@mail.cl"/>
    <x v="0"/>
    <n v="39"/>
    <x v="1"/>
    <x v="1"/>
    <x v="2"/>
    <x v="3"/>
    <x v="1"/>
    <n v="700000"/>
    <n v="3"/>
    <n v="0"/>
    <n v="2100000"/>
    <n v="0"/>
    <n v="2100000"/>
  </r>
  <r>
    <n v="773"/>
    <x v="383"/>
    <x v="54"/>
    <n v="0"/>
    <n v="79"/>
    <x v="111"/>
    <s v="cliente79@mail.cl"/>
    <x v="0"/>
    <n v="39"/>
    <x v="9"/>
    <x v="7"/>
    <x v="1"/>
    <x v="9"/>
    <x v="4"/>
    <n v="15000"/>
    <n v="1"/>
    <n v="0.1"/>
    <n v="15000"/>
    <n v="1500"/>
    <n v="13500"/>
  </r>
  <r>
    <n v="941"/>
    <x v="384"/>
    <x v="33"/>
    <n v="4"/>
    <n v="79"/>
    <x v="111"/>
    <s v="cliente79@mail.cl"/>
    <x v="0"/>
    <n v="39"/>
    <x v="8"/>
    <x v="6"/>
    <x v="2"/>
    <x v="2"/>
    <x v="2"/>
    <n v="450000"/>
    <n v="1"/>
    <n v="0.05"/>
    <n v="450000"/>
    <n v="22500"/>
    <n v="427500"/>
  </r>
  <r>
    <n v="999"/>
    <x v="385"/>
    <x v="58"/>
    <n v="13"/>
    <n v="79"/>
    <x v="111"/>
    <s v="cliente79@mail.cl"/>
    <x v="0"/>
    <n v="39"/>
    <x v="1"/>
    <x v="1"/>
    <x v="1"/>
    <x v="2"/>
    <x v="2"/>
    <n v="450000"/>
    <n v="2"/>
    <n v="0.05"/>
    <n v="900000"/>
    <n v="45000"/>
    <n v="855000"/>
  </r>
  <r>
    <n v="271"/>
    <x v="386"/>
    <x v="46"/>
    <n v="0"/>
    <n v="74"/>
    <x v="112"/>
    <s v="cliente74@mail.cl"/>
    <x v="1"/>
    <n v="56"/>
    <x v="4"/>
    <x v="3"/>
    <x v="2"/>
    <x v="6"/>
    <x v="1"/>
    <n v="800000"/>
    <n v="2"/>
    <n v="0"/>
    <n v="1600000"/>
    <n v="0"/>
    <n v="1600000"/>
  </r>
  <r>
    <n v="522"/>
    <x v="387"/>
    <x v="61"/>
    <n v="3"/>
    <n v="74"/>
    <x v="112"/>
    <s v="cliente74@mail.cl"/>
    <x v="1"/>
    <n v="56"/>
    <x v="7"/>
    <x v="5"/>
    <x v="2"/>
    <x v="4"/>
    <x v="3"/>
    <n v="55000"/>
    <n v="2"/>
    <n v="0.05"/>
    <n v="110000"/>
    <n v="5500"/>
    <n v="104500"/>
  </r>
  <r>
    <n v="695"/>
    <x v="388"/>
    <x v="63"/>
    <n v="6"/>
    <n v="74"/>
    <x v="112"/>
    <s v="cliente74@mail.cl"/>
    <x v="1"/>
    <n v="56"/>
    <x v="1"/>
    <x v="1"/>
    <x v="2"/>
    <x v="0"/>
    <x v="0"/>
    <n v="12000"/>
    <n v="1"/>
    <n v="0.05"/>
    <n v="12000"/>
    <n v="600"/>
    <n v="11400"/>
  </r>
  <r>
    <n v="735"/>
    <x v="389"/>
    <x v="50"/>
    <n v="2"/>
    <n v="74"/>
    <x v="112"/>
    <s v="cliente74@mail.cl"/>
    <x v="1"/>
    <n v="56"/>
    <x v="2"/>
    <x v="2"/>
    <x v="0"/>
    <x v="2"/>
    <x v="2"/>
    <n v="450000"/>
    <n v="1"/>
    <n v="0.1"/>
    <n v="450000"/>
    <n v="45000"/>
    <n v="405000"/>
  </r>
  <r>
    <n v="915"/>
    <x v="390"/>
    <x v="29"/>
    <n v="2"/>
    <n v="74"/>
    <x v="112"/>
    <s v="cliente74@mail.cl"/>
    <x v="1"/>
    <n v="56"/>
    <x v="1"/>
    <x v="1"/>
    <x v="1"/>
    <x v="5"/>
    <x v="2"/>
    <n v="750000"/>
    <n v="1"/>
    <n v="0"/>
    <n v="750000"/>
    <n v="0"/>
    <n v="750000"/>
  </r>
  <r>
    <n v="230"/>
    <x v="391"/>
    <x v="36"/>
    <n v="2"/>
    <n v="155"/>
    <x v="113"/>
    <s v="cliente155@mail.cl"/>
    <x v="0"/>
    <n v="41"/>
    <x v="5"/>
    <x v="2"/>
    <x v="0"/>
    <x v="1"/>
    <x v="1"/>
    <n v="650000"/>
    <n v="1"/>
    <n v="0"/>
    <n v="650000"/>
    <n v="0"/>
    <n v="650000"/>
  </r>
  <r>
    <n v="657"/>
    <x v="392"/>
    <x v="10"/>
    <n v="0"/>
    <n v="155"/>
    <x v="113"/>
    <s v="cliente155@mail.cl"/>
    <x v="0"/>
    <n v="41"/>
    <x v="7"/>
    <x v="5"/>
    <x v="0"/>
    <x v="1"/>
    <x v="1"/>
    <n v="650000"/>
    <n v="2"/>
    <n v="0.05"/>
    <n v="1300000"/>
    <n v="65000"/>
    <n v="1235000"/>
  </r>
  <r>
    <n v="761"/>
    <x v="393"/>
    <x v="61"/>
    <n v="3"/>
    <n v="155"/>
    <x v="113"/>
    <s v="cliente155@mail.cl"/>
    <x v="0"/>
    <n v="41"/>
    <x v="7"/>
    <x v="5"/>
    <x v="1"/>
    <x v="9"/>
    <x v="4"/>
    <n v="15000"/>
    <n v="3"/>
    <n v="0"/>
    <n v="45000"/>
    <n v="0"/>
    <n v="45000"/>
  </r>
  <r>
    <n v="867"/>
    <x v="394"/>
    <x v="48"/>
    <n v="0"/>
    <n v="155"/>
    <x v="113"/>
    <s v="cliente155@mail.cl"/>
    <x v="0"/>
    <n v="41"/>
    <x v="9"/>
    <x v="7"/>
    <x v="1"/>
    <x v="8"/>
    <x v="4"/>
    <n v="35000"/>
    <n v="2"/>
    <n v="0"/>
    <n v="70000"/>
    <n v="0"/>
    <n v="70000"/>
  </r>
  <r>
    <n v="874"/>
    <x v="395"/>
    <x v="33"/>
    <n v="4"/>
    <n v="155"/>
    <x v="113"/>
    <s v="cliente155@mail.cl"/>
    <x v="0"/>
    <n v="41"/>
    <x v="8"/>
    <x v="6"/>
    <x v="1"/>
    <x v="0"/>
    <x v="0"/>
    <n v="12000"/>
    <n v="1"/>
    <n v="0.05"/>
    <n v="12000"/>
    <n v="600"/>
    <n v="11400"/>
  </r>
  <r>
    <n v="897"/>
    <x v="396"/>
    <x v="58"/>
    <n v="13"/>
    <n v="155"/>
    <x v="113"/>
    <s v="cliente155@mail.cl"/>
    <x v="0"/>
    <n v="41"/>
    <x v="1"/>
    <x v="1"/>
    <x v="1"/>
    <x v="5"/>
    <x v="2"/>
    <n v="750000"/>
    <n v="3"/>
    <n v="0.05"/>
    <n v="2250000"/>
    <n v="112500"/>
    <n v="2137500"/>
  </r>
  <r>
    <n v="933"/>
    <x v="397"/>
    <x v="13"/>
    <n v="1"/>
    <n v="155"/>
    <x v="113"/>
    <s v="cliente155@mail.cl"/>
    <x v="0"/>
    <n v="41"/>
    <x v="6"/>
    <x v="4"/>
    <x v="0"/>
    <x v="1"/>
    <x v="1"/>
    <n v="650000"/>
    <n v="3"/>
    <n v="0"/>
    <n v="1950000"/>
    <n v="0"/>
    <n v="1950000"/>
  </r>
  <r>
    <n v="261"/>
    <x v="398"/>
    <x v="69"/>
    <n v="1"/>
    <n v="108"/>
    <x v="114"/>
    <s v="cliente108@mail.cl"/>
    <x v="1"/>
    <n v="40"/>
    <x v="4"/>
    <x v="3"/>
    <x v="0"/>
    <x v="0"/>
    <x v="0"/>
    <n v="12000"/>
    <n v="3"/>
    <n v="0.05"/>
    <n v="36000"/>
    <n v="1800"/>
    <n v="34200"/>
  </r>
  <r>
    <n v="661"/>
    <x v="399"/>
    <x v="59"/>
    <n v="0"/>
    <n v="108"/>
    <x v="114"/>
    <s v="cliente108@mail.cl"/>
    <x v="1"/>
    <n v="40"/>
    <x v="2"/>
    <x v="2"/>
    <x v="0"/>
    <x v="4"/>
    <x v="3"/>
    <n v="55000"/>
    <n v="2"/>
    <n v="0"/>
    <n v="110000"/>
    <n v="0"/>
    <n v="110000"/>
  </r>
  <r>
    <n v="835"/>
    <x v="400"/>
    <x v="67"/>
    <n v="9"/>
    <n v="108"/>
    <x v="114"/>
    <s v="cliente108@mail.cl"/>
    <x v="1"/>
    <n v="40"/>
    <x v="2"/>
    <x v="2"/>
    <x v="1"/>
    <x v="9"/>
    <x v="4"/>
    <n v="15000"/>
    <n v="1"/>
    <n v="0.1"/>
    <n v="15000"/>
    <n v="1500"/>
    <n v="13500"/>
  </r>
  <r>
    <n v="839"/>
    <x v="401"/>
    <x v="25"/>
    <n v="1"/>
    <n v="108"/>
    <x v="114"/>
    <s v="cliente108@mail.cl"/>
    <x v="1"/>
    <n v="40"/>
    <x v="2"/>
    <x v="2"/>
    <x v="1"/>
    <x v="3"/>
    <x v="1"/>
    <n v="700000"/>
    <n v="3"/>
    <n v="0"/>
    <n v="2100000"/>
    <n v="0"/>
    <n v="2100000"/>
  </r>
  <r>
    <n v="855"/>
    <x v="402"/>
    <x v="58"/>
    <n v="13"/>
    <n v="108"/>
    <x v="114"/>
    <s v="cliente108@mail.cl"/>
    <x v="1"/>
    <n v="40"/>
    <x v="1"/>
    <x v="1"/>
    <x v="0"/>
    <x v="0"/>
    <x v="0"/>
    <n v="12000"/>
    <n v="3"/>
    <n v="0.05"/>
    <n v="36000"/>
    <n v="1800"/>
    <n v="34200"/>
  </r>
  <r>
    <n v="101"/>
    <x v="403"/>
    <x v="38"/>
    <n v="6"/>
    <n v="274"/>
    <x v="115"/>
    <s v="cliente274@mail.cl"/>
    <x v="0"/>
    <n v="38"/>
    <x v="8"/>
    <x v="6"/>
    <x v="2"/>
    <x v="9"/>
    <x v="4"/>
    <n v="15000"/>
    <n v="2"/>
    <n v="0.05"/>
    <n v="30000"/>
    <n v="1500"/>
    <n v="28500"/>
  </r>
  <r>
    <n v="557"/>
    <x v="404"/>
    <x v="32"/>
    <n v="5"/>
    <n v="274"/>
    <x v="115"/>
    <s v="cliente274@mail.cl"/>
    <x v="0"/>
    <n v="38"/>
    <x v="6"/>
    <x v="4"/>
    <x v="0"/>
    <x v="8"/>
    <x v="4"/>
    <n v="35000"/>
    <n v="1"/>
    <n v="0.05"/>
    <n v="35000"/>
    <n v="1750"/>
    <n v="33250"/>
  </r>
  <r>
    <n v="858"/>
    <x v="405"/>
    <x v="66"/>
    <n v="0"/>
    <n v="10"/>
    <x v="116"/>
    <s v="cliente10@mail.cl"/>
    <x v="0"/>
    <n v="44"/>
    <x v="9"/>
    <x v="7"/>
    <x v="1"/>
    <x v="0"/>
    <x v="0"/>
    <n v="12000"/>
    <n v="2"/>
    <n v="0"/>
    <n v="24000"/>
    <n v="0"/>
    <n v="24000"/>
  </r>
  <r>
    <n v="435"/>
    <x v="406"/>
    <x v="2"/>
    <n v="2"/>
    <n v="208"/>
    <x v="117"/>
    <s v="cliente208@mail.cl"/>
    <x v="0"/>
    <n v="44"/>
    <x v="2"/>
    <x v="2"/>
    <x v="2"/>
    <x v="4"/>
    <x v="3"/>
    <n v="55000"/>
    <n v="2"/>
    <n v="0"/>
    <n v="110000"/>
    <n v="0"/>
    <n v="110000"/>
  </r>
  <r>
    <n v="549"/>
    <x v="407"/>
    <x v="57"/>
    <n v="1"/>
    <n v="208"/>
    <x v="117"/>
    <s v="cliente208@mail.cl"/>
    <x v="0"/>
    <n v="44"/>
    <x v="2"/>
    <x v="2"/>
    <x v="2"/>
    <x v="4"/>
    <x v="3"/>
    <n v="55000"/>
    <n v="1"/>
    <n v="0.05"/>
    <n v="55000"/>
    <n v="2750"/>
    <n v="52250"/>
  </r>
  <r>
    <n v="6"/>
    <x v="408"/>
    <x v="54"/>
    <n v="0"/>
    <n v="202"/>
    <x v="118"/>
    <s v="cliente202@mail.cl"/>
    <x v="0"/>
    <n v="44"/>
    <x v="9"/>
    <x v="7"/>
    <x v="0"/>
    <x v="5"/>
    <x v="2"/>
    <n v="750000"/>
    <n v="3"/>
    <n v="0.1"/>
    <n v="2250000"/>
    <n v="225000"/>
    <n v="2025000"/>
  </r>
  <r>
    <n v="117"/>
    <x v="409"/>
    <x v="21"/>
    <n v="7"/>
    <n v="202"/>
    <x v="118"/>
    <s v="cliente202@mail.cl"/>
    <x v="0"/>
    <n v="44"/>
    <x v="1"/>
    <x v="1"/>
    <x v="0"/>
    <x v="1"/>
    <x v="1"/>
    <n v="650000"/>
    <n v="1"/>
    <n v="0.05"/>
    <n v="650000"/>
    <n v="32500"/>
    <n v="617500"/>
  </r>
  <r>
    <n v="303"/>
    <x v="410"/>
    <x v="6"/>
    <n v="0"/>
    <n v="202"/>
    <x v="118"/>
    <s v="cliente202@mail.cl"/>
    <x v="0"/>
    <n v="44"/>
    <x v="2"/>
    <x v="2"/>
    <x v="0"/>
    <x v="2"/>
    <x v="2"/>
    <n v="450000"/>
    <n v="3"/>
    <n v="0.05"/>
    <n v="1350000"/>
    <n v="67500"/>
    <n v="1282500"/>
  </r>
  <r>
    <n v="418"/>
    <x v="411"/>
    <x v="7"/>
    <n v="3"/>
    <n v="202"/>
    <x v="118"/>
    <s v="cliente202@mail.cl"/>
    <x v="0"/>
    <n v="44"/>
    <x v="5"/>
    <x v="2"/>
    <x v="1"/>
    <x v="5"/>
    <x v="2"/>
    <n v="750000"/>
    <n v="1"/>
    <n v="0.05"/>
    <n v="750000"/>
    <n v="37500"/>
    <n v="712500"/>
  </r>
  <r>
    <n v="808"/>
    <x v="412"/>
    <x v="51"/>
    <n v="1"/>
    <n v="202"/>
    <x v="118"/>
    <s v="cliente202@mail.cl"/>
    <x v="0"/>
    <n v="44"/>
    <x v="3"/>
    <x v="3"/>
    <x v="2"/>
    <x v="6"/>
    <x v="1"/>
    <n v="800000"/>
    <n v="3"/>
    <n v="0"/>
    <n v="2400000"/>
    <n v="0"/>
    <n v="2400000"/>
  </r>
  <r>
    <n v="329"/>
    <x v="413"/>
    <x v="7"/>
    <n v="3"/>
    <n v="111"/>
    <x v="119"/>
    <s v="cliente111@mail.cl"/>
    <x v="0"/>
    <n v="18"/>
    <x v="5"/>
    <x v="2"/>
    <x v="1"/>
    <x v="4"/>
    <x v="3"/>
    <n v="55000"/>
    <n v="3"/>
    <n v="0.1"/>
    <n v="165000"/>
    <n v="16500"/>
    <n v="148500"/>
  </r>
  <r>
    <n v="143"/>
    <x v="414"/>
    <x v="37"/>
    <n v="3"/>
    <n v="142"/>
    <x v="120"/>
    <s v="cliente142@mail.cl"/>
    <x v="1"/>
    <n v="53"/>
    <x v="5"/>
    <x v="2"/>
    <x v="1"/>
    <x v="7"/>
    <x v="0"/>
    <n v="25000"/>
    <n v="3"/>
    <n v="0.1"/>
    <n v="75000"/>
    <n v="7500"/>
    <n v="67500"/>
  </r>
  <r>
    <n v="246"/>
    <x v="415"/>
    <x v="45"/>
    <n v="1"/>
    <n v="142"/>
    <x v="120"/>
    <s v="cliente142@mail.cl"/>
    <x v="1"/>
    <n v="53"/>
    <x v="4"/>
    <x v="3"/>
    <x v="2"/>
    <x v="2"/>
    <x v="2"/>
    <n v="450000"/>
    <n v="1"/>
    <n v="0.05"/>
    <n v="450000"/>
    <n v="22500"/>
    <n v="427500"/>
  </r>
  <r>
    <n v="378"/>
    <x v="416"/>
    <x v="9"/>
    <n v="1"/>
    <n v="142"/>
    <x v="120"/>
    <s v="cliente142@mail.cl"/>
    <x v="1"/>
    <n v="53"/>
    <x v="6"/>
    <x v="4"/>
    <x v="1"/>
    <x v="9"/>
    <x v="4"/>
    <n v="15000"/>
    <n v="2"/>
    <n v="0.05"/>
    <n v="30000"/>
    <n v="1500"/>
    <n v="28500"/>
  </r>
  <r>
    <n v="752"/>
    <x v="417"/>
    <x v="45"/>
    <n v="1"/>
    <n v="142"/>
    <x v="120"/>
    <s v="cliente142@mail.cl"/>
    <x v="1"/>
    <n v="53"/>
    <x v="4"/>
    <x v="3"/>
    <x v="0"/>
    <x v="0"/>
    <x v="0"/>
    <n v="12000"/>
    <n v="1"/>
    <n v="0.1"/>
    <n v="12000"/>
    <n v="1200"/>
    <n v="10800"/>
  </r>
  <r>
    <n v="939"/>
    <x v="418"/>
    <x v="3"/>
    <n v="0"/>
    <n v="142"/>
    <x v="120"/>
    <s v="cliente142@mail.cl"/>
    <x v="1"/>
    <n v="53"/>
    <x v="3"/>
    <x v="3"/>
    <x v="2"/>
    <x v="3"/>
    <x v="1"/>
    <n v="700000"/>
    <n v="2"/>
    <n v="0"/>
    <n v="1400000"/>
    <n v="0"/>
    <n v="1400000"/>
  </r>
  <r>
    <n v="143"/>
    <x v="414"/>
    <x v="37"/>
    <n v="3"/>
    <n v="142"/>
    <x v="120"/>
    <s v="cliente142@mail.cl"/>
    <x v="1"/>
    <n v="53"/>
    <x v="5"/>
    <x v="2"/>
    <x v="1"/>
    <x v="7"/>
    <x v="0"/>
    <n v="25000"/>
    <n v="3"/>
    <n v="0.1"/>
    <n v="75000"/>
    <n v="7500"/>
    <n v="67500"/>
  </r>
  <r>
    <n v="71"/>
    <x v="419"/>
    <x v="54"/>
    <n v="0"/>
    <n v="44"/>
    <x v="121"/>
    <s v="cliente44@mail.cl"/>
    <x v="1"/>
    <n v="34"/>
    <x v="9"/>
    <x v="7"/>
    <x v="1"/>
    <x v="3"/>
    <x v="1"/>
    <n v="700000"/>
    <n v="3"/>
    <n v="0"/>
    <n v="2100000"/>
    <n v="0"/>
    <n v="2100000"/>
  </r>
  <r>
    <n v="233"/>
    <x v="420"/>
    <x v="62"/>
    <n v="0"/>
    <n v="44"/>
    <x v="121"/>
    <s v="cliente44@mail.cl"/>
    <x v="1"/>
    <n v="34"/>
    <x v="9"/>
    <x v="7"/>
    <x v="0"/>
    <x v="5"/>
    <x v="2"/>
    <n v="750000"/>
    <n v="1"/>
    <n v="0"/>
    <n v="750000"/>
    <n v="0"/>
    <n v="750000"/>
  </r>
  <r>
    <n v="326"/>
    <x v="421"/>
    <x v="67"/>
    <n v="9"/>
    <n v="44"/>
    <x v="121"/>
    <s v="cliente44@mail.cl"/>
    <x v="1"/>
    <n v="34"/>
    <x v="2"/>
    <x v="2"/>
    <x v="2"/>
    <x v="3"/>
    <x v="1"/>
    <n v="700000"/>
    <n v="1"/>
    <n v="0.05"/>
    <n v="700000"/>
    <n v="35000"/>
    <n v="665000"/>
  </r>
  <r>
    <n v="479"/>
    <x v="422"/>
    <x v="38"/>
    <n v="6"/>
    <n v="44"/>
    <x v="121"/>
    <s v="cliente44@mail.cl"/>
    <x v="1"/>
    <n v="34"/>
    <x v="8"/>
    <x v="6"/>
    <x v="2"/>
    <x v="7"/>
    <x v="0"/>
    <n v="25000"/>
    <n v="1"/>
    <n v="0"/>
    <n v="25000"/>
    <n v="0"/>
    <n v="25000"/>
  </r>
  <r>
    <n v="142"/>
    <x v="423"/>
    <x v="58"/>
    <n v="13"/>
    <n v="248"/>
    <x v="122"/>
    <s v="cliente248@mail.cl"/>
    <x v="1"/>
    <n v="30"/>
    <x v="1"/>
    <x v="1"/>
    <x v="2"/>
    <x v="5"/>
    <x v="2"/>
    <n v="750000"/>
    <n v="1"/>
    <n v="0.05"/>
    <n v="750000"/>
    <n v="37500"/>
    <n v="712500"/>
  </r>
  <r>
    <n v="516"/>
    <x v="424"/>
    <x v="0"/>
    <n v="5"/>
    <n v="248"/>
    <x v="122"/>
    <s v="cliente248@mail.cl"/>
    <x v="1"/>
    <n v="30"/>
    <x v="0"/>
    <x v="0"/>
    <x v="1"/>
    <x v="7"/>
    <x v="0"/>
    <n v="25000"/>
    <n v="1"/>
    <n v="0"/>
    <n v="25000"/>
    <n v="0"/>
    <n v="25000"/>
  </r>
  <r>
    <n v="98"/>
    <x v="425"/>
    <x v="36"/>
    <n v="2"/>
    <n v="61"/>
    <x v="123"/>
    <s v="cliente61@mail.cl"/>
    <x v="0"/>
    <n v="32"/>
    <x v="5"/>
    <x v="2"/>
    <x v="0"/>
    <x v="1"/>
    <x v="1"/>
    <n v="650000"/>
    <n v="1"/>
    <n v="0"/>
    <n v="650000"/>
    <n v="0"/>
    <n v="650000"/>
  </r>
  <r>
    <n v="324"/>
    <x v="426"/>
    <x v="66"/>
    <n v="0"/>
    <n v="61"/>
    <x v="123"/>
    <s v="cliente61@mail.cl"/>
    <x v="0"/>
    <n v="32"/>
    <x v="9"/>
    <x v="7"/>
    <x v="2"/>
    <x v="1"/>
    <x v="1"/>
    <n v="650000"/>
    <n v="3"/>
    <n v="0"/>
    <n v="1950000"/>
    <n v="0"/>
    <n v="1950000"/>
  </r>
  <r>
    <n v="443"/>
    <x v="427"/>
    <x v="37"/>
    <n v="3"/>
    <n v="61"/>
    <x v="123"/>
    <s v="cliente61@mail.cl"/>
    <x v="0"/>
    <n v="32"/>
    <x v="5"/>
    <x v="2"/>
    <x v="0"/>
    <x v="7"/>
    <x v="0"/>
    <n v="25000"/>
    <n v="2"/>
    <n v="0.1"/>
    <n v="50000"/>
    <n v="5000"/>
    <n v="45000"/>
  </r>
  <r>
    <n v="533"/>
    <x v="428"/>
    <x v="47"/>
    <n v="7"/>
    <n v="61"/>
    <x v="123"/>
    <s v="cliente61@mail.cl"/>
    <x v="0"/>
    <n v="32"/>
    <x v="8"/>
    <x v="6"/>
    <x v="2"/>
    <x v="2"/>
    <x v="2"/>
    <n v="450000"/>
    <n v="1"/>
    <n v="0"/>
    <n v="450000"/>
    <n v="0"/>
    <n v="450000"/>
  </r>
  <r>
    <n v="800"/>
    <x v="429"/>
    <x v="33"/>
    <n v="4"/>
    <n v="61"/>
    <x v="123"/>
    <s v="cliente61@mail.cl"/>
    <x v="0"/>
    <n v="32"/>
    <x v="8"/>
    <x v="6"/>
    <x v="0"/>
    <x v="7"/>
    <x v="0"/>
    <n v="25000"/>
    <n v="1"/>
    <n v="0"/>
    <n v="25000"/>
    <n v="0"/>
    <n v="25000"/>
  </r>
  <r>
    <n v="170"/>
    <x v="430"/>
    <x v="68"/>
    <n v="8"/>
    <n v="93"/>
    <x v="124"/>
    <s v="cliente93@mail.cl"/>
    <x v="0"/>
    <n v="29"/>
    <x v="9"/>
    <x v="7"/>
    <x v="1"/>
    <x v="4"/>
    <x v="3"/>
    <n v="55000"/>
    <n v="2"/>
    <n v="0.1"/>
    <n v="110000"/>
    <n v="11000"/>
    <n v="99000"/>
  </r>
  <r>
    <n v="607"/>
    <x v="431"/>
    <x v="21"/>
    <n v="7"/>
    <n v="93"/>
    <x v="124"/>
    <s v="cliente93@mail.cl"/>
    <x v="0"/>
    <n v="29"/>
    <x v="1"/>
    <x v="1"/>
    <x v="2"/>
    <x v="1"/>
    <x v="1"/>
    <n v="650000"/>
    <n v="1"/>
    <n v="0.05"/>
    <n v="650000"/>
    <n v="32500"/>
    <n v="617500"/>
  </r>
  <r>
    <n v="727"/>
    <x v="432"/>
    <x v="46"/>
    <n v="0"/>
    <n v="93"/>
    <x v="124"/>
    <s v="cliente93@mail.cl"/>
    <x v="0"/>
    <n v="29"/>
    <x v="4"/>
    <x v="3"/>
    <x v="1"/>
    <x v="6"/>
    <x v="1"/>
    <n v="800000"/>
    <n v="3"/>
    <n v="0.1"/>
    <n v="2400000"/>
    <n v="240000"/>
    <n v="2160000"/>
  </r>
  <r>
    <n v="763"/>
    <x v="433"/>
    <x v="14"/>
    <n v="9"/>
    <n v="93"/>
    <x v="124"/>
    <s v="cliente93@mail.cl"/>
    <x v="0"/>
    <n v="29"/>
    <x v="8"/>
    <x v="6"/>
    <x v="1"/>
    <x v="2"/>
    <x v="2"/>
    <n v="450000"/>
    <n v="3"/>
    <n v="0.05"/>
    <n v="1350000"/>
    <n v="67500"/>
    <n v="1282500"/>
  </r>
  <r>
    <n v="60"/>
    <x v="434"/>
    <x v="31"/>
    <n v="3"/>
    <n v="195"/>
    <x v="125"/>
    <s v="cliente195@mail.cl"/>
    <x v="0"/>
    <n v="40"/>
    <x v="5"/>
    <x v="2"/>
    <x v="2"/>
    <x v="4"/>
    <x v="3"/>
    <n v="55000"/>
    <n v="3"/>
    <n v="0"/>
    <n v="165000"/>
    <n v="0"/>
    <n v="165000"/>
  </r>
  <r>
    <n v="132"/>
    <x v="435"/>
    <x v="30"/>
    <n v="1"/>
    <n v="195"/>
    <x v="125"/>
    <s v="cliente195@mail.cl"/>
    <x v="0"/>
    <n v="40"/>
    <x v="6"/>
    <x v="4"/>
    <x v="0"/>
    <x v="0"/>
    <x v="0"/>
    <n v="12000"/>
    <n v="2"/>
    <n v="0.1"/>
    <n v="24000"/>
    <n v="2400"/>
    <n v="21600"/>
  </r>
  <r>
    <n v="200"/>
    <x v="436"/>
    <x v="55"/>
    <n v="2"/>
    <n v="195"/>
    <x v="125"/>
    <s v="cliente195@mail.cl"/>
    <x v="0"/>
    <n v="40"/>
    <x v="9"/>
    <x v="7"/>
    <x v="2"/>
    <x v="9"/>
    <x v="4"/>
    <n v="15000"/>
    <n v="3"/>
    <n v="0"/>
    <n v="45000"/>
    <n v="0"/>
    <n v="45000"/>
  </r>
  <r>
    <n v="63"/>
    <x v="437"/>
    <x v="33"/>
    <n v="4"/>
    <n v="184"/>
    <x v="126"/>
    <s v="cliente184@mail.cl"/>
    <x v="1"/>
    <n v="43"/>
    <x v="8"/>
    <x v="6"/>
    <x v="2"/>
    <x v="1"/>
    <x v="1"/>
    <n v="650000"/>
    <n v="3"/>
    <n v="0"/>
    <n v="1950000"/>
    <n v="0"/>
    <n v="1950000"/>
  </r>
  <r>
    <n v="377"/>
    <x v="438"/>
    <x v="24"/>
    <n v="4"/>
    <n v="184"/>
    <x v="126"/>
    <s v="cliente184@mail.cl"/>
    <x v="1"/>
    <n v="43"/>
    <x v="3"/>
    <x v="3"/>
    <x v="2"/>
    <x v="7"/>
    <x v="0"/>
    <n v="25000"/>
    <n v="3"/>
    <n v="0.1"/>
    <n v="75000"/>
    <n v="7500"/>
    <n v="67500"/>
  </r>
  <r>
    <n v="678"/>
    <x v="439"/>
    <x v="68"/>
    <n v="8"/>
    <n v="184"/>
    <x v="126"/>
    <s v="cliente184@mail.cl"/>
    <x v="1"/>
    <n v="43"/>
    <x v="9"/>
    <x v="7"/>
    <x v="1"/>
    <x v="0"/>
    <x v="0"/>
    <n v="12000"/>
    <n v="3"/>
    <n v="0"/>
    <n v="36000"/>
    <n v="0"/>
    <n v="36000"/>
  </r>
  <r>
    <n v="679"/>
    <x v="440"/>
    <x v="8"/>
    <n v="8"/>
    <n v="184"/>
    <x v="126"/>
    <s v="cliente184@mail.cl"/>
    <x v="1"/>
    <n v="43"/>
    <x v="4"/>
    <x v="3"/>
    <x v="1"/>
    <x v="6"/>
    <x v="1"/>
    <n v="800000"/>
    <n v="2"/>
    <n v="0.05"/>
    <n v="1600000"/>
    <n v="80000"/>
    <n v="1520000"/>
  </r>
  <r>
    <n v="754"/>
    <x v="441"/>
    <x v="18"/>
    <n v="1"/>
    <n v="184"/>
    <x v="126"/>
    <s v="cliente184@mail.cl"/>
    <x v="1"/>
    <n v="43"/>
    <x v="3"/>
    <x v="3"/>
    <x v="2"/>
    <x v="6"/>
    <x v="1"/>
    <n v="800000"/>
    <n v="3"/>
    <n v="0.05"/>
    <n v="2400000"/>
    <n v="120000"/>
    <n v="2280000"/>
  </r>
  <r>
    <n v="902"/>
    <x v="442"/>
    <x v="30"/>
    <n v="1"/>
    <n v="184"/>
    <x v="126"/>
    <s v="cliente184@mail.cl"/>
    <x v="1"/>
    <n v="43"/>
    <x v="6"/>
    <x v="4"/>
    <x v="1"/>
    <x v="1"/>
    <x v="1"/>
    <n v="650000"/>
    <n v="1"/>
    <n v="0.1"/>
    <n v="650000"/>
    <n v="65000"/>
    <n v="585000"/>
  </r>
  <r>
    <n v="47"/>
    <x v="443"/>
    <x v="34"/>
    <n v="3"/>
    <n v="268"/>
    <x v="127"/>
    <s v="cliente268@mail.cl"/>
    <x v="1"/>
    <n v="20"/>
    <x v="6"/>
    <x v="4"/>
    <x v="2"/>
    <x v="2"/>
    <x v="2"/>
    <n v="450000"/>
    <n v="3"/>
    <n v="0"/>
    <n v="1350000"/>
    <n v="0"/>
    <n v="1350000"/>
  </r>
  <r>
    <n v="726"/>
    <x v="444"/>
    <x v="28"/>
    <n v="0"/>
    <n v="268"/>
    <x v="127"/>
    <s v="cliente268@mail.cl"/>
    <x v="1"/>
    <n v="20"/>
    <x v="7"/>
    <x v="5"/>
    <x v="1"/>
    <x v="3"/>
    <x v="1"/>
    <n v="700000"/>
    <n v="2"/>
    <n v="0.05"/>
    <n v="1400000"/>
    <n v="70000"/>
    <n v="1330000"/>
  </r>
  <r>
    <n v="971"/>
    <x v="445"/>
    <x v="3"/>
    <n v="0"/>
    <n v="268"/>
    <x v="127"/>
    <s v="cliente268@mail.cl"/>
    <x v="1"/>
    <n v="20"/>
    <x v="3"/>
    <x v="3"/>
    <x v="1"/>
    <x v="3"/>
    <x v="1"/>
    <n v="700000"/>
    <n v="2"/>
    <n v="0.1"/>
    <n v="1400000"/>
    <n v="140000"/>
    <n v="1260000"/>
  </r>
  <r>
    <n v="38"/>
    <x v="446"/>
    <x v="42"/>
    <n v="3"/>
    <n v="212"/>
    <x v="128"/>
    <s v="cliente212@mail.cl"/>
    <x v="1"/>
    <n v="51"/>
    <x v="0"/>
    <x v="0"/>
    <x v="2"/>
    <x v="5"/>
    <x v="2"/>
    <n v="750000"/>
    <n v="3"/>
    <n v="0"/>
    <n v="2250000"/>
    <n v="0"/>
    <n v="2250000"/>
  </r>
  <r>
    <n v="929"/>
    <x v="447"/>
    <x v="32"/>
    <n v="5"/>
    <n v="212"/>
    <x v="128"/>
    <s v="cliente212@mail.cl"/>
    <x v="1"/>
    <n v="51"/>
    <x v="6"/>
    <x v="4"/>
    <x v="1"/>
    <x v="6"/>
    <x v="1"/>
    <n v="800000"/>
    <n v="2"/>
    <n v="0"/>
    <n v="1600000"/>
    <n v="0"/>
    <n v="1600000"/>
  </r>
  <r>
    <n v="379"/>
    <x v="448"/>
    <x v="41"/>
    <n v="0"/>
    <n v="96"/>
    <x v="129"/>
    <s v="cliente96@mail.cl"/>
    <x v="1"/>
    <n v="20"/>
    <x v="2"/>
    <x v="2"/>
    <x v="1"/>
    <x v="6"/>
    <x v="1"/>
    <n v="800000"/>
    <n v="2"/>
    <n v="0.1"/>
    <n v="1600000"/>
    <n v="160000"/>
    <n v="1440000"/>
  </r>
  <r>
    <n v="645"/>
    <x v="449"/>
    <x v="41"/>
    <n v="0"/>
    <n v="96"/>
    <x v="129"/>
    <s v="cliente96@mail.cl"/>
    <x v="1"/>
    <n v="20"/>
    <x v="2"/>
    <x v="2"/>
    <x v="0"/>
    <x v="5"/>
    <x v="2"/>
    <n v="750000"/>
    <n v="3"/>
    <n v="0"/>
    <n v="2250000"/>
    <n v="0"/>
    <n v="2250000"/>
  </r>
  <r>
    <n v="656"/>
    <x v="450"/>
    <x v="12"/>
    <n v="4"/>
    <n v="96"/>
    <x v="129"/>
    <s v="cliente96@mail.cl"/>
    <x v="1"/>
    <n v="20"/>
    <x v="2"/>
    <x v="2"/>
    <x v="1"/>
    <x v="6"/>
    <x v="1"/>
    <n v="800000"/>
    <n v="3"/>
    <n v="0.05"/>
    <n v="2400000"/>
    <n v="120000"/>
    <n v="2280000"/>
  </r>
  <r>
    <n v="714"/>
    <x v="451"/>
    <x v="26"/>
    <n v="1"/>
    <n v="96"/>
    <x v="129"/>
    <s v="cliente96@mail.cl"/>
    <x v="1"/>
    <n v="20"/>
    <x v="8"/>
    <x v="6"/>
    <x v="0"/>
    <x v="8"/>
    <x v="4"/>
    <n v="35000"/>
    <n v="2"/>
    <n v="0.1"/>
    <n v="70000"/>
    <n v="7000"/>
    <n v="63000"/>
  </r>
  <r>
    <n v="718"/>
    <x v="452"/>
    <x v="68"/>
    <n v="8"/>
    <n v="96"/>
    <x v="129"/>
    <s v="cliente96@mail.cl"/>
    <x v="1"/>
    <n v="20"/>
    <x v="9"/>
    <x v="7"/>
    <x v="0"/>
    <x v="0"/>
    <x v="0"/>
    <n v="12000"/>
    <n v="3"/>
    <n v="0"/>
    <n v="36000"/>
    <n v="0"/>
    <n v="36000"/>
  </r>
  <r>
    <n v="921"/>
    <x v="453"/>
    <x v="2"/>
    <n v="2"/>
    <n v="96"/>
    <x v="129"/>
    <s v="cliente96@mail.cl"/>
    <x v="1"/>
    <n v="20"/>
    <x v="2"/>
    <x v="2"/>
    <x v="1"/>
    <x v="7"/>
    <x v="0"/>
    <n v="25000"/>
    <n v="3"/>
    <n v="0"/>
    <n v="75000"/>
    <n v="0"/>
    <n v="75000"/>
  </r>
  <r>
    <n v="308"/>
    <x v="454"/>
    <x v="4"/>
    <n v="6"/>
    <n v="47"/>
    <x v="130"/>
    <s v="cliente47@mail.cl"/>
    <x v="1"/>
    <n v="32"/>
    <x v="4"/>
    <x v="3"/>
    <x v="1"/>
    <x v="3"/>
    <x v="1"/>
    <n v="700000"/>
    <n v="3"/>
    <n v="0"/>
    <n v="2100000"/>
    <n v="0"/>
    <n v="2100000"/>
  </r>
  <r>
    <n v="450"/>
    <x v="455"/>
    <x v="53"/>
    <n v="4"/>
    <n v="47"/>
    <x v="130"/>
    <s v="cliente47@mail.cl"/>
    <x v="1"/>
    <n v="32"/>
    <x v="1"/>
    <x v="1"/>
    <x v="0"/>
    <x v="9"/>
    <x v="4"/>
    <n v="15000"/>
    <n v="1"/>
    <n v="0"/>
    <n v="15000"/>
    <n v="0"/>
    <n v="15000"/>
  </r>
  <r>
    <n v="749"/>
    <x v="456"/>
    <x v="3"/>
    <n v="0"/>
    <n v="47"/>
    <x v="130"/>
    <s v="cliente47@mail.cl"/>
    <x v="1"/>
    <n v="32"/>
    <x v="3"/>
    <x v="3"/>
    <x v="1"/>
    <x v="9"/>
    <x v="4"/>
    <n v="15000"/>
    <n v="1"/>
    <n v="0"/>
    <n v="15000"/>
    <n v="0"/>
    <n v="15000"/>
  </r>
  <r>
    <n v="13"/>
    <x v="457"/>
    <x v="11"/>
    <n v="0"/>
    <n v="81"/>
    <x v="131"/>
    <s v="cliente81@mail.cl"/>
    <x v="0"/>
    <n v="35"/>
    <x v="8"/>
    <x v="6"/>
    <x v="0"/>
    <x v="3"/>
    <x v="1"/>
    <n v="700000"/>
    <n v="2"/>
    <n v="0.1"/>
    <n v="1400000"/>
    <n v="140000"/>
    <n v="1260000"/>
  </r>
  <r>
    <n v="604"/>
    <x v="458"/>
    <x v="30"/>
    <n v="1"/>
    <n v="81"/>
    <x v="131"/>
    <s v="cliente81@mail.cl"/>
    <x v="0"/>
    <n v="35"/>
    <x v="6"/>
    <x v="4"/>
    <x v="2"/>
    <x v="6"/>
    <x v="1"/>
    <n v="800000"/>
    <n v="1"/>
    <n v="0"/>
    <n v="800000"/>
    <n v="0"/>
    <n v="800000"/>
  </r>
  <r>
    <n v="843"/>
    <x v="459"/>
    <x v="17"/>
    <n v="0"/>
    <n v="81"/>
    <x v="131"/>
    <s v="cliente81@mail.cl"/>
    <x v="0"/>
    <n v="35"/>
    <x v="1"/>
    <x v="1"/>
    <x v="0"/>
    <x v="5"/>
    <x v="2"/>
    <n v="750000"/>
    <n v="3"/>
    <n v="0"/>
    <n v="2250000"/>
    <n v="0"/>
    <n v="2250000"/>
  </r>
  <r>
    <n v="185"/>
    <x v="460"/>
    <x v="65"/>
    <n v="4"/>
    <n v="33"/>
    <x v="132"/>
    <s v="cliente33@mail.cl"/>
    <x v="1"/>
    <n v="37"/>
    <x v="7"/>
    <x v="5"/>
    <x v="1"/>
    <x v="7"/>
    <x v="0"/>
    <n v="25000"/>
    <n v="1"/>
    <n v="0"/>
    <n v="25000"/>
    <n v="0"/>
    <n v="25000"/>
  </r>
  <r>
    <n v="413"/>
    <x v="461"/>
    <x v="9"/>
    <n v="1"/>
    <n v="33"/>
    <x v="132"/>
    <s v="cliente33@mail.cl"/>
    <x v="1"/>
    <n v="37"/>
    <x v="6"/>
    <x v="4"/>
    <x v="1"/>
    <x v="8"/>
    <x v="4"/>
    <n v="35000"/>
    <n v="3"/>
    <n v="0"/>
    <n v="105000"/>
    <n v="0"/>
    <n v="105000"/>
  </r>
  <r>
    <n v="806"/>
    <x v="462"/>
    <x v="67"/>
    <n v="9"/>
    <n v="33"/>
    <x v="132"/>
    <s v="cliente33@mail.cl"/>
    <x v="1"/>
    <n v="37"/>
    <x v="2"/>
    <x v="2"/>
    <x v="0"/>
    <x v="8"/>
    <x v="4"/>
    <n v="35000"/>
    <n v="3"/>
    <n v="0"/>
    <n v="105000"/>
    <n v="0"/>
    <n v="105000"/>
  </r>
  <r>
    <n v="283"/>
    <x v="463"/>
    <x v="33"/>
    <n v="4"/>
    <n v="138"/>
    <x v="133"/>
    <s v="cliente138@mail.cl"/>
    <x v="0"/>
    <n v="34"/>
    <x v="8"/>
    <x v="6"/>
    <x v="0"/>
    <x v="2"/>
    <x v="2"/>
    <n v="450000"/>
    <n v="3"/>
    <n v="0.05"/>
    <n v="1350000"/>
    <n v="67500"/>
    <n v="1282500"/>
  </r>
  <r>
    <n v="302"/>
    <x v="464"/>
    <x v="31"/>
    <n v="3"/>
    <n v="138"/>
    <x v="133"/>
    <s v="cliente138@mail.cl"/>
    <x v="0"/>
    <n v="34"/>
    <x v="5"/>
    <x v="2"/>
    <x v="0"/>
    <x v="3"/>
    <x v="1"/>
    <n v="700000"/>
    <n v="2"/>
    <n v="0.1"/>
    <n v="1400000"/>
    <n v="140000"/>
    <n v="1260000"/>
  </r>
  <r>
    <n v="320"/>
    <x v="465"/>
    <x v="28"/>
    <n v="0"/>
    <n v="138"/>
    <x v="133"/>
    <s v="cliente138@mail.cl"/>
    <x v="0"/>
    <n v="34"/>
    <x v="7"/>
    <x v="5"/>
    <x v="2"/>
    <x v="5"/>
    <x v="2"/>
    <n v="750000"/>
    <n v="3"/>
    <n v="0"/>
    <n v="2250000"/>
    <n v="0"/>
    <n v="2250000"/>
  </r>
  <r>
    <n v="554"/>
    <x v="466"/>
    <x v="40"/>
    <n v="1"/>
    <n v="138"/>
    <x v="133"/>
    <s v="cliente138@mail.cl"/>
    <x v="0"/>
    <n v="34"/>
    <x v="3"/>
    <x v="3"/>
    <x v="1"/>
    <x v="8"/>
    <x v="4"/>
    <n v="35000"/>
    <n v="2"/>
    <n v="0.1"/>
    <n v="70000"/>
    <n v="7000"/>
    <n v="63000"/>
  </r>
  <r>
    <n v="593"/>
    <x v="467"/>
    <x v="67"/>
    <n v="9"/>
    <n v="138"/>
    <x v="133"/>
    <s v="cliente138@mail.cl"/>
    <x v="0"/>
    <n v="34"/>
    <x v="2"/>
    <x v="2"/>
    <x v="1"/>
    <x v="6"/>
    <x v="1"/>
    <n v="800000"/>
    <n v="3"/>
    <n v="0.05"/>
    <n v="2400000"/>
    <n v="120000"/>
    <n v="2280000"/>
  </r>
  <r>
    <n v="597"/>
    <x v="468"/>
    <x v="62"/>
    <n v="0"/>
    <n v="138"/>
    <x v="133"/>
    <s v="cliente138@mail.cl"/>
    <x v="0"/>
    <n v="34"/>
    <x v="9"/>
    <x v="7"/>
    <x v="1"/>
    <x v="6"/>
    <x v="1"/>
    <n v="800000"/>
    <n v="1"/>
    <n v="0"/>
    <n v="800000"/>
    <n v="0"/>
    <n v="800000"/>
  </r>
  <r>
    <n v="770"/>
    <x v="469"/>
    <x v="18"/>
    <n v="1"/>
    <n v="138"/>
    <x v="133"/>
    <s v="cliente138@mail.cl"/>
    <x v="0"/>
    <n v="34"/>
    <x v="3"/>
    <x v="3"/>
    <x v="1"/>
    <x v="9"/>
    <x v="4"/>
    <n v="15000"/>
    <n v="2"/>
    <n v="0.05"/>
    <n v="30000"/>
    <n v="1500"/>
    <n v="28500"/>
  </r>
  <r>
    <n v="355"/>
    <x v="470"/>
    <x v="9"/>
    <n v="1"/>
    <n v="94"/>
    <x v="134"/>
    <s v="cliente94@mail.cl"/>
    <x v="1"/>
    <n v="34"/>
    <x v="6"/>
    <x v="4"/>
    <x v="0"/>
    <x v="2"/>
    <x v="2"/>
    <n v="450000"/>
    <n v="1"/>
    <n v="0"/>
    <n v="450000"/>
    <n v="0"/>
    <n v="450000"/>
  </r>
  <r>
    <n v="492"/>
    <x v="471"/>
    <x v="14"/>
    <n v="9"/>
    <n v="94"/>
    <x v="134"/>
    <s v="cliente94@mail.cl"/>
    <x v="1"/>
    <n v="34"/>
    <x v="8"/>
    <x v="6"/>
    <x v="1"/>
    <x v="9"/>
    <x v="4"/>
    <n v="15000"/>
    <n v="3"/>
    <n v="0"/>
    <n v="45000"/>
    <n v="0"/>
    <n v="45000"/>
  </r>
  <r>
    <n v="572"/>
    <x v="472"/>
    <x v="27"/>
    <n v="4"/>
    <n v="94"/>
    <x v="134"/>
    <s v="cliente94@mail.cl"/>
    <x v="1"/>
    <n v="34"/>
    <x v="1"/>
    <x v="1"/>
    <x v="2"/>
    <x v="4"/>
    <x v="3"/>
    <n v="55000"/>
    <n v="3"/>
    <n v="0"/>
    <n v="165000"/>
    <n v="0"/>
    <n v="165000"/>
  </r>
  <r>
    <n v="804"/>
    <x v="473"/>
    <x v="12"/>
    <n v="4"/>
    <n v="94"/>
    <x v="134"/>
    <s v="cliente94@mail.cl"/>
    <x v="1"/>
    <n v="34"/>
    <x v="2"/>
    <x v="2"/>
    <x v="0"/>
    <x v="8"/>
    <x v="4"/>
    <n v="35000"/>
    <n v="1"/>
    <n v="0.05"/>
    <n v="35000"/>
    <n v="1750"/>
    <n v="33250"/>
  </r>
  <r>
    <n v="961"/>
    <x v="474"/>
    <x v="45"/>
    <n v="1"/>
    <n v="94"/>
    <x v="134"/>
    <s v="cliente94@mail.cl"/>
    <x v="1"/>
    <n v="34"/>
    <x v="4"/>
    <x v="3"/>
    <x v="0"/>
    <x v="1"/>
    <x v="1"/>
    <n v="650000"/>
    <n v="2"/>
    <n v="0.05"/>
    <n v="1300000"/>
    <n v="65000"/>
    <n v="1235000"/>
  </r>
  <r>
    <n v="978"/>
    <x v="475"/>
    <x v="2"/>
    <n v="2"/>
    <n v="94"/>
    <x v="134"/>
    <s v="cliente94@mail.cl"/>
    <x v="1"/>
    <n v="34"/>
    <x v="2"/>
    <x v="2"/>
    <x v="1"/>
    <x v="1"/>
    <x v="1"/>
    <n v="650000"/>
    <n v="1"/>
    <n v="0.1"/>
    <n v="650000"/>
    <n v="65000"/>
    <n v="585000"/>
  </r>
  <r>
    <n v="541"/>
    <x v="476"/>
    <x v="16"/>
    <n v="7"/>
    <n v="29"/>
    <x v="135"/>
    <s v="cliente29@mail.cl"/>
    <x v="1"/>
    <n v="30"/>
    <x v="4"/>
    <x v="3"/>
    <x v="1"/>
    <x v="7"/>
    <x v="0"/>
    <n v="25000"/>
    <n v="1"/>
    <n v="0"/>
    <n v="25000"/>
    <n v="0"/>
    <n v="25000"/>
  </r>
  <r>
    <n v="650"/>
    <x v="477"/>
    <x v="9"/>
    <n v="1"/>
    <n v="29"/>
    <x v="135"/>
    <s v="cliente29@mail.cl"/>
    <x v="1"/>
    <n v="30"/>
    <x v="6"/>
    <x v="4"/>
    <x v="2"/>
    <x v="8"/>
    <x v="4"/>
    <n v="35000"/>
    <n v="3"/>
    <n v="0"/>
    <n v="105000"/>
    <n v="0"/>
    <n v="105000"/>
  </r>
  <r>
    <n v="12"/>
    <x v="478"/>
    <x v="62"/>
    <n v="0"/>
    <n v="50"/>
    <x v="136"/>
    <s v="cliente50@mail.cl"/>
    <x v="1"/>
    <n v="18"/>
    <x v="9"/>
    <x v="7"/>
    <x v="0"/>
    <x v="5"/>
    <x v="2"/>
    <n v="750000"/>
    <n v="3"/>
    <n v="0.1"/>
    <n v="2250000"/>
    <n v="225000"/>
    <n v="2025000"/>
  </r>
  <r>
    <n v="37"/>
    <x v="479"/>
    <x v="66"/>
    <n v="0"/>
    <n v="50"/>
    <x v="136"/>
    <s v="cliente50@mail.cl"/>
    <x v="1"/>
    <n v="18"/>
    <x v="9"/>
    <x v="7"/>
    <x v="2"/>
    <x v="6"/>
    <x v="1"/>
    <n v="800000"/>
    <n v="1"/>
    <n v="0"/>
    <n v="800000"/>
    <n v="0"/>
    <n v="800000"/>
  </r>
  <r>
    <n v="221"/>
    <x v="480"/>
    <x v="58"/>
    <n v="13"/>
    <n v="50"/>
    <x v="136"/>
    <s v="cliente50@mail.cl"/>
    <x v="1"/>
    <n v="18"/>
    <x v="1"/>
    <x v="1"/>
    <x v="0"/>
    <x v="7"/>
    <x v="0"/>
    <n v="25000"/>
    <n v="1"/>
    <n v="0"/>
    <n v="25000"/>
    <n v="0"/>
    <n v="25000"/>
  </r>
  <r>
    <n v="588"/>
    <x v="481"/>
    <x v="67"/>
    <n v="9"/>
    <n v="50"/>
    <x v="136"/>
    <s v="cliente50@mail.cl"/>
    <x v="1"/>
    <n v="18"/>
    <x v="2"/>
    <x v="2"/>
    <x v="1"/>
    <x v="3"/>
    <x v="1"/>
    <n v="700000"/>
    <n v="1"/>
    <n v="0.05"/>
    <n v="700000"/>
    <n v="35000"/>
    <n v="665000"/>
  </r>
  <r>
    <n v="967"/>
    <x v="482"/>
    <x v="39"/>
    <n v="1"/>
    <n v="50"/>
    <x v="136"/>
    <s v="cliente50@mail.cl"/>
    <x v="1"/>
    <n v="18"/>
    <x v="8"/>
    <x v="6"/>
    <x v="0"/>
    <x v="6"/>
    <x v="1"/>
    <n v="800000"/>
    <n v="2"/>
    <n v="0"/>
    <n v="1600000"/>
    <n v="0"/>
    <n v="1600000"/>
  </r>
  <r>
    <n v="972"/>
    <x v="483"/>
    <x v="41"/>
    <n v="0"/>
    <n v="50"/>
    <x v="136"/>
    <s v="cliente50@mail.cl"/>
    <x v="1"/>
    <n v="18"/>
    <x v="2"/>
    <x v="2"/>
    <x v="1"/>
    <x v="0"/>
    <x v="0"/>
    <n v="12000"/>
    <n v="3"/>
    <n v="0.1"/>
    <n v="36000"/>
    <n v="3600"/>
    <n v="32400"/>
  </r>
  <r>
    <n v="972"/>
    <x v="483"/>
    <x v="41"/>
    <n v="0"/>
    <n v="50"/>
    <x v="136"/>
    <s v="cliente50@mail.cl"/>
    <x v="1"/>
    <n v="18"/>
    <x v="2"/>
    <x v="2"/>
    <x v="1"/>
    <x v="0"/>
    <x v="0"/>
    <n v="12000"/>
    <n v="3"/>
    <n v="0.1"/>
    <n v="36000"/>
    <n v="3600"/>
    <n v="32400"/>
  </r>
  <r>
    <n v="25"/>
    <x v="484"/>
    <x v="6"/>
    <n v="0"/>
    <n v="132"/>
    <x v="137"/>
    <s v="cliente132@mail.cl"/>
    <x v="0"/>
    <n v="38"/>
    <x v="2"/>
    <x v="2"/>
    <x v="2"/>
    <x v="7"/>
    <x v="0"/>
    <n v="25000"/>
    <n v="3"/>
    <n v="0"/>
    <n v="75000"/>
    <n v="0"/>
    <n v="75000"/>
  </r>
  <r>
    <n v="53"/>
    <x v="485"/>
    <x v="23"/>
    <n v="1"/>
    <n v="132"/>
    <x v="137"/>
    <s v="cliente132@mail.cl"/>
    <x v="0"/>
    <n v="38"/>
    <x v="2"/>
    <x v="2"/>
    <x v="1"/>
    <x v="5"/>
    <x v="2"/>
    <n v="750000"/>
    <n v="1"/>
    <n v="0"/>
    <n v="750000"/>
    <n v="0"/>
    <n v="750000"/>
  </r>
  <r>
    <n v="252"/>
    <x v="486"/>
    <x v="62"/>
    <n v="0"/>
    <n v="132"/>
    <x v="137"/>
    <s v="cliente132@mail.cl"/>
    <x v="0"/>
    <n v="38"/>
    <x v="9"/>
    <x v="7"/>
    <x v="1"/>
    <x v="8"/>
    <x v="4"/>
    <n v="35000"/>
    <n v="2"/>
    <n v="0.05"/>
    <n v="70000"/>
    <n v="3500"/>
    <n v="66500"/>
  </r>
  <r>
    <n v="279"/>
    <x v="487"/>
    <x v="46"/>
    <n v="0"/>
    <n v="132"/>
    <x v="137"/>
    <s v="cliente132@mail.cl"/>
    <x v="0"/>
    <n v="38"/>
    <x v="4"/>
    <x v="3"/>
    <x v="1"/>
    <x v="3"/>
    <x v="1"/>
    <n v="700000"/>
    <n v="3"/>
    <n v="0"/>
    <n v="2100000"/>
    <n v="0"/>
    <n v="2100000"/>
  </r>
  <r>
    <n v="346"/>
    <x v="488"/>
    <x v="28"/>
    <n v="0"/>
    <n v="132"/>
    <x v="137"/>
    <s v="cliente132@mail.cl"/>
    <x v="0"/>
    <n v="38"/>
    <x v="7"/>
    <x v="5"/>
    <x v="1"/>
    <x v="8"/>
    <x v="4"/>
    <n v="35000"/>
    <n v="1"/>
    <n v="0.05"/>
    <n v="35000"/>
    <n v="1750"/>
    <n v="33250"/>
  </r>
  <r>
    <n v="408"/>
    <x v="489"/>
    <x v="68"/>
    <n v="8"/>
    <n v="132"/>
    <x v="137"/>
    <s v="cliente132@mail.cl"/>
    <x v="0"/>
    <n v="38"/>
    <x v="9"/>
    <x v="7"/>
    <x v="0"/>
    <x v="5"/>
    <x v="2"/>
    <n v="750000"/>
    <n v="1"/>
    <n v="0.05"/>
    <n v="750000"/>
    <n v="37500"/>
    <n v="712500"/>
  </r>
  <r>
    <n v="426"/>
    <x v="490"/>
    <x v="40"/>
    <n v="1"/>
    <n v="132"/>
    <x v="137"/>
    <s v="cliente132@mail.cl"/>
    <x v="0"/>
    <n v="38"/>
    <x v="3"/>
    <x v="3"/>
    <x v="1"/>
    <x v="8"/>
    <x v="4"/>
    <n v="35000"/>
    <n v="1"/>
    <n v="0"/>
    <n v="35000"/>
    <n v="0"/>
    <n v="35000"/>
  </r>
  <r>
    <n v="520"/>
    <x v="491"/>
    <x v="65"/>
    <n v="4"/>
    <n v="132"/>
    <x v="137"/>
    <s v="cliente132@mail.cl"/>
    <x v="0"/>
    <n v="38"/>
    <x v="7"/>
    <x v="5"/>
    <x v="0"/>
    <x v="7"/>
    <x v="0"/>
    <n v="25000"/>
    <n v="2"/>
    <n v="0.1"/>
    <n v="50000"/>
    <n v="5000"/>
    <n v="45000"/>
  </r>
  <r>
    <n v="346"/>
    <x v="488"/>
    <x v="28"/>
    <n v="0"/>
    <n v="132"/>
    <x v="137"/>
    <s v="cliente132@mail.cl"/>
    <x v="0"/>
    <n v="38"/>
    <x v="7"/>
    <x v="5"/>
    <x v="1"/>
    <x v="8"/>
    <x v="4"/>
    <n v="35000"/>
    <n v="1"/>
    <n v="0.05"/>
    <n v="35000"/>
    <n v="1750"/>
    <n v="33250"/>
  </r>
  <r>
    <n v="574"/>
    <x v="492"/>
    <x v="23"/>
    <n v="1"/>
    <n v="194"/>
    <x v="138"/>
    <s v="cliente194@mail.cl"/>
    <x v="0"/>
    <n v="23"/>
    <x v="2"/>
    <x v="2"/>
    <x v="0"/>
    <x v="8"/>
    <x v="4"/>
    <n v="35000"/>
    <n v="1"/>
    <n v="0"/>
    <n v="35000"/>
    <n v="0"/>
    <n v="35000"/>
  </r>
  <r>
    <n v="236"/>
    <x v="493"/>
    <x v="17"/>
    <n v="0"/>
    <n v="259"/>
    <x v="139"/>
    <s v="cliente259@mail.cl"/>
    <x v="0"/>
    <n v="43"/>
    <x v="1"/>
    <x v="1"/>
    <x v="1"/>
    <x v="8"/>
    <x v="4"/>
    <n v="35000"/>
    <n v="3"/>
    <n v="0"/>
    <n v="105000"/>
    <n v="0"/>
    <n v="105000"/>
  </r>
  <r>
    <n v="328"/>
    <x v="494"/>
    <x v="29"/>
    <n v="2"/>
    <n v="259"/>
    <x v="139"/>
    <s v="cliente259@mail.cl"/>
    <x v="0"/>
    <n v="43"/>
    <x v="1"/>
    <x v="1"/>
    <x v="1"/>
    <x v="6"/>
    <x v="1"/>
    <n v="800000"/>
    <n v="2"/>
    <n v="0"/>
    <n v="1600000"/>
    <n v="0"/>
    <n v="1600000"/>
  </r>
  <r>
    <n v="468"/>
    <x v="495"/>
    <x v="7"/>
    <n v="3"/>
    <n v="259"/>
    <x v="139"/>
    <s v="cliente259@mail.cl"/>
    <x v="0"/>
    <n v="43"/>
    <x v="5"/>
    <x v="2"/>
    <x v="1"/>
    <x v="5"/>
    <x v="2"/>
    <n v="750000"/>
    <n v="2"/>
    <n v="0"/>
    <n v="1500000"/>
    <n v="0"/>
    <n v="1500000"/>
  </r>
  <r>
    <n v="794"/>
    <x v="496"/>
    <x v="2"/>
    <n v="2"/>
    <n v="259"/>
    <x v="139"/>
    <s v="cliente259@mail.cl"/>
    <x v="0"/>
    <n v="43"/>
    <x v="2"/>
    <x v="2"/>
    <x v="1"/>
    <x v="7"/>
    <x v="0"/>
    <n v="25000"/>
    <n v="3"/>
    <n v="0.05"/>
    <n v="75000"/>
    <n v="3750"/>
    <n v="71250"/>
  </r>
  <r>
    <n v="76"/>
    <x v="497"/>
    <x v="69"/>
    <n v="1"/>
    <n v="137"/>
    <x v="140"/>
    <s v="cliente137@mail.cl"/>
    <x v="1"/>
    <n v="28"/>
    <x v="4"/>
    <x v="3"/>
    <x v="2"/>
    <x v="1"/>
    <x v="1"/>
    <n v="650000"/>
    <n v="3"/>
    <n v="0"/>
    <n v="1950000"/>
    <n v="0"/>
    <n v="1950000"/>
  </r>
  <r>
    <n v="393"/>
    <x v="498"/>
    <x v="41"/>
    <n v="0"/>
    <n v="137"/>
    <x v="140"/>
    <s v="cliente137@mail.cl"/>
    <x v="1"/>
    <n v="28"/>
    <x v="2"/>
    <x v="2"/>
    <x v="0"/>
    <x v="5"/>
    <x v="2"/>
    <n v="750000"/>
    <n v="3"/>
    <n v="0.1"/>
    <n v="2250000"/>
    <n v="225000"/>
    <n v="2025000"/>
  </r>
  <r>
    <n v="786"/>
    <x v="499"/>
    <x v="63"/>
    <n v="6"/>
    <n v="137"/>
    <x v="140"/>
    <s v="cliente137@mail.cl"/>
    <x v="1"/>
    <n v="28"/>
    <x v="1"/>
    <x v="1"/>
    <x v="1"/>
    <x v="1"/>
    <x v="1"/>
    <n v="650000"/>
    <n v="2"/>
    <n v="0.1"/>
    <n v="1300000"/>
    <n v="130000"/>
    <n v="1170000"/>
  </r>
  <r>
    <n v="924"/>
    <x v="500"/>
    <x v="58"/>
    <n v="13"/>
    <n v="137"/>
    <x v="140"/>
    <s v="cliente137@mail.cl"/>
    <x v="1"/>
    <n v="28"/>
    <x v="1"/>
    <x v="1"/>
    <x v="2"/>
    <x v="9"/>
    <x v="4"/>
    <n v="15000"/>
    <n v="1"/>
    <n v="0.1"/>
    <n v="15000"/>
    <n v="1500"/>
    <n v="13500"/>
  </r>
  <r>
    <n v="16"/>
    <x v="501"/>
    <x v="57"/>
    <n v="1"/>
    <n v="269"/>
    <x v="141"/>
    <s v="cliente269@mail.cl"/>
    <x v="0"/>
    <n v="32"/>
    <x v="2"/>
    <x v="2"/>
    <x v="0"/>
    <x v="2"/>
    <x v="2"/>
    <n v="450000"/>
    <n v="3"/>
    <n v="0"/>
    <n v="1350000"/>
    <n v="0"/>
    <n v="1350000"/>
  </r>
  <r>
    <n v="171"/>
    <x v="502"/>
    <x v="25"/>
    <n v="1"/>
    <n v="269"/>
    <x v="141"/>
    <s v="cliente269@mail.cl"/>
    <x v="0"/>
    <n v="32"/>
    <x v="2"/>
    <x v="2"/>
    <x v="1"/>
    <x v="2"/>
    <x v="2"/>
    <n v="450000"/>
    <n v="3"/>
    <n v="0.05"/>
    <n v="1350000"/>
    <n v="67500"/>
    <n v="1282500"/>
  </r>
  <r>
    <n v="241"/>
    <x v="503"/>
    <x v="0"/>
    <n v="5"/>
    <n v="269"/>
    <x v="141"/>
    <s v="cliente269@mail.cl"/>
    <x v="0"/>
    <n v="32"/>
    <x v="0"/>
    <x v="0"/>
    <x v="0"/>
    <x v="3"/>
    <x v="1"/>
    <n v="700000"/>
    <n v="2"/>
    <n v="0.05"/>
    <n v="1400000"/>
    <n v="70000"/>
    <n v="1330000"/>
  </r>
  <r>
    <n v="272"/>
    <x v="504"/>
    <x v="22"/>
    <n v="5"/>
    <n v="269"/>
    <x v="141"/>
    <s v="cliente269@mail.cl"/>
    <x v="0"/>
    <n v="32"/>
    <x v="3"/>
    <x v="3"/>
    <x v="0"/>
    <x v="6"/>
    <x v="1"/>
    <n v="800000"/>
    <n v="1"/>
    <n v="0"/>
    <n v="800000"/>
    <n v="0"/>
    <n v="800000"/>
  </r>
  <r>
    <n v="274"/>
    <x v="505"/>
    <x v="56"/>
    <n v="1"/>
    <n v="269"/>
    <x v="141"/>
    <s v="cliente269@mail.cl"/>
    <x v="0"/>
    <n v="32"/>
    <x v="5"/>
    <x v="2"/>
    <x v="1"/>
    <x v="5"/>
    <x v="2"/>
    <n v="750000"/>
    <n v="2"/>
    <n v="0"/>
    <n v="1500000"/>
    <n v="0"/>
    <n v="1500000"/>
  </r>
  <r>
    <n v="556"/>
    <x v="506"/>
    <x v="52"/>
    <n v="1"/>
    <n v="269"/>
    <x v="141"/>
    <s v="cliente269@mail.cl"/>
    <x v="0"/>
    <n v="32"/>
    <x v="6"/>
    <x v="4"/>
    <x v="1"/>
    <x v="4"/>
    <x v="3"/>
    <n v="55000"/>
    <n v="2"/>
    <n v="0"/>
    <n v="110000"/>
    <n v="0"/>
    <n v="110000"/>
  </r>
  <r>
    <n v="439"/>
    <x v="507"/>
    <x v="16"/>
    <n v="7"/>
    <n v="173"/>
    <x v="142"/>
    <s v="cliente173@mail.cl"/>
    <x v="1"/>
    <n v="37"/>
    <x v="4"/>
    <x v="3"/>
    <x v="2"/>
    <x v="2"/>
    <x v="2"/>
    <n v="450000"/>
    <n v="3"/>
    <n v="0.05"/>
    <n v="1350000"/>
    <n v="67500"/>
    <n v="1282500"/>
  </r>
  <r>
    <n v="501"/>
    <x v="508"/>
    <x v="17"/>
    <n v="0"/>
    <n v="173"/>
    <x v="142"/>
    <s v="cliente173@mail.cl"/>
    <x v="1"/>
    <n v="37"/>
    <x v="1"/>
    <x v="1"/>
    <x v="1"/>
    <x v="0"/>
    <x v="0"/>
    <n v="12000"/>
    <n v="1"/>
    <n v="0.05"/>
    <n v="12000"/>
    <n v="600"/>
    <n v="11400"/>
  </r>
  <r>
    <n v="506"/>
    <x v="509"/>
    <x v="20"/>
    <n v="6"/>
    <n v="173"/>
    <x v="142"/>
    <s v="cliente173@mail.cl"/>
    <x v="1"/>
    <n v="37"/>
    <x v="2"/>
    <x v="2"/>
    <x v="0"/>
    <x v="8"/>
    <x v="4"/>
    <n v="35000"/>
    <n v="1"/>
    <n v="0.05"/>
    <n v="35000"/>
    <n v="1750"/>
    <n v="33250"/>
  </r>
  <r>
    <n v="204"/>
    <x v="510"/>
    <x v="25"/>
    <n v="1"/>
    <n v="36"/>
    <x v="143"/>
    <s v="cliente36@mail.cl"/>
    <x v="0"/>
    <n v="23"/>
    <x v="2"/>
    <x v="2"/>
    <x v="0"/>
    <x v="2"/>
    <x v="2"/>
    <n v="450000"/>
    <n v="1"/>
    <n v="0"/>
    <n v="450000"/>
    <n v="0"/>
    <n v="450000"/>
  </r>
  <r>
    <n v="347"/>
    <x v="511"/>
    <x v="68"/>
    <n v="8"/>
    <n v="36"/>
    <x v="143"/>
    <s v="cliente36@mail.cl"/>
    <x v="0"/>
    <n v="23"/>
    <x v="9"/>
    <x v="7"/>
    <x v="0"/>
    <x v="3"/>
    <x v="1"/>
    <n v="700000"/>
    <n v="2"/>
    <n v="0.05"/>
    <n v="1400000"/>
    <n v="70000"/>
    <n v="1330000"/>
  </r>
  <r>
    <n v="454"/>
    <x v="512"/>
    <x v="28"/>
    <n v="0"/>
    <n v="36"/>
    <x v="143"/>
    <s v="cliente36@mail.cl"/>
    <x v="0"/>
    <n v="23"/>
    <x v="7"/>
    <x v="5"/>
    <x v="0"/>
    <x v="0"/>
    <x v="0"/>
    <n v="12000"/>
    <n v="3"/>
    <n v="0.1"/>
    <n v="36000"/>
    <n v="3600"/>
    <n v="32400"/>
  </r>
  <r>
    <n v="716"/>
    <x v="513"/>
    <x v="26"/>
    <n v="1"/>
    <n v="36"/>
    <x v="143"/>
    <s v="cliente36@mail.cl"/>
    <x v="0"/>
    <n v="23"/>
    <x v="8"/>
    <x v="6"/>
    <x v="0"/>
    <x v="1"/>
    <x v="1"/>
    <n v="650000"/>
    <n v="1"/>
    <n v="0.1"/>
    <n v="650000"/>
    <n v="65000"/>
    <n v="585000"/>
  </r>
  <r>
    <n v="732"/>
    <x v="514"/>
    <x v="53"/>
    <n v="4"/>
    <n v="36"/>
    <x v="143"/>
    <s v="cliente36@mail.cl"/>
    <x v="0"/>
    <n v="23"/>
    <x v="1"/>
    <x v="1"/>
    <x v="2"/>
    <x v="0"/>
    <x v="0"/>
    <n v="12000"/>
    <n v="2"/>
    <n v="0"/>
    <n v="24000"/>
    <n v="0"/>
    <n v="24000"/>
  </r>
  <r>
    <n v="788"/>
    <x v="515"/>
    <x v="59"/>
    <n v="0"/>
    <n v="36"/>
    <x v="143"/>
    <s v="cliente36@mail.cl"/>
    <x v="0"/>
    <n v="23"/>
    <x v="2"/>
    <x v="2"/>
    <x v="0"/>
    <x v="6"/>
    <x v="1"/>
    <n v="800000"/>
    <n v="1"/>
    <n v="0.05"/>
    <n v="800000"/>
    <n v="40000"/>
    <n v="760000"/>
  </r>
  <r>
    <n v="841"/>
    <x v="516"/>
    <x v="65"/>
    <n v="4"/>
    <n v="36"/>
    <x v="143"/>
    <s v="cliente36@mail.cl"/>
    <x v="0"/>
    <n v="23"/>
    <x v="7"/>
    <x v="5"/>
    <x v="1"/>
    <x v="0"/>
    <x v="0"/>
    <n v="12000"/>
    <n v="3"/>
    <n v="0.1"/>
    <n v="36000"/>
    <n v="3600"/>
    <n v="32400"/>
  </r>
  <r>
    <n v="998"/>
    <x v="517"/>
    <x v="10"/>
    <n v="0"/>
    <n v="36"/>
    <x v="143"/>
    <s v="cliente36@mail.cl"/>
    <x v="0"/>
    <n v="23"/>
    <x v="7"/>
    <x v="5"/>
    <x v="0"/>
    <x v="4"/>
    <x v="3"/>
    <n v="55000"/>
    <n v="1"/>
    <n v="0"/>
    <n v="55000"/>
    <n v="0"/>
    <n v="55000"/>
  </r>
  <r>
    <n v="35"/>
    <x v="518"/>
    <x v="43"/>
    <n v="5"/>
    <n v="246"/>
    <x v="144"/>
    <s v="cliente246@mail.cl"/>
    <x v="1"/>
    <n v="33"/>
    <x v="7"/>
    <x v="5"/>
    <x v="0"/>
    <x v="3"/>
    <x v="1"/>
    <n v="700000"/>
    <n v="2"/>
    <n v="0"/>
    <n v="1400000"/>
    <n v="0"/>
    <n v="1400000"/>
  </r>
  <r>
    <n v="772"/>
    <x v="519"/>
    <x v="17"/>
    <n v="0"/>
    <n v="246"/>
    <x v="144"/>
    <s v="cliente246@mail.cl"/>
    <x v="1"/>
    <n v="33"/>
    <x v="1"/>
    <x v="1"/>
    <x v="0"/>
    <x v="1"/>
    <x v="1"/>
    <n v="650000"/>
    <n v="1"/>
    <n v="0.05"/>
    <n v="650000"/>
    <n v="32500"/>
    <n v="617500"/>
  </r>
  <r>
    <n v="51"/>
    <x v="520"/>
    <x v="66"/>
    <n v="0"/>
    <n v="221"/>
    <x v="145"/>
    <s v="cliente221@mail.cl"/>
    <x v="0"/>
    <n v="65"/>
    <x v="9"/>
    <x v="7"/>
    <x v="0"/>
    <x v="8"/>
    <x v="4"/>
    <n v="35000"/>
    <n v="3"/>
    <n v="0.05"/>
    <n v="105000"/>
    <n v="5250"/>
    <n v="99750"/>
  </r>
  <r>
    <n v="81"/>
    <x v="521"/>
    <x v="64"/>
    <n v="0"/>
    <n v="221"/>
    <x v="145"/>
    <s v="cliente221@mail.cl"/>
    <x v="0"/>
    <n v="65"/>
    <x v="5"/>
    <x v="2"/>
    <x v="2"/>
    <x v="4"/>
    <x v="3"/>
    <n v="55000"/>
    <n v="3"/>
    <n v="0"/>
    <n v="165000"/>
    <n v="0"/>
    <n v="165000"/>
  </r>
  <r>
    <n v="434"/>
    <x v="522"/>
    <x v="31"/>
    <n v="3"/>
    <n v="221"/>
    <x v="145"/>
    <s v="cliente221@mail.cl"/>
    <x v="0"/>
    <n v="65"/>
    <x v="5"/>
    <x v="2"/>
    <x v="0"/>
    <x v="4"/>
    <x v="3"/>
    <n v="55000"/>
    <n v="1"/>
    <n v="0.05"/>
    <n v="55000"/>
    <n v="2750"/>
    <n v="52250"/>
  </r>
  <r>
    <n v="462"/>
    <x v="523"/>
    <x v="25"/>
    <n v="1"/>
    <n v="221"/>
    <x v="145"/>
    <s v="cliente221@mail.cl"/>
    <x v="0"/>
    <n v="65"/>
    <x v="2"/>
    <x v="2"/>
    <x v="1"/>
    <x v="2"/>
    <x v="2"/>
    <n v="450000"/>
    <n v="1"/>
    <n v="0"/>
    <n v="450000"/>
    <n v="0"/>
    <n v="450000"/>
  </r>
  <r>
    <n v="561"/>
    <x v="524"/>
    <x v="36"/>
    <n v="2"/>
    <n v="221"/>
    <x v="145"/>
    <s v="cliente221@mail.cl"/>
    <x v="0"/>
    <n v="65"/>
    <x v="5"/>
    <x v="2"/>
    <x v="2"/>
    <x v="2"/>
    <x v="2"/>
    <n v="450000"/>
    <n v="1"/>
    <n v="0.05"/>
    <n v="450000"/>
    <n v="22500"/>
    <n v="427500"/>
  </r>
  <r>
    <n v="769"/>
    <x v="525"/>
    <x v="10"/>
    <n v="0"/>
    <n v="221"/>
    <x v="145"/>
    <s v="cliente221@mail.cl"/>
    <x v="0"/>
    <n v="65"/>
    <x v="7"/>
    <x v="5"/>
    <x v="0"/>
    <x v="0"/>
    <x v="0"/>
    <n v="12000"/>
    <n v="1"/>
    <n v="0"/>
    <n v="12000"/>
    <n v="0"/>
    <n v="12000"/>
  </r>
  <r>
    <n v="779"/>
    <x v="526"/>
    <x v="40"/>
    <n v="1"/>
    <n v="221"/>
    <x v="145"/>
    <s v="cliente221@mail.cl"/>
    <x v="0"/>
    <n v="65"/>
    <x v="3"/>
    <x v="3"/>
    <x v="1"/>
    <x v="1"/>
    <x v="1"/>
    <n v="650000"/>
    <n v="1"/>
    <n v="0.05"/>
    <n v="650000"/>
    <n v="32500"/>
    <n v="617500"/>
  </r>
  <r>
    <n v="846"/>
    <x v="527"/>
    <x v="31"/>
    <n v="3"/>
    <n v="221"/>
    <x v="145"/>
    <s v="cliente221@mail.cl"/>
    <x v="0"/>
    <n v="65"/>
    <x v="5"/>
    <x v="2"/>
    <x v="1"/>
    <x v="7"/>
    <x v="0"/>
    <n v="25000"/>
    <n v="3"/>
    <n v="0"/>
    <n v="75000"/>
    <n v="0"/>
    <n v="75000"/>
  </r>
  <r>
    <n v="447"/>
    <x v="528"/>
    <x v="24"/>
    <n v="4"/>
    <n v="115"/>
    <x v="146"/>
    <s v="cliente115@mail.cl"/>
    <x v="0"/>
    <n v="35"/>
    <x v="3"/>
    <x v="3"/>
    <x v="0"/>
    <x v="0"/>
    <x v="0"/>
    <n v="12000"/>
    <n v="1"/>
    <n v="0.05"/>
    <n v="12000"/>
    <n v="600"/>
    <n v="11400"/>
  </r>
  <r>
    <n v="605"/>
    <x v="529"/>
    <x v="41"/>
    <n v="0"/>
    <n v="115"/>
    <x v="146"/>
    <s v="cliente115@mail.cl"/>
    <x v="0"/>
    <n v="35"/>
    <x v="2"/>
    <x v="2"/>
    <x v="0"/>
    <x v="7"/>
    <x v="0"/>
    <n v="25000"/>
    <n v="3"/>
    <n v="0.1"/>
    <n v="75000"/>
    <n v="7500"/>
    <n v="67500"/>
  </r>
  <r>
    <n v="622"/>
    <x v="530"/>
    <x v="37"/>
    <n v="3"/>
    <n v="115"/>
    <x v="146"/>
    <s v="cliente115@mail.cl"/>
    <x v="0"/>
    <n v="35"/>
    <x v="5"/>
    <x v="2"/>
    <x v="1"/>
    <x v="6"/>
    <x v="1"/>
    <n v="800000"/>
    <n v="1"/>
    <n v="0.05"/>
    <n v="800000"/>
    <n v="40000"/>
    <n v="760000"/>
  </r>
  <r>
    <n v="934"/>
    <x v="531"/>
    <x v="55"/>
    <n v="2"/>
    <n v="115"/>
    <x v="146"/>
    <s v="cliente115@mail.cl"/>
    <x v="0"/>
    <n v="35"/>
    <x v="9"/>
    <x v="7"/>
    <x v="1"/>
    <x v="8"/>
    <x v="4"/>
    <n v="35000"/>
    <n v="2"/>
    <n v="0"/>
    <n v="70000"/>
    <n v="0"/>
    <n v="70000"/>
  </r>
  <r>
    <n v="447"/>
    <x v="528"/>
    <x v="24"/>
    <n v="4"/>
    <n v="115"/>
    <x v="146"/>
    <s v="cliente115@mail.cl"/>
    <x v="0"/>
    <n v="35"/>
    <x v="3"/>
    <x v="3"/>
    <x v="0"/>
    <x v="0"/>
    <x v="0"/>
    <n v="12000"/>
    <n v="1"/>
    <n v="0.05"/>
    <n v="12000"/>
    <n v="600"/>
    <n v="11400"/>
  </r>
  <r>
    <n v="987"/>
    <x v="532"/>
    <x v="52"/>
    <n v="1"/>
    <n v="48"/>
    <x v="147"/>
    <s v="cliente48@mail.cl"/>
    <x v="0"/>
    <n v="50"/>
    <x v="6"/>
    <x v="4"/>
    <x v="1"/>
    <x v="6"/>
    <x v="1"/>
    <n v="800000"/>
    <n v="2"/>
    <n v="0.1"/>
    <n v="1600000"/>
    <n v="160000"/>
    <n v="1440000"/>
  </r>
  <r>
    <n v="165"/>
    <x v="533"/>
    <x v="4"/>
    <n v="6"/>
    <n v="71"/>
    <x v="148"/>
    <s v="cliente71@mail.cl"/>
    <x v="0"/>
    <n v="42"/>
    <x v="4"/>
    <x v="3"/>
    <x v="1"/>
    <x v="0"/>
    <x v="0"/>
    <n v="12000"/>
    <n v="3"/>
    <n v="0.1"/>
    <n v="36000"/>
    <n v="3600"/>
    <n v="32400"/>
  </r>
  <r>
    <n v="412"/>
    <x v="534"/>
    <x v="39"/>
    <n v="1"/>
    <n v="71"/>
    <x v="148"/>
    <s v="cliente71@mail.cl"/>
    <x v="0"/>
    <n v="42"/>
    <x v="8"/>
    <x v="6"/>
    <x v="1"/>
    <x v="1"/>
    <x v="1"/>
    <n v="650000"/>
    <n v="1"/>
    <n v="0.1"/>
    <n v="650000"/>
    <n v="65000"/>
    <n v="585000"/>
  </r>
  <r>
    <n v="483"/>
    <x v="535"/>
    <x v="8"/>
    <n v="8"/>
    <n v="71"/>
    <x v="148"/>
    <s v="cliente71@mail.cl"/>
    <x v="0"/>
    <n v="42"/>
    <x v="4"/>
    <x v="3"/>
    <x v="1"/>
    <x v="9"/>
    <x v="4"/>
    <n v="15000"/>
    <n v="3"/>
    <n v="0.05"/>
    <n v="45000"/>
    <n v="2250"/>
    <n v="42750"/>
  </r>
  <r>
    <n v="627"/>
    <x v="536"/>
    <x v="17"/>
    <n v="0"/>
    <n v="71"/>
    <x v="148"/>
    <s v="cliente71@mail.cl"/>
    <x v="0"/>
    <n v="42"/>
    <x v="1"/>
    <x v="1"/>
    <x v="2"/>
    <x v="1"/>
    <x v="1"/>
    <n v="650000"/>
    <n v="1"/>
    <n v="0"/>
    <n v="650000"/>
    <n v="0"/>
    <n v="650000"/>
  </r>
  <r>
    <n v="633"/>
    <x v="537"/>
    <x v="53"/>
    <n v="4"/>
    <n v="71"/>
    <x v="148"/>
    <s v="cliente71@mail.cl"/>
    <x v="0"/>
    <n v="42"/>
    <x v="1"/>
    <x v="1"/>
    <x v="0"/>
    <x v="0"/>
    <x v="0"/>
    <n v="12000"/>
    <n v="3"/>
    <n v="0.1"/>
    <n v="36000"/>
    <n v="3600"/>
    <n v="32400"/>
  </r>
  <r>
    <n v="723"/>
    <x v="538"/>
    <x v="49"/>
    <n v="9"/>
    <n v="71"/>
    <x v="148"/>
    <s v="cliente71@mail.cl"/>
    <x v="0"/>
    <n v="42"/>
    <x v="4"/>
    <x v="3"/>
    <x v="1"/>
    <x v="1"/>
    <x v="1"/>
    <n v="650000"/>
    <n v="2"/>
    <n v="0"/>
    <n v="1300000"/>
    <n v="0"/>
    <n v="1300000"/>
  </r>
  <r>
    <n v="234"/>
    <x v="539"/>
    <x v="34"/>
    <n v="3"/>
    <n v="131"/>
    <x v="149"/>
    <s v="cliente131@mail.cl"/>
    <x v="1"/>
    <n v="19"/>
    <x v="6"/>
    <x v="4"/>
    <x v="2"/>
    <x v="9"/>
    <x v="4"/>
    <n v="15000"/>
    <n v="3"/>
    <n v="0"/>
    <n v="45000"/>
    <n v="0"/>
    <n v="45000"/>
  </r>
  <r>
    <n v="745"/>
    <x v="540"/>
    <x v="24"/>
    <n v="4"/>
    <n v="131"/>
    <x v="149"/>
    <s v="cliente131@mail.cl"/>
    <x v="1"/>
    <n v="19"/>
    <x v="3"/>
    <x v="3"/>
    <x v="1"/>
    <x v="1"/>
    <x v="1"/>
    <n v="650000"/>
    <n v="3"/>
    <n v="0"/>
    <n v="1950000"/>
    <n v="0"/>
    <n v="1950000"/>
  </r>
  <r>
    <n v="464"/>
    <x v="541"/>
    <x v="2"/>
    <n v="2"/>
    <n v="89"/>
    <x v="150"/>
    <s v="cliente89@mail.cl"/>
    <x v="1"/>
    <n v="31"/>
    <x v="2"/>
    <x v="2"/>
    <x v="0"/>
    <x v="1"/>
    <x v="1"/>
    <n v="650000"/>
    <n v="3"/>
    <n v="0.05"/>
    <n v="1950000"/>
    <n v="97500"/>
    <n v="1852500"/>
  </r>
  <r>
    <n v="935"/>
    <x v="542"/>
    <x v="24"/>
    <n v="4"/>
    <n v="89"/>
    <x v="150"/>
    <s v="cliente89@mail.cl"/>
    <x v="1"/>
    <n v="31"/>
    <x v="3"/>
    <x v="3"/>
    <x v="1"/>
    <x v="7"/>
    <x v="0"/>
    <n v="25000"/>
    <n v="3"/>
    <n v="0.1"/>
    <n v="75000"/>
    <n v="7500"/>
    <n v="67500"/>
  </r>
  <r>
    <n v="45"/>
    <x v="543"/>
    <x v="12"/>
    <n v="4"/>
    <n v="118"/>
    <x v="151"/>
    <s v="cliente118@mail.cl"/>
    <x v="0"/>
    <n v="23"/>
    <x v="2"/>
    <x v="2"/>
    <x v="0"/>
    <x v="0"/>
    <x v="0"/>
    <n v="12000"/>
    <n v="1"/>
    <n v="0.1"/>
    <n v="12000"/>
    <n v="1200"/>
    <n v="10800"/>
  </r>
  <r>
    <n v="121"/>
    <x v="544"/>
    <x v="2"/>
    <n v="2"/>
    <n v="118"/>
    <x v="151"/>
    <s v="cliente118@mail.cl"/>
    <x v="0"/>
    <n v="23"/>
    <x v="2"/>
    <x v="2"/>
    <x v="1"/>
    <x v="4"/>
    <x v="3"/>
    <n v="55000"/>
    <n v="2"/>
    <n v="0.1"/>
    <n v="110000"/>
    <n v="11000"/>
    <n v="99000"/>
  </r>
  <r>
    <n v="125"/>
    <x v="545"/>
    <x v="43"/>
    <n v="5"/>
    <n v="118"/>
    <x v="151"/>
    <s v="cliente118@mail.cl"/>
    <x v="0"/>
    <n v="23"/>
    <x v="7"/>
    <x v="5"/>
    <x v="1"/>
    <x v="8"/>
    <x v="4"/>
    <n v="35000"/>
    <n v="3"/>
    <n v="0.05"/>
    <n v="105000"/>
    <n v="5250"/>
    <n v="99750"/>
  </r>
  <r>
    <n v="163"/>
    <x v="546"/>
    <x v="22"/>
    <n v="5"/>
    <n v="118"/>
    <x v="151"/>
    <s v="cliente118@mail.cl"/>
    <x v="0"/>
    <n v="23"/>
    <x v="3"/>
    <x v="3"/>
    <x v="2"/>
    <x v="8"/>
    <x v="4"/>
    <n v="35000"/>
    <n v="1"/>
    <n v="0"/>
    <n v="35000"/>
    <n v="0"/>
    <n v="35000"/>
  </r>
  <r>
    <n v="263"/>
    <x v="547"/>
    <x v="59"/>
    <n v="0"/>
    <n v="118"/>
    <x v="151"/>
    <s v="cliente118@mail.cl"/>
    <x v="0"/>
    <n v="23"/>
    <x v="2"/>
    <x v="2"/>
    <x v="0"/>
    <x v="1"/>
    <x v="1"/>
    <n v="650000"/>
    <n v="2"/>
    <n v="0"/>
    <n v="1300000"/>
    <n v="0"/>
    <n v="1300000"/>
  </r>
  <r>
    <n v="269"/>
    <x v="548"/>
    <x v="14"/>
    <n v="9"/>
    <n v="118"/>
    <x v="151"/>
    <s v="cliente118@mail.cl"/>
    <x v="0"/>
    <n v="23"/>
    <x v="8"/>
    <x v="6"/>
    <x v="2"/>
    <x v="3"/>
    <x v="1"/>
    <n v="700000"/>
    <n v="2"/>
    <n v="0"/>
    <n v="1400000"/>
    <n v="0"/>
    <n v="1400000"/>
  </r>
  <r>
    <n v="480"/>
    <x v="549"/>
    <x v="14"/>
    <n v="9"/>
    <n v="118"/>
    <x v="151"/>
    <s v="cliente118@mail.cl"/>
    <x v="0"/>
    <n v="23"/>
    <x v="8"/>
    <x v="6"/>
    <x v="0"/>
    <x v="8"/>
    <x v="4"/>
    <n v="35000"/>
    <n v="2"/>
    <n v="0.05"/>
    <n v="70000"/>
    <n v="3500"/>
    <n v="66500"/>
  </r>
  <r>
    <n v="731"/>
    <x v="550"/>
    <x v="31"/>
    <n v="3"/>
    <n v="118"/>
    <x v="151"/>
    <s v="cliente118@mail.cl"/>
    <x v="0"/>
    <n v="23"/>
    <x v="5"/>
    <x v="2"/>
    <x v="1"/>
    <x v="7"/>
    <x v="0"/>
    <n v="25000"/>
    <n v="1"/>
    <n v="0.05"/>
    <n v="25000"/>
    <n v="1250"/>
    <n v="23750"/>
  </r>
  <r>
    <n v="997"/>
    <x v="551"/>
    <x v="34"/>
    <n v="3"/>
    <n v="118"/>
    <x v="151"/>
    <s v="cliente118@mail.cl"/>
    <x v="0"/>
    <n v="23"/>
    <x v="6"/>
    <x v="4"/>
    <x v="2"/>
    <x v="1"/>
    <x v="1"/>
    <n v="650000"/>
    <n v="2"/>
    <n v="0.1"/>
    <n v="1300000"/>
    <n v="130000"/>
    <n v="1170000"/>
  </r>
  <r>
    <n v="263"/>
    <x v="547"/>
    <x v="59"/>
    <n v="0"/>
    <n v="118"/>
    <x v="151"/>
    <s v="cliente118@mail.cl"/>
    <x v="0"/>
    <n v="23"/>
    <x v="2"/>
    <x v="2"/>
    <x v="0"/>
    <x v="1"/>
    <x v="1"/>
    <n v="650000"/>
    <n v="2"/>
    <n v="0"/>
    <n v="1300000"/>
    <n v="0"/>
    <n v="1300000"/>
  </r>
  <r>
    <n v="980"/>
    <x v="552"/>
    <x v="22"/>
    <n v="5"/>
    <n v="28"/>
    <x v="152"/>
    <s v="cliente28@mail.cl"/>
    <x v="1"/>
    <n v="42"/>
    <x v="3"/>
    <x v="3"/>
    <x v="0"/>
    <x v="2"/>
    <x v="2"/>
    <n v="450000"/>
    <n v="3"/>
    <n v="0.05"/>
    <n v="1350000"/>
    <n v="67500"/>
    <n v="1282500"/>
  </r>
  <r>
    <n v="992"/>
    <x v="553"/>
    <x v="22"/>
    <n v="5"/>
    <n v="28"/>
    <x v="152"/>
    <s v="cliente28@mail.cl"/>
    <x v="1"/>
    <n v="42"/>
    <x v="3"/>
    <x v="3"/>
    <x v="0"/>
    <x v="2"/>
    <x v="2"/>
    <n v="450000"/>
    <n v="2"/>
    <n v="0.1"/>
    <n v="900000"/>
    <n v="90000"/>
    <n v="810000"/>
  </r>
  <r>
    <n v="384"/>
    <x v="554"/>
    <x v="54"/>
    <n v="0"/>
    <n v="112"/>
    <x v="153"/>
    <s v="cliente112@mail.cl"/>
    <x v="1"/>
    <n v="37"/>
    <x v="9"/>
    <x v="7"/>
    <x v="1"/>
    <x v="9"/>
    <x v="4"/>
    <n v="15000"/>
    <n v="1"/>
    <n v="0"/>
    <n v="15000"/>
    <n v="0"/>
    <n v="15000"/>
  </r>
  <r>
    <n v="722"/>
    <x v="555"/>
    <x v="6"/>
    <n v="0"/>
    <n v="112"/>
    <x v="153"/>
    <s v="cliente112@mail.cl"/>
    <x v="1"/>
    <n v="37"/>
    <x v="2"/>
    <x v="2"/>
    <x v="1"/>
    <x v="2"/>
    <x v="2"/>
    <n v="450000"/>
    <n v="1"/>
    <n v="0"/>
    <n v="450000"/>
    <n v="0"/>
    <n v="450000"/>
  </r>
  <r>
    <n v="991"/>
    <x v="556"/>
    <x v="43"/>
    <n v="5"/>
    <n v="112"/>
    <x v="153"/>
    <s v="cliente112@mail.cl"/>
    <x v="1"/>
    <n v="37"/>
    <x v="7"/>
    <x v="5"/>
    <x v="0"/>
    <x v="6"/>
    <x v="1"/>
    <n v="800000"/>
    <n v="1"/>
    <n v="0"/>
    <n v="800000"/>
    <n v="0"/>
    <n v="800000"/>
  </r>
  <r>
    <n v="144"/>
    <x v="557"/>
    <x v="13"/>
    <n v="1"/>
    <n v="22"/>
    <x v="154"/>
    <s v="cliente22@mail.cl"/>
    <x v="1"/>
    <n v="35"/>
    <x v="6"/>
    <x v="4"/>
    <x v="1"/>
    <x v="1"/>
    <x v="1"/>
    <n v="650000"/>
    <n v="3"/>
    <n v="0"/>
    <n v="1950000"/>
    <n v="0"/>
    <n v="1950000"/>
  </r>
  <r>
    <n v="212"/>
    <x v="558"/>
    <x v="43"/>
    <n v="5"/>
    <n v="22"/>
    <x v="154"/>
    <s v="cliente22@mail.cl"/>
    <x v="1"/>
    <n v="35"/>
    <x v="7"/>
    <x v="5"/>
    <x v="1"/>
    <x v="6"/>
    <x v="1"/>
    <n v="800000"/>
    <n v="1"/>
    <n v="0.05"/>
    <n v="800000"/>
    <n v="40000"/>
    <n v="760000"/>
  </r>
  <r>
    <n v="382"/>
    <x v="559"/>
    <x v="18"/>
    <n v="1"/>
    <n v="22"/>
    <x v="154"/>
    <s v="cliente22@mail.cl"/>
    <x v="1"/>
    <n v="35"/>
    <x v="3"/>
    <x v="3"/>
    <x v="1"/>
    <x v="5"/>
    <x v="2"/>
    <n v="750000"/>
    <n v="3"/>
    <n v="0"/>
    <n v="2250000"/>
    <n v="0"/>
    <n v="2250000"/>
  </r>
  <r>
    <n v="791"/>
    <x v="560"/>
    <x v="25"/>
    <n v="1"/>
    <n v="22"/>
    <x v="154"/>
    <s v="cliente22@mail.cl"/>
    <x v="1"/>
    <n v="35"/>
    <x v="2"/>
    <x v="2"/>
    <x v="1"/>
    <x v="1"/>
    <x v="1"/>
    <n v="650000"/>
    <n v="2"/>
    <n v="0.05"/>
    <n v="1300000"/>
    <n v="65000"/>
    <n v="1235000"/>
  </r>
  <r>
    <n v="857"/>
    <x v="561"/>
    <x v="61"/>
    <n v="3"/>
    <n v="22"/>
    <x v="154"/>
    <s v="cliente22@mail.cl"/>
    <x v="1"/>
    <n v="35"/>
    <x v="7"/>
    <x v="5"/>
    <x v="1"/>
    <x v="5"/>
    <x v="2"/>
    <n v="750000"/>
    <n v="3"/>
    <n v="0"/>
    <n v="2250000"/>
    <n v="0"/>
    <n v="2250000"/>
  </r>
  <r>
    <n v="910"/>
    <x v="562"/>
    <x v="62"/>
    <n v="0"/>
    <n v="22"/>
    <x v="154"/>
    <s v="cliente22@mail.cl"/>
    <x v="1"/>
    <n v="35"/>
    <x v="9"/>
    <x v="7"/>
    <x v="1"/>
    <x v="1"/>
    <x v="1"/>
    <n v="650000"/>
    <n v="2"/>
    <n v="0"/>
    <n v="1300000"/>
    <n v="0"/>
    <n v="1300000"/>
  </r>
  <r>
    <n v="56"/>
    <x v="563"/>
    <x v="61"/>
    <n v="3"/>
    <n v="186"/>
    <x v="155"/>
    <s v="cliente186@mail.cl"/>
    <x v="0"/>
    <n v="46"/>
    <x v="7"/>
    <x v="5"/>
    <x v="2"/>
    <x v="2"/>
    <x v="2"/>
    <n v="450000"/>
    <n v="1"/>
    <n v="0.1"/>
    <n v="450000"/>
    <n v="45000"/>
    <n v="405000"/>
  </r>
  <r>
    <n v="277"/>
    <x v="564"/>
    <x v="14"/>
    <n v="9"/>
    <n v="186"/>
    <x v="155"/>
    <s v="cliente186@mail.cl"/>
    <x v="0"/>
    <n v="46"/>
    <x v="8"/>
    <x v="6"/>
    <x v="1"/>
    <x v="2"/>
    <x v="2"/>
    <n v="450000"/>
    <n v="1"/>
    <n v="0"/>
    <n v="450000"/>
    <n v="0"/>
    <n v="450000"/>
  </r>
  <r>
    <n v="531"/>
    <x v="565"/>
    <x v="8"/>
    <n v="8"/>
    <n v="186"/>
    <x v="155"/>
    <s v="cliente186@mail.cl"/>
    <x v="0"/>
    <n v="46"/>
    <x v="4"/>
    <x v="3"/>
    <x v="1"/>
    <x v="9"/>
    <x v="4"/>
    <n v="15000"/>
    <n v="1"/>
    <n v="0.05"/>
    <n v="15000"/>
    <n v="750"/>
    <n v="14250"/>
  </r>
  <r>
    <n v="616"/>
    <x v="566"/>
    <x v="1"/>
    <n v="5"/>
    <n v="186"/>
    <x v="155"/>
    <s v="cliente186@mail.cl"/>
    <x v="0"/>
    <n v="46"/>
    <x v="1"/>
    <x v="1"/>
    <x v="2"/>
    <x v="3"/>
    <x v="1"/>
    <n v="700000"/>
    <n v="3"/>
    <n v="0"/>
    <n v="2100000"/>
    <n v="0"/>
    <n v="2100000"/>
  </r>
  <r>
    <n v="813"/>
    <x v="567"/>
    <x v="47"/>
    <n v="7"/>
    <n v="186"/>
    <x v="155"/>
    <s v="cliente186@mail.cl"/>
    <x v="0"/>
    <n v="46"/>
    <x v="8"/>
    <x v="6"/>
    <x v="2"/>
    <x v="9"/>
    <x v="4"/>
    <n v="15000"/>
    <n v="3"/>
    <n v="0.05"/>
    <n v="45000"/>
    <n v="2250"/>
    <n v="42750"/>
  </r>
  <r>
    <n v="977"/>
    <x v="568"/>
    <x v="33"/>
    <n v="4"/>
    <n v="186"/>
    <x v="155"/>
    <s v="cliente186@mail.cl"/>
    <x v="0"/>
    <n v="46"/>
    <x v="8"/>
    <x v="6"/>
    <x v="2"/>
    <x v="1"/>
    <x v="1"/>
    <n v="650000"/>
    <n v="3"/>
    <n v="0.05"/>
    <n v="1950000"/>
    <n v="97500"/>
    <n v="1852500"/>
  </r>
  <r>
    <n v="46"/>
    <x v="569"/>
    <x v="65"/>
    <n v="4"/>
    <n v="68"/>
    <x v="156"/>
    <s v="cliente68@mail.cl"/>
    <x v="1"/>
    <n v="50"/>
    <x v="7"/>
    <x v="5"/>
    <x v="1"/>
    <x v="6"/>
    <x v="1"/>
    <n v="800000"/>
    <n v="3"/>
    <n v="0.05"/>
    <n v="2400000"/>
    <n v="120000"/>
    <n v="2280000"/>
  </r>
  <r>
    <n v="84"/>
    <x v="570"/>
    <x v="38"/>
    <n v="6"/>
    <n v="68"/>
    <x v="156"/>
    <s v="cliente68@mail.cl"/>
    <x v="1"/>
    <n v="50"/>
    <x v="8"/>
    <x v="6"/>
    <x v="1"/>
    <x v="5"/>
    <x v="2"/>
    <n v="750000"/>
    <n v="2"/>
    <n v="0.1"/>
    <n v="1500000"/>
    <n v="150000"/>
    <n v="1350000"/>
  </r>
  <r>
    <n v="341"/>
    <x v="571"/>
    <x v="1"/>
    <n v="5"/>
    <n v="68"/>
    <x v="156"/>
    <s v="cliente68@mail.cl"/>
    <x v="1"/>
    <n v="50"/>
    <x v="1"/>
    <x v="1"/>
    <x v="2"/>
    <x v="9"/>
    <x v="4"/>
    <n v="15000"/>
    <n v="1"/>
    <n v="0"/>
    <n v="15000"/>
    <n v="0"/>
    <n v="15000"/>
  </r>
  <r>
    <n v="94"/>
    <x v="572"/>
    <x v="19"/>
    <n v="4"/>
    <n v="95"/>
    <x v="157"/>
    <s v="cliente95@mail.cl"/>
    <x v="0"/>
    <n v="33"/>
    <x v="6"/>
    <x v="4"/>
    <x v="1"/>
    <x v="6"/>
    <x v="1"/>
    <n v="800000"/>
    <n v="2"/>
    <n v="0.05"/>
    <n v="1600000"/>
    <n v="80000"/>
    <n v="1520000"/>
  </r>
  <r>
    <n v="567"/>
    <x v="573"/>
    <x v="50"/>
    <n v="2"/>
    <n v="95"/>
    <x v="157"/>
    <s v="cliente95@mail.cl"/>
    <x v="0"/>
    <n v="33"/>
    <x v="2"/>
    <x v="2"/>
    <x v="1"/>
    <x v="5"/>
    <x v="2"/>
    <n v="750000"/>
    <n v="3"/>
    <n v="0"/>
    <n v="2250000"/>
    <n v="0"/>
    <n v="2250000"/>
  </r>
  <r>
    <n v="711"/>
    <x v="574"/>
    <x v="53"/>
    <n v="4"/>
    <n v="95"/>
    <x v="157"/>
    <s v="cliente95@mail.cl"/>
    <x v="0"/>
    <n v="33"/>
    <x v="1"/>
    <x v="1"/>
    <x v="0"/>
    <x v="8"/>
    <x v="4"/>
    <n v="35000"/>
    <n v="1"/>
    <n v="0.05"/>
    <n v="35000"/>
    <n v="1750"/>
    <n v="33250"/>
  </r>
  <r>
    <n v="206"/>
    <x v="575"/>
    <x v="45"/>
    <n v="1"/>
    <n v="46"/>
    <x v="158"/>
    <s v="cliente46@mail.cl"/>
    <x v="0"/>
    <n v="29"/>
    <x v="4"/>
    <x v="3"/>
    <x v="1"/>
    <x v="9"/>
    <x v="4"/>
    <n v="15000"/>
    <n v="2"/>
    <n v="0.1"/>
    <n v="30000"/>
    <n v="3000"/>
    <n v="27000"/>
  </r>
  <r>
    <n v="216"/>
    <x v="576"/>
    <x v="65"/>
    <n v="4"/>
    <n v="46"/>
    <x v="158"/>
    <s v="cliente46@mail.cl"/>
    <x v="0"/>
    <n v="29"/>
    <x v="7"/>
    <x v="5"/>
    <x v="2"/>
    <x v="7"/>
    <x v="0"/>
    <n v="25000"/>
    <n v="2"/>
    <n v="0.05"/>
    <n v="50000"/>
    <n v="2500"/>
    <n v="47500"/>
  </r>
  <r>
    <n v="503"/>
    <x v="577"/>
    <x v="11"/>
    <n v="0"/>
    <n v="46"/>
    <x v="158"/>
    <s v="cliente46@mail.cl"/>
    <x v="0"/>
    <n v="29"/>
    <x v="8"/>
    <x v="6"/>
    <x v="2"/>
    <x v="4"/>
    <x v="3"/>
    <n v="55000"/>
    <n v="2"/>
    <n v="0"/>
    <n v="110000"/>
    <n v="0"/>
    <n v="110000"/>
  </r>
  <r>
    <n v="49"/>
    <x v="578"/>
    <x v="21"/>
    <n v="7"/>
    <n v="239"/>
    <x v="159"/>
    <s v="cliente239@mail.cl"/>
    <x v="0"/>
    <n v="30"/>
    <x v="1"/>
    <x v="1"/>
    <x v="1"/>
    <x v="0"/>
    <x v="0"/>
    <n v="12000"/>
    <n v="2"/>
    <n v="0.1"/>
    <n v="24000"/>
    <n v="2400"/>
    <n v="21600"/>
  </r>
  <r>
    <n v="238"/>
    <x v="579"/>
    <x v="68"/>
    <n v="8"/>
    <n v="239"/>
    <x v="159"/>
    <s v="cliente239@mail.cl"/>
    <x v="0"/>
    <n v="30"/>
    <x v="9"/>
    <x v="7"/>
    <x v="0"/>
    <x v="3"/>
    <x v="1"/>
    <n v="700000"/>
    <n v="1"/>
    <n v="0"/>
    <n v="700000"/>
    <n v="0"/>
    <n v="700000"/>
  </r>
  <r>
    <n v="466"/>
    <x v="580"/>
    <x v="45"/>
    <n v="1"/>
    <n v="239"/>
    <x v="159"/>
    <s v="cliente239@mail.cl"/>
    <x v="0"/>
    <n v="30"/>
    <x v="4"/>
    <x v="3"/>
    <x v="0"/>
    <x v="9"/>
    <x v="4"/>
    <n v="15000"/>
    <n v="1"/>
    <n v="0.1"/>
    <n v="15000"/>
    <n v="1500"/>
    <n v="13500"/>
  </r>
  <r>
    <n v="215"/>
    <x v="581"/>
    <x v="17"/>
    <n v="0"/>
    <n v="25"/>
    <x v="160"/>
    <s v="cliente25@mail.cl"/>
    <x v="0"/>
    <n v="31"/>
    <x v="1"/>
    <x v="1"/>
    <x v="1"/>
    <x v="3"/>
    <x v="1"/>
    <n v="700000"/>
    <n v="3"/>
    <n v="0.1"/>
    <n v="2100000"/>
    <n v="210000"/>
    <n v="1890000"/>
  </r>
  <r>
    <n v="617"/>
    <x v="582"/>
    <x v="21"/>
    <n v="7"/>
    <n v="25"/>
    <x v="160"/>
    <s v="cliente25@mail.cl"/>
    <x v="0"/>
    <n v="31"/>
    <x v="1"/>
    <x v="1"/>
    <x v="0"/>
    <x v="8"/>
    <x v="4"/>
    <n v="35000"/>
    <n v="3"/>
    <n v="0.05"/>
    <n v="105000"/>
    <n v="5250"/>
    <n v="99750"/>
  </r>
  <r>
    <n v="624"/>
    <x v="583"/>
    <x v="62"/>
    <n v="0"/>
    <n v="25"/>
    <x v="160"/>
    <s v="cliente25@mail.cl"/>
    <x v="0"/>
    <n v="31"/>
    <x v="9"/>
    <x v="7"/>
    <x v="1"/>
    <x v="8"/>
    <x v="4"/>
    <n v="35000"/>
    <n v="2"/>
    <n v="0"/>
    <n v="70000"/>
    <n v="0"/>
    <n v="70000"/>
  </r>
  <r>
    <n v="699"/>
    <x v="584"/>
    <x v="49"/>
    <n v="9"/>
    <n v="25"/>
    <x v="160"/>
    <s v="cliente25@mail.cl"/>
    <x v="0"/>
    <n v="31"/>
    <x v="4"/>
    <x v="3"/>
    <x v="1"/>
    <x v="0"/>
    <x v="0"/>
    <n v="12000"/>
    <n v="1"/>
    <n v="0.1"/>
    <n v="12000"/>
    <n v="1200"/>
    <n v="10800"/>
  </r>
  <r>
    <n v="20"/>
    <x v="585"/>
    <x v="0"/>
    <n v="5"/>
    <n v="224"/>
    <x v="161"/>
    <s v="cliente224@mail.cl"/>
    <x v="1"/>
    <n v="18"/>
    <x v="0"/>
    <x v="0"/>
    <x v="1"/>
    <x v="8"/>
    <x v="4"/>
    <n v="35000"/>
    <n v="3"/>
    <n v="0.1"/>
    <n v="105000"/>
    <n v="10500"/>
    <n v="94500"/>
  </r>
  <r>
    <n v="122"/>
    <x v="586"/>
    <x v="51"/>
    <n v="1"/>
    <n v="224"/>
    <x v="161"/>
    <s v="cliente224@mail.cl"/>
    <x v="1"/>
    <n v="18"/>
    <x v="3"/>
    <x v="3"/>
    <x v="2"/>
    <x v="9"/>
    <x v="4"/>
    <n v="15000"/>
    <n v="1"/>
    <n v="0.1"/>
    <n v="15000"/>
    <n v="1500"/>
    <n v="13500"/>
  </r>
  <r>
    <n v="334"/>
    <x v="587"/>
    <x v="28"/>
    <n v="0"/>
    <n v="98"/>
    <x v="162"/>
    <s v="cliente98@mail.cl"/>
    <x v="1"/>
    <n v="41"/>
    <x v="7"/>
    <x v="5"/>
    <x v="1"/>
    <x v="6"/>
    <x v="1"/>
    <n v="800000"/>
    <n v="3"/>
    <n v="0"/>
    <n v="2400000"/>
    <n v="0"/>
    <n v="2400000"/>
  </r>
  <r>
    <n v="362"/>
    <x v="588"/>
    <x v="35"/>
    <n v="5"/>
    <n v="98"/>
    <x v="162"/>
    <s v="cliente98@mail.cl"/>
    <x v="1"/>
    <n v="41"/>
    <x v="6"/>
    <x v="4"/>
    <x v="0"/>
    <x v="8"/>
    <x v="4"/>
    <n v="35000"/>
    <n v="2"/>
    <n v="0"/>
    <n v="70000"/>
    <n v="0"/>
    <n v="70000"/>
  </r>
  <r>
    <n v="778"/>
    <x v="589"/>
    <x v="30"/>
    <n v="1"/>
    <n v="98"/>
    <x v="162"/>
    <s v="cliente98@mail.cl"/>
    <x v="1"/>
    <n v="41"/>
    <x v="6"/>
    <x v="4"/>
    <x v="1"/>
    <x v="9"/>
    <x v="4"/>
    <n v="15000"/>
    <n v="1"/>
    <n v="0.1"/>
    <n v="15000"/>
    <n v="1500"/>
    <n v="13500"/>
  </r>
  <r>
    <n v="888"/>
    <x v="590"/>
    <x v="20"/>
    <n v="6"/>
    <n v="98"/>
    <x v="162"/>
    <s v="cliente98@mail.cl"/>
    <x v="1"/>
    <n v="41"/>
    <x v="2"/>
    <x v="2"/>
    <x v="1"/>
    <x v="8"/>
    <x v="4"/>
    <n v="35000"/>
    <n v="3"/>
    <n v="0.1"/>
    <n v="105000"/>
    <n v="10500"/>
    <n v="94500"/>
  </r>
  <r>
    <n v="109"/>
    <x v="591"/>
    <x v="18"/>
    <n v="1"/>
    <n v="109"/>
    <x v="163"/>
    <s v="cliente109@mail.cl"/>
    <x v="1"/>
    <n v="41"/>
    <x v="3"/>
    <x v="3"/>
    <x v="0"/>
    <x v="8"/>
    <x v="4"/>
    <n v="35000"/>
    <n v="3"/>
    <n v="0"/>
    <n v="105000"/>
    <n v="0"/>
    <n v="105000"/>
  </r>
  <r>
    <n v="298"/>
    <x v="592"/>
    <x v="37"/>
    <n v="3"/>
    <n v="109"/>
    <x v="163"/>
    <s v="cliente109@mail.cl"/>
    <x v="1"/>
    <n v="41"/>
    <x v="5"/>
    <x v="2"/>
    <x v="1"/>
    <x v="4"/>
    <x v="3"/>
    <n v="55000"/>
    <n v="1"/>
    <n v="0.05"/>
    <n v="55000"/>
    <n v="2750"/>
    <n v="52250"/>
  </r>
  <r>
    <n v="392"/>
    <x v="593"/>
    <x v="10"/>
    <n v="0"/>
    <n v="109"/>
    <x v="163"/>
    <s v="cliente109@mail.cl"/>
    <x v="1"/>
    <n v="41"/>
    <x v="7"/>
    <x v="5"/>
    <x v="2"/>
    <x v="9"/>
    <x v="4"/>
    <n v="15000"/>
    <n v="1"/>
    <n v="0"/>
    <n v="15000"/>
    <n v="0"/>
    <n v="15000"/>
  </r>
  <r>
    <n v="421"/>
    <x v="594"/>
    <x v="14"/>
    <n v="9"/>
    <n v="109"/>
    <x v="163"/>
    <s v="cliente109@mail.cl"/>
    <x v="1"/>
    <n v="41"/>
    <x v="8"/>
    <x v="6"/>
    <x v="1"/>
    <x v="4"/>
    <x v="3"/>
    <n v="55000"/>
    <n v="1"/>
    <n v="0.05"/>
    <n v="55000"/>
    <n v="2750"/>
    <n v="52250"/>
  </r>
  <r>
    <n v="873"/>
    <x v="595"/>
    <x v="49"/>
    <n v="9"/>
    <n v="109"/>
    <x v="163"/>
    <s v="cliente109@mail.cl"/>
    <x v="1"/>
    <n v="41"/>
    <x v="4"/>
    <x v="3"/>
    <x v="0"/>
    <x v="1"/>
    <x v="1"/>
    <n v="650000"/>
    <n v="2"/>
    <n v="0"/>
    <n v="1300000"/>
    <n v="0"/>
    <n v="1300000"/>
  </r>
  <r>
    <n v="550"/>
    <x v="596"/>
    <x v="43"/>
    <n v="5"/>
    <n v="161"/>
    <x v="164"/>
    <s v="cliente161@mail.cl"/>
    <x v="1"/>
    <n v="26"/>
    <x v="7"/>
    <x v="5"/>
    <x v="0"/>
    <x v="4"/>
    <x v="3"/>
    <n v="55000"/>
    <n v="2"/>
    <n v="0"/>
    <n v="110000"/>
    <n v="0"/>
    <n v="110000"/>
  </r>
  <r>
    <n v="814"/>
    <x v="597"/>
    <x v="15"/>
    <n v="8"/>
    <n v="161"/>
    <x v="164"/>
    <s v="cliente161@mail.cl"/>
    <x v="1"/>
    <n v="26"/>
    <x v="5"/>
    <x v="2"/>
    <x v="0"/>
    <x v="4"/>
    <x v="3"/>
    <n v="55000"/>
    <n v="1"/>
    <n v="0.1"/>
    <n v="55000"/>
    <n v="5500"/>
    <n v="49500"/>
  </r>
  <r>
    <n v="685"/>
    <x v="598"/>
    <x v="45"/>
    <n v="1"/>
    <n v="233"/>
    <x v="165"/>
    <s v="cliente233@mail.cl"/>
    <x v="0"/>
    <n v="38"/>
    <x v="4"/>
    <x v="3"/>
    <x v="2"/>
    <x v="3"/>
    <x v="1"/>
    <n v="700000"/>
    <n v="1"/>
    <n v="0"/>
    <n v="700000"/>
    <n v="0"/>
    <n v="700000"/>
  </r>
  <r>
    <n v="758"/>
    <x v="599"/>
    <x v="8"/>
    <n v="8"/>
    <n v="233"/>
    <x v="165"/>
    <s v="cliente233@mail.cl"/>
    <x v="0"/>
    <n v="38"/>
    <x v="4"/>
    <x v="3"/>
    <x v="0"/>
    <x v="2"/>
    <x v="2"/>
    <n v="450000"/>
    <n v="1"/>
    <n v="0.05"/>
    <n v="450000"/>
    <n v="22500"/>
    <n v="427500"/>
  </r>
  <r>
    <n v="295"/>
    <x v="600"/>
    <x v="68"/>
    <n v="8"/>
    <n v="251"/>
    <x v="166"/>
    <s v="cliente251@mail.cl"/>
    <x v="1"/>
    <n v="22"/>
    <x v="9"/>
    <x v="7"/>
    <x v="2"/>
    <x v="8"/>
    <x v="4"/>
    <n v="35000"/>
    <n v="2"/>
    <n v="0"/>
    <n v="70000"/>
    <n v="0"/>
    <n v="70000"/>
  </r>
  <r>
    <n v="507"/>
    <x v="601"/>
    <x v="69"/>
    <n v="1"/>
    <n v="251"/>
    <x v="166"/>
    <s v="cliente251@mail.cl"/>
    <x v="1"/>
    <n v="22"/>
    <x v="4"/>
    <x v="3"/>
    <x v="1"/>
    <x v="7"/>
    <x v="0"/>
    <n v="25000"/>
    <n v="2"/>
    <n v="0"/>
    <n v="50000"/>
    <n v="0"/>
    <n v="50000"/>
  </r>
  <r>
    <n v="651"/>
    <x v="602"/>
    <x v="0"/>
    <n v="5"/>
    <n v="251"/>
    <x v="166"/>
    <s v="cliente251@mail.cl"/>
    <x v="1"/>
    <n v="22"/>
    <x v="0"/>
    <x v="0"/>
    <x v="1"/>
    <x v="3"/>
    <x v="1"/>
    <n v="700000"/>
    <n v="1"/>
    <n v="0"/>
    <n v="700000"/>
    <n v="0"/>
    <n v="700000"/>
  </r>
  <r>
    <n v="981"/>
    <x v="603"/>
    <x v="28"/>
    <n v="0"/>
    <n v="251"/>
    <x v="166"/>
    <s v="cliente251@mail.cl"/>
    <x v="1"/>
    <n v="22"/>
    <x v="7"/>
    <x v="5"/>
    <x v="1"/>
    <x v="7"/>
    <x v="0"/>
    <n v="25000"/>
    <n v="1"/>
    <n v="0.1"/>
    <n v="25000"/>
    <n v="2500"/>
    <n v="22500"/>
  </r>
  <r>
    <n v="197"/>
    <x v="604"/>
    <x v="60"/>
    <n v="1"/>
    <n v="253"/>
    <x v="167"/>
    <s v="cliente253@mail.cl"/>
    <x v="1"/>
    <n v="18"/>
    <x v="8"/>
    <x v="6"/>
    <x v="0"/>
    <x v="0"/>
    <x v="0"/>
    <n v="12000"/>
    <n v="1"/>
    <n v="0.05"/>
    <n v="12000"/>
    <n v="600"/>
    <n v="11400"/>
  </r>
  <r>
    <n v="587"/>
    <x v="605"/>
    <x v="6"/>
    <n v="0"/>
    <n v="253"/>
    <x v="167"/>
    <s v="cliente253@mail.cl"/>
    <x v="1"/>
    <n v="18"/>
    <x v="2"/>
    <x v="2"/>
    <x v="2"/>
    <x v="1"/>
    <x v="1"/>
    <n v="650000"/>
    <n v="3"/>
    <n v="0"/>
    <n v="1950000"/>
    <n v="0"/>
    <n v="1950000"/>
  </r>
  <r>
    <n v="996"/>
    <x v="606"/>
    <x v="13"/>
    <n v="1"/>
    <n v="253"/>
    <x v="167"/>
    <s v="cliente253@mail.cl"/>
    <x v="1"/>
    <n v="18"/>
    <x v="6"/>
    <x v="4"/>
    <x v="0"/>
    <x v="8"/>
    <x v="4"/>
    <n v="35000"/>
    <n v="2"/>
    <n v="0"/>
    <n v="70000"/>
    <n v="0"/>
    <n v="70000"/>
  </r>
  <r>
    <n v="126"/>
    <x v="607"/>
    <x v="27"/>
    <n v="4"/>
    <n v="72"/>
    <x v="168"/>
    <s v="cliente72@mail.cl"/>
    <x v="1"/>
    <n v="56"/>
    <x v="1"/>
    <x v="1"/>
    <x v="0"/>
    <x v="6"/>
    <x v="1"/>
    <n v="800000"/>
    <n v="2"/>
    <n v="0.1"/>
    <n v="1600000"/>
    <n v="160000"/>
    <n v="1440000"/>
  </r>
  <r>
    <n v="228"/>
    <x v="608"/>
    <x v="37"/>
    <n v="3"/>
    <n v="72"/>
    <x v="168"/>
    <s v="cliente72@mail.cl"/>
    <x v="1"/>
    <n v="56"/>
    <x v="5"/>
    <x v="2"/>
    <x v="2"/>
    <x v="2"/>
    <x v="2"/>
    <n v="450000"/>
    <n v="1"/>
    <n v="0"/>
    <n v="450000"/>
    <n v="0"/>
    <n v="450000"/>
  </r>
  <r>
    <n v="402"/>
    <x v="609"/>
    <x v="37"/>
    <n v="3"/>
    <n v="72"/>
    <x v="168"/>
    <s v="cliente72@mail.cl"/>
    <x v="1"/>
    <n v="56"/>
    <x v="5"/>
    <x v="2"/>
    <x v="1"/>
    <x v="7"/>
    <x v="0"/>
    <n v="25000"/>
    <n v="3"/>
    <n v="0.1"/>
    <n v="75000"/>
    <n v="7500"/>
    <n v="67500"/>
  </r>
  <r>
    <n v="698"/>
    <x v="610"/>
    <x v="13"/>
    <n v="1"/>
    <n v="72"/>
    <x v="168"/>
    <s v="cliente72@mail.cl"/>
    <x v="1"/>
    <n v="56"/>
    <x v="6"/>
    <x v="4"/>
    <x v="2"/>
    <x v="2"/>
    <x v="2"/>
    <n v="450000"/>
    <n v="3"/>
    <n v="0"/>
    <n v="1350000"/>
    <n v="0"/>
    <n v="1350000"/>
  </r>
  <r>
    <n v="227"/>
    <x v="611"/>
    <x v="26"/>
    <n v="1"/>
    <n v="187"/>
    <x v="169"/>
    <s v="cliente187@mail.cl"/>
    <x v="0"/>
    <n v="43"/>
    <x v="8"/>
    <x v="6"/>
    <x v="1"/>
    <x v="6"/>
    <x v="1"/>
    <n v="800000"/>
    <n v="3"/>
    <n v="0"/>
    <n v="2400000"/>
    <n v="0"/>
    <n v="2400000"/>
  </r>
  <r>
    <n v="275"/>
    <x v="612"/>
    <x v="42"/>
    <n v="3"/>
    <n v="119"/>
    <x v="170"/>
    <s v="cliente119@mail.cl"/>
    <x v="1"/>
    <n v="51"/>
    <x v="0"/>
    <x v="0"/>
    <x v="1"/>
    <x v="1"/>
    <x v="1"/>
    <n v="650000"/>
    <n v="1"/>
    <n v="0.1"/>
    <n v="650000"/>
    <n v="65000"/>
    <n v="585000"/>
  </r>
  <r>
    <n v="416"/>
    <x v="613"/>
    <x v="10"/>
    <n v="0"/>
    <n v="119"/>
    <x v="170"/>
    <s v="cliente119@mail.cl"/>
    <x v="1"/>
    <n v="51"/>
    <x v="7"/>
    <x v="5"/>
    <x v="1"/>
    <x v="2"/>
    <x v="2"/>
    <n v="450000"/>
    <n v="2"/>
    <n v="0.1"/>
    <n v="900000"/>
    <n v="90000"/>
    <n v="810000"/>
  </r>
  <r>
    <n v="725"/>
    <x v="614"/>
    <x v="46"/>
    <n v="0"/>
    <n v="119"/>
    <x v="170"/>
    <s v="cliente119@mail.cl"/>
    <x v="1"/>
    <n v="51"/>
    <x v="4"/>
    <x v="3"/>
    <x v="1"/>
    <x v="5"/>
    <x v="2"/>
    <n v="750000"/>
    <n v="1"/>
    <n v="0"/>
    <n v="750000"/>
    <n v="0"/>
    <n v="750000"/>
  </r>
  <r>
    <n v="751"/>
    <x v="615"/>
    <x v="43"/>
    <n v="5"/>
    <n v="24"/>
    <x v="171"/>
    <s v="cliente24@mail.cl"/>
    <x v="0"/>
    <n v="20"/>
    <x v="7"/>
    <x v="5"/>
    <x v="1"/>
    <x v="7"/>
    <x v="0"/>
    <n v="25000"/>
    <n v="3"/>
    <n v="0.05"/>
    <n v="75000"/>
    <n v="3750"/>
    <n v="71250"/>
  </r>
  <r>
    <n v="927"/>
    <x v="616"/>
    <x v="28"/>
    <n v="0"/>
    <n v="24"/>
    <x v="171"/>
    <s v="cliente24@mail.cl"/>
    <x v="0"/>
    <n v="20"/>
    <x v="7"/>
    <x v="5"/>
    <x v="0"/>
    <x v="7"/>
    <x v="0"/>
    <n v="25000"/>
    <n v="2"/>
    <n v="0.05"/>
    <n v="50000"/>
    <n v="2500"/>
    <n v="47500"/>
  </r>
  <r>
    <n v="883"/>
    <x v="617"/>
    <x v="41"/>
    <n v="0"/>
    <n v="154"/>
    <x v="172"/>
    <s v="cliente154@mail.cl"/>
    <x v="1"/>
    <n v="40"/>
    <x v="2"/>
    <x v="2"/>
    <x v="0"/>
    <x v="0"/>
    <x v="0"/>
    <n v="12000"/>
    <n v="2"/>
    <n v="0.1"/>
    <n v="24000"/>
    <n v="2400"/>
    <n v="21600"/>
  </r>
  <r>
    <n v="993"/>
    <x v="618"/>
    <x v="46"/>
    <n v="0"/>
    <n v="154"/>
    <x v="172"/>
    <s v="cliente154@mail.cl"/>
    <x v="1"/>
    <n v="40"/>
    <x v="4"/>
    <x v="3"/>
    <x v="2"/>
    <x v="7"/>
    <x v="0"/>
    <n v="25000"/>
    <n v="1"/>
    <n v="0"/>
    <n v="25000"/>
    <n v="0"/>
    <n v="25000"/>
  </r>
  <r>
    <n v="342"/>
    <x v="619"/>
    <x v="30"/>
    <n v="1"/>
    <n v="270"/>
    <x v="173"/>
    <s v="cliente270@mail.cl"/>
    <x v="1"/>
    <n v="39"/>
    <x v="6"/>
    <x v="4"/>
    <x v="1"/>
    <x v="3"/>
    <x v="1"/>
    <n v="700000"/>
    <n v="3"/>
    <n v="0"/>
    <n v="2100000"/>
    <n v="0"/>
    <n v="2100000"/>
  </r>
  <r>
    <n v="380"/>
    <x v="620"/>
    <x v="55"/>
    <n v="2"/>
    <n v="270"/>
    <x v="173"/>
    <s v="cliente270@mail.cl"/>
    <x v="1"/>
    <n v="39"/>
    <x v="9"/>
    <x v="7"/>
    <x v="1"/>
    <x v="9"/>
    <x v="4"/>
    <n v="15000"/>
    <n v="2"/>
    <n v="0"/>
    <n v="30000"/>
    <n v="0"/>
    <n v="30000"/>
  </r>
  <r>
    <n v="417"/>
    <x v="621"/>
    <x v="24"/>
    <n v="4"/>
    <n v="270"/>
    <x v="173"/>
    <s v="cliente270@mail.cl"/>
    <x v="1"/>
    <n v="39"/>
    <x v="3"/>
    <x v="3"/>
    <x v="2"/>
    <x v="5"/>
    <x v="2"/>
    <n v="750000"/>
    <n v="3"/>
    <n v="0.1"/>
    <n v="2250000"/>
    <n v="225000"/>
    <n v="2025000"/>
  </r>
  <r>
    <n v="542"/>
    <x v="622"/>
    <x v="53"/>
    <n v="4"/>
    <n v="270"/>
    <x v="173"/>
    <s v="cliente270@mail.cl"/>
    <x v="1"/>
    <n v="39"/>
    <x v="1"/>
    <x v="1"/>
    <x v="0"/>
    <x v="3"/>
    <x v="1"/>
    <n v="700000"/>
    <n v="3"/>
    <n v="0"/>
    <n v="2100000"/>
    <n v="0"/>
    <n v="2100000"/>
  </r>
  <r>
    <n v="756"/>
    <x v="623"/>
    <x v="4"/>
    <n v="6"/>
    <n v="270"/>
    <x v="173"/>
    <s v="cliente270@mail.cl"/>
    <x v="1"/>
    <n v="39"/>
    <x v="4"/>
    <x v="3"/>
    <x v="0"/>
    <x v="6"/>
    <x v="1"/>
    <n v="800000"/>
    <n v="2"/>
    <n v="0"/>
    <n v="1600000"/>
    <n v="0"/>
    <n v="1600000"/>
  </r>
  <r>
    <n v="863"/>
    <x v="624"/>
    <x v="29"/>
    <n v="2"/>
    <n v="270"/>
    <x v="173"/>
    <s v="cliente270@mail.cl"/>
    <x v="1"/>
    <n v="39"/>
    <x v="1"/>
    <x v="1"/>
    <x v="0"/>
    <x v="1"/>
    <x v="1"/>
    <n v="650000"/>
    <n v="2"/>
    <n v="0.1"/>
    <n v="1300000"/>
    <n v="130000"/>
    <n v="1170000"/>
  </r>
  <r>
    <n v="954"/>
    <x v="625"/>
    <x v="39"/>
    <n v="1"/>
    <n v="270"/>
    <x v="173"/>
    <s v="cliente270@mail.cl"/>
    <x v="1"/>
    <n v="39"/>
    <x v="8"/>
    <x v="6"/>
    <x v="1"/>
    <x v="9"/>
    <x v="4"/>
    <n v="15000"/>
    <n v="2"/>
    <n v="0"/>
    <n v="30000"/>
    <n v="0"/>
    <n v="30000"/>
  </r>
  <r>
    <n v="823"/>
    <x v="626"/>
    <x v="8"/>
    <n v="8"/>
    <n v="140"/>
    <x v="174"/>
    <s v="cliente140@mail.cl"/>
    <x v="1"/>
    <n v="23"/>
    <x v="4"/>
    <x v="3"/>
    <x v="1"/>
    <x v="2"/>
    <x v="2"/>
    <n v="450000"/>
    <n v="2"/>
    <n v="0.05"/>
    <n v="900000"/>
    <n v="45000"/>
    <n v="855000"/>
  </r>
  <r>
    <n v="21"/>
    <x v="627"/>
    <x v="57"/>
    <n v="1"/>
    <n v="172"/>
    <x v="175"/>
    <s v="cliente172@mail.cl"/>
    <x v="1"/>
    <n v="28"/>
    <x v="2"/>
    <x v="2"/>
    <x v="0"/>
    <x v="9"/>
    <x v="4"/>
    <n v="15000"/>
    <n v="1"/>
    <n v="0"/>
    <n v="15000"/>
    <n v="0"/>
    <n v="15000"/>
  </r>
  <r>
    <n v="621"/>
    <x v="628"/>
    <x v="18"/>
    <n v="1"/>
    <n v="172"/>
    <x v="175"/>
    <s v="cliente172@mail.cl"/>
    <x v="1"/>
    <n v="28"/>
    <x v="3"/>
    <x v="3"/>
    <x v="2"/>
    <x v="7"/>
    <x v="0"/>
    <n v="25000"/>
    <n v="1"/>
    <n v="0.05"/>
    <n v="25000"/>
    <n v="1250"/>
    <n v="23750"/>
  </r>
  <r>
    <n v="675"/>
    <x v="629"/>
    <x v="5"/>
    <n v="1"/>
    <n v="172"/>
    <x v="175"/>
    <s v="cliente172@mail.cl"/>
    <x v="1"/>
    <n v="28"/>
    <x v="3"/>
    <x v="3"/>
    <x v="1"/>
    <x v="3"/>
    <x v="1"/>
    <n v="700000"/>
    <n v="3"/>
    <n v="0.1"/>
    <n v="2100000"/>
    <n v="210000"/>
    <n v="1890000"/>
  </r>
  <r>
    <n v="375"/>
    <x v="630"/>
    <x v="25"/>
    <n v="1"/>
    <n v="20"/>
    <x v="176"/>
    <s v="cliente20@mail.cl"/>
    <x v="1"/>
    <n v="21"/>
    <x v="2"/>
    <x v="2"/>
    <x v="0"/>
    <x v="8"/>
    <x v="4"/>
    <n v="35000"/>
    <n v="1"/>
    <n v="0"/>
    <n v="35000"/>
    <n v="0"/>
    <n v="35000"/>
  </r>
  <r>
    <n v="481"/>
    <x v="631"/>
    <x v="55"/>
    <n v="2"/>
    <n v="20"/>
    <x v="176"/>
    <s v="cliente20@mail.cl"/>
    <x v="1"/>
    <n v="21"/>
    <x v="9"/>
    <x v="7"/>
    <x v="1"/>
    <x v="6"/>
    <x v="1"/>
    <n v="800000"/>
    <n v="3"/>
    <n v="0"/>
    <n v="2400000"/>
    <n v="0"/>
    <n v="2400000"/>
  </r>
  <r>
    <n v="620"/>
    <x v="632"/>
    <x v="1"/>
    <n v="5"/>
    <n v="20"/>
    <x v="176"/>
    <s v="cliente20@mail.cl"/>
    <x v="1"/>
    <n v="21"/>
    <x v="1"/>
    <x v="1"/>
    <x v="2"/>
    <x v="6"/>
    <x v="1"/>
    <n v="800000"/>
    <n v="1"/>
    <n v="0.1"/>
    <n v="800000"/>
    <n v="80000"/>
    <n v="720000"/>
  </r>
  <r>
    <n v="691"/>
    <x v="633"/>
    <x v="48"/>
    <n v="0"/>
    <n v="20"/>
    <x v="176"/>
    <s v="cliente20@mail.cl"/>
    <x v="1"/>
    <n v="21"/>
    <x v="9"/>
    <x v="7"/>
    <x v="2"/>
    <x v="5"/>
    <x v="2"/>
    <n v="750000"/>
    <n v="3"/>
    <n v="0.1"/>
    <n v="2250000"/>
    <n v="225000"/>
    <n v="2025000"/>
  </r>
  <r>
    <n v="4"/>
    <x v="634"/>
    <x v="45"/>
    <n v="1"/>
    <n v="65"/>
    <x v="177"/>
    <s v="cliente65@mail.cl"/>
    <x v="1"/>
    <n v="47"/>
    <x v="4"/>
    <x v="3"/>
    <x v="1"/>
    <x v="8"/>
    <x v="4"/>
    <n v="35000"/>
    <n v="2"/>
    <n v="0"/>
    <n v="70000"/>
    <n v="0"/>
    <n v="70000"/>
  </r>
  <r>
    <n v="280"/>
    <x v="635"/>
    <x v="22"/>
    <n v="5"/>
    <n v="65"/>
    <x v="177"/>
    <s v="cliente65@mail.cl"/>
    <x v="1"/>
    <n v="47"/>
    <x v="3"/>
    <x v="3"/>
    <x v="1"/>
    <x v="7"/>
    <x v="0"/>
    <n v="25000"/>
    <n v="3"/>
    <n v="0"/>
    <n v="75000"/>
    <n v="0"/>
    <n v="75000"/>
  </r>
  <r>
    <n v="397"/>
    <x v="636"/>
    <x v="47"/>
    <n v="7"/>
    <n v="65"/>
    <x v="177"/>
    <s v="cliente65@mail.cl"/>
    <x v="1"/>
    <n v="47"/>
    <x v="8"/>
    <x v="6"/>
    <x v="0"/>
    <x v="1"/>
    <x v="1"/>
    <n v="650000"/>
    <n v="3"/>
    <n v="0.05"/>
    <n v="1950000"/>
    <n v="97500"/>
    <n v="1852500"/>
  </r>
  <r>
    <n v="664"/>
    <x v="637"/>
    <x v="8"/>
    <n v="8"/>
    <n v="65"/>
    <x v="177"/>
    <s v="cliente65@mail.cl"/>
    <x v="1"/>
    <n v="47"/>
    <x v="4"/>
    <x v="3"/>
    <x v="2"/>
    <x v="1"/>
    <x v="1"/>
    <n v="650000"/>
    <n v="1"/>
    <n v="0"/>
    <n v="650000"/>
    <n v="0"/>
    <n v="650000"/>
  </r>
  <r>
    <n v="683"/>
    <x v="638"/>
    <x v="30"/>
    <n v="1"/>
    <n v="65"/>
    <x v="177"/>
    <s v="cliente65@mail.cl"/>
    <x v="1"/>
    <n v="47"/>
    <x v="6"/>
    <x v="4"/>
    <x v="0"/>
    <x v="3"/>
    <x v="1"/>
    <n v="700000"/>
    <n v="3"/>
    <n v="0"/>
    <n v="2100000"/>
    <n v="0"/>
    <n v="2100000"/>
  </r>
  <r>
    <n v="41"/>
    <x v="639"/>
    <x v="34"/>
    <n v="3"/>
    <n v="238"/>
    <x v="178"/>
    <s v="cliente238@mail.cl"/>
    <x v="1"/>
    <n v="40"/>
    <x v="6"/>
    <x v="4"/>
    <x v="1"/>
    <x v="8"/>
    <x v="4"/>
    <n v="35000"/>
    <n v="1"/>
    <n v="0"/>
    <n v="35000"/>
    <n v="0"/>
    <n v="35000"/>
  </r>
  <r>
    <n v="369"/>
    <x v="640"/>
    <x v="51"/>
    <n v="1"/>
    <n v="238"/>
    <x v="178"/>
    <s v="cliente238@mail.cl"/>
    <x v="1"/>
    <n v="40"/>
    <x v="3"/>
    <x v="3"/>
    <x v="1"/>
    <x v="9"/>
    <x v="4"/>
    <n v="15000"/>
    <n v="1"/>
    <n v="0"/>
    <n v="15000"/>
    <n v="0"/>
    <n v="15000"/>
  </r>
  <r>
    <n v="396"/>
    <x v="641"/>
    <x v="35"/>
    <n v="5"/>
    <n v="238"/>
    <x v="178"/>
    <s v="cliente238@mail.cl"/>
    <x v="1"/>
    <n v="40"/>
    <x v="6"/>
    <x v="4"/>
    <x v="1"/>
    <x v="4"/>
    <x v="3"/>
    <n v="55000"/>
    <n v="1"/>
    <n v="0"/>
    <n v="55000"/>
    <n v="0"/>
    <n v="55000"/>
  </r>
  <r>
    <n v="595"/>
    <x v="642"/>
    <x v="38"/>
    <n v="6"/>
    <n v="238"/>
    <x v="178"/>
    <s v="cliente238@mail.cl"/>
    <x v="1"/>
    <n v="40"/>
    <x v="8"/>
    <x v="6"/>
    <x v="1"/>
    <x v="0"/>
    <x v="0"/>
    <n v="12000"/>
    <n v="1"/>
    <n v="0.1"/>
    <n v="12000"/>
    <n v="1200"/>
    <n v="10800"/>
  </r>
  <r>
    <n v="748"/>
    <x v="643"/>
    <x v="6"/>
    <n v="0"/>
    <n v="238"/>
    <x v="178"/>
    <s v="cliente238@mail.cl"/>
    <x v="1"/>
    <n v="40"/>
    <x v="2"/>
    <x v="2"/>
    <x v="2"/>
    <x v="8"/>
    <x v="4"/>
    <n v="35000"/>
    <n v="2"/>
    <n v="0"/>
    <n v="70000"/>
    <n v="0"/>
    <n v="70000"/>
  </r>
  <r>
    <n v="774"/>
    <x v="644"/>
    <x v="44"/>
    <n v="2"/>
    <n v="238"/>
    <x v="178"/>
    <s v="cliente238@mail.cl"/>
    <x v="1"/>
    <n v="40"/>
    <x v="2"/>
    <x v="2"/>
    <x v="2"/>
    <x v="2"/>
    <x v="2"/>
    <n v="450000"/>
    <n v="3"/>
    <n v="0.05"/>
    <n v="1350000"/>
    <n v="67500"/>
    <n v="1282500"/>
  </r>
  <r>
    <n v="369"/>
    <x v="640"/>
    <x v="51"/>
    <n v="1"/>
    <n v="238"/>
    <x v="178"/>
    <s v="cliente238@mail.cl"/>
    <x v="1"/>
    <n v="40"/>
    <x v="3"/>
    <x v="3"/>
    <x v="1"/>
    <x v="9"/>
    <x v="4"/>
    <n v="15000"/>
    <n v="1"/>
    <n v="0"/>
    <n v="15000"/>
    <n v="0"/>
    <n v="15000"/>
  </r>
  <r>
    <n v="869"/>
    <x v="645"/>
    <x v="61"/>
    <n v="3"/>
    <n v="56"/>
    <x v="179"/>
    <s v="cliente56@mail.cl"/>
    <x v="0"/>
    <n v="49"/>
    <x v="7"/>
    <x v="5"/>
    <x v="0"/>
    <x v="5"/>
    <x v="2"/>
    <n v="750000"/>
    <n v="3"/>
    <n v="0"/>
    <n v="2250000"/>
    <n v="0"/>
    <n v="2250000"/>
  </r>
  <r>
    <n v="428"/>
    <x v="646"/>
    <x v="38"/>
    <n v="6"/>
    <n v="143"/>
    <x v="180"/>
    <s v="cliente143@mail.cl"/>
    <x v="0"/>
    <n v="18"/>
    <x v="8"/>
    <x v="6"/>
    <x v="0"/>
    <x v="7"/>
    <x v="0"/>
    <n v="25000"/>
    <n v="3"/>
    <n v="0"/>
    <n v="75000"/>
    <n v="0"/>
    <n v="75000"/>
  </r>
  <r>
    <n v="613"/>
    <x v="647"/>
    <x v="56"/>
    <n v="1"/>
    <n v="143"/>
    <x v="180"/>
    <s v="cliente143@mail.cl"/>
    <x v="0"/>
    <n v="18"/>
    <x v="5"/>
    <x v="2"/>
    <x v="2"/>
    <x v="6"/>
    <x v="1"/>
    <n v="800000"/>
    <n v="1"/>
    <n v="0.05"/>
    <n v="800000"/>
    <n v="40000"/>
    <n v="760000"/>
  </r>
  <r>
    <n v="583"/>
    <x v="648"/>
    <x v="69"/>
    <n v="1"/>
    <n v="77"/>
    <x v="181"/>
    <s v="cliente77@mail.cl"/>
    <x v="1"/>
    <n v="39"/>
    <x v="4"/>
    <x v="3"/>
    <x v="2"/>
    <x v="8"/>
    <x v="4"/>
    <n v="35000"/>
    <n v="1"/>
    <n v="0"/>
    <n v="35000"/>
    <n v="0"/>
    <n v="35000"/>
  </r>
  <r>
    <n v="89"/>
    <x v="649"/>
    <x v="20"/>
    <n v="6"/>
    <n v="104"/>
    <x v="182"/>
    <s v="cliente104@mail.cl"/>
    <x v="0"/>
    <n v="28"/>
    <x v="2"/>
    <x v="2"/>
    <x v="2"/>
    <x v="4"/>
    <x v="3"/>
    <n v="55000"/>
    <n v="3"/>
    <n v="0"/>
    <n v="165000"/>
    <n v="0"/>
    <n v="165000"/>
  </r>
  <r>
    <n v="133"/>
    <x v="650"/>
    <x v="26"/>
    <n v="1"/>
    <n v="104"/>
    <x v="182"/>
    <s v="cliente104@mail.cl"/>
    <x v="0"/>
    <n v="28"/>
    <x v="8"/>
    <x v="6"/>
    <x v="0"/>
    <x v="2"/>
    <x v="2"/>
    <n v="450000"/>
    <n v="1"/>
    <n v="0"/>
    <n v="450000"/>
    <n v="0"/>
    <n v="450000"/>
  </r>
  <r>
    <n v="188"/>
    <x v="651"/>
    <x v="23"/>
    <n v="1"/>
    <n v="104"/>
    <x v="182"/>
    <s v="cliente104@mail.cl"/>
    <x v="0"/>
    <n v="28"/>
    <x v="2"/>
    <x v="2"/>
    <x v="0"/>
    <x v="6"/>
    <x v="1"/>
    <n v="800000"/>
    <n v="2"/>
    <n v="0.1"/>
    <n v="1600000"/>
    <n v="160000"/>
    <n v="1440000"/>
  </r>
  <r>
    <n v="817"/>
    <x v="652"/>
    <x v="14"/>
    <n v="9"/>
    <n v="104"/>
    <x v="182"/>
    <s v="cliente104@mail.cl"/>
    <x v="0"/>
    <n v="28"/>
    <x v="8"/>
    <x v="6"/>
    <x v="1"/>
    <x v="5"/>
    <x v="2"/>
    <n v="750000"/>
    <n v="2"/>
    <n v="0.1"/>
    <n v="1500000"/>
    <n v="150000"/>
    <n v="1350000"/>
  </r>
  <r>
    <n v="916"/>
    <x v="653"/>
    <x v="4"/>
    <n v="6"/>
    <n v="104"/>
    <x v="182"/>
    <s v="cliente104@mail.cl"/>
    <x v="0"/>
    <n v="28"/>
    <x v="4"/>
    <x v="3"/>
    <x v="0"/>
    <x v="7"/>
    <x v="0"/>
    <n v="25000"/>
    <n v="2"/>
    <n v="0.05"/>
    <n v="50000"/>
    <n v="2500"/>
    <n v="47500"/>
  </r>
  <r>
    <n v="937"/>
    <x v="654"/>
    <x v="10"/>
    <n v="0"/>
    <n v="104"/>
    <x v="182"/>
    <s v="cliente104@mail.cl"/>
    <x v="0"/>
    <n v="28"/>
    <x v="7"/>
    <x v="5"/>
    <x v="2"/>
    <x v="5"/>
    <x v="2"/>
    <n v="750000"/>
    <n v="2"/>
    <n v="0"/>
    <n v="1500000"/>
    <n v="0"/>
    <n v="1500000"/>
  </r>
  <r>
    <n v="983"/>
    <x v="655"/>
    <x v="49"/>
    <n v="9"/>
    <n v="104"/>
    <x v="182"/>
    <s v="cliente104@mail.cl"/>
    <x v="0"/>
    <n v="28"/>
    <x v="4"/>
    <x v="3"/>
    <x v="0"/>
    <x v="1"/>
    <x v="1"/>
    <n v="650000"/>
    <n v="3"/>
    <n v="0.05"/>
    <n v="1950000"/>
    <n v="97500"/>
    <n v="1852500"/>
  </r>
  <r>
    <n v="260"/>
    <x v="656"/>
    <x v="22"/>
    <n v="5"/>
    <n v="91"/>
    <x v="183"/>
    <s v="cliente91@mail.cl"/>
    <x v="1"/>
    <n v="39"/>
    <x v="3"/>
    <x v="3"/>
    <x v="0"/>
    <x v="6"/>
    <x v="1"/>
    <n v="800000"/>
    <n v="2"/>
    <n v="0.1"/>
    <n v="1600000"/>
    <n v="160000"/>
    <n v="1440000"/>
  </r>
  <r>
    <n v="356"/>
    <x v="657"/>
    <x v="64"/>
    <n v="0"/>
    <n v="91"/>
    <x v="183"/>
    <s v="cliente91@mail.cl"/>
    <x v="1"/>
    <n v="39"/>
    <x v="5"/>
    <x v="2"/>
    <x v="0"/>
    <x v="6"/>
    <x v="1"/>
    <n v="800000"/>
    <n v="2"/>
    <n v="0"/>
    <n v="1600000"/>
    <n v="0"/>
    <n v="1600000"/>
  </r>
  <r>
    <n v="592"/>
    <x v="658"/>
    <x v="61"/>
    <n v="3"/>
    <n v="91"/>
    <x v="183"/>
    <s v="cliente91@mail.cl"/>
    <x v="1"/>
    <n v="39"/>
    <x v="7"/>
    <x v="5"/>
    <x v="2"/>
    <x v="0"/>
    <x v="0"/>
    <n v="12000"/>
    <n v="3"/>
    <n v="0.1"/>
    <n v="36000"/>
    <n v="3600"/>
    <n v="32400"/>
  </r>
  <r>
    <n v="797"/>
    <x v="659"/>
    <x v="33"/>
    <n v="4"/>
    <n v="91"/>
    <x v="183"/>
    <s v="cliente91@mail.cl"/>
    <x v="1"/>
    <n v="39"/>
    <x v="8"/>
    <x v="6"/>
    <x v="0"/>
    <x v="9"/>
    <x v="4"/>
    <n v="15000"/>
    <n v="1"/>
    <n v="0"/>
    <n v="15000"/>
    <n v="0"/>
    <n v="15000"/>
  </r>
  <r>
    <n v="834"/>
    <x v="660"/>
    <x v="12"/>
    <n v="4"/>
    <n v="91"/>
    <x v="183"/>
    <s v="cliente91@mail.cl"/>
    <x v="1"/>
    <n v="39"/>
    <x v="2"/>
    <x v="2"/>
    <x v="0"/>
    <x v="5"/>
    <x v="2"/>
    <n v="750000"/>
    <n v="1"/>
    <n v="0"/>
    <n v="750000"/>
    <n v="0"/>
    <n v="750000"/>
  </r>
  <r>
    <n v="288"/>
    <x v="661"/>
    <x v="10"/>
    <n v="0"/>
    <n v="73"/>
    <x v="184"/>
    <s v="cliente73@mail.cl"/>
    <x v="0"/>
    <n v="37"/>
    <x v="7"/>
    <x v="5"/>
    <x v="0"/>
    <x v="4"/>
    <x v="3"/>
    <n v="55000"/>
    <n v="1"/>
    <n v="0.1"/>
    <n v="55000"/>
    <n v="5500"/>
    <n v="49500"/>
  </r>
  <r>
    <n v="365"/>
    <x v="662"/>
    <x v="10"/>
    <n v="0"/>
    <n v="240"/>
    <x v="185"/>
    <s v="cliente240@mail.cl"/>
    <x v="1"/>
    <n v="48"/>
    <x v="7"/>
    <x v="5"/>
    <x v="0"/>
    <x v="4"/>
    <x v="3"/>
    <n v="55000"/>
    <n v="3"/>
    <n v="0.05"/>
    <n v="165000"/>
    <n v="8250"/>
    <n v="156750"/>
  </r>
  <r>
    <n v="530"/>
    <x v="663"/>
    <x v="58"/>
    <n v="13"/>
    <n v="240"/>
    <x v="185"/>
    <s v="cliente240@mail.cl"/>
    <x v="1"/>
    <n v="48"/>
    <x v="1"/>
    <x v="1"/>
    <x v="2"/>
    <x v="5"/>
    <x v="2"/>
    <n v="750000"/>
    <n v="3"/>
    <n v="0"/>
    <n v="2250000"/>
    <n v="0"/>
    <n v="2250000"/>
  </r>
  <r>
    <n v="563"/>
    <x v="664"/>
    <x v="45"/>
    <n v="1"/>
    <n v="240"/>
    <x v="185"/>
    <s v="cliente240@mail.cl"/>
    <x v="1"/>
    <n v="48"/>
    <x v="4"/>
    <x v="3"/>
    <x v="1"/>
    <x v="3"/>
    <x v="1"/>
    <n v="700000"/>
    <n v="2"/>
    <n v="0.05"/>
    <n v="1400000"/>
    <n v="70000"/>
    <n v="1330000"/>
  </r>
  <r>
    <n v="667"/>
    <x v="665"/>
    <x v="21"/>
    <n v="7"/>
    <n v="240"/>
    <x v="185"/>
    <s v="cliente240@mail.cl"/>
    <x v="1"/>
    <n v="48"/>
    <x v="1"/>
    <x v="1"/>
    <x v="1"/>
    <x v="7"/>
    <x v="0"/>
    <n v="25000"/>
    <n v="1"/>
    <n v="0"/>
    <n v="25000"/>
    <n v="0"/>
    <n v="25000"/>
  </r>
  <r>
    <n v="430"/>
    <x v="666"/>
    <x v="6"/>
    <n v="0"/>
    <n v="31"/>
    <x v="186"/>
    <s v="cliente31@mail.cl"/>
    <x v="1"/>
    <n v="30"/>
    <x v="2"/>
    <x v="2"/>
    <x v="1"/>
    <x v="8"/>
    <x v="4"/>
    <n v="35000"/>
    <n v="1"/>
    <n v="0"/>
    <n v="35000"/>
    <n v="0"/>
    <n v="35000"/>
  </r>
  <r>
    <n v="575"/>
    <x v="667"/>
    <x v="2"/>
    <n v="2"/>
    <n v="31"/>
    <x v="186"/>
    <s v="cliente31@mail.cl"/>
    <x v="1"/>
    <n v="30"/>
    <x v="2"/>
    <x v="2"/>
    <x v="0"/>
    <x v="9"/>
    <x v="4"/>
    <n v="15000"/>
    <n v="3"/>
    <n v="0"/>
    <n v="45000"/>
    <n v="0"/>
    <n v="45000"/>
  </r>
  <r>
    <n v="1"/>
    <x v="668"/>
    <x v="10"/>
    <n v="0"/>
    <n v="254"/>
    <x v="187"/>
    <s v="cliente254@mail.cl"/>
    <x v="1"/>
    <n v="50"/>
    <x v="7"/>
    <x v="5"/>
    <x v="0"/>
    <x v="9"/>
    <x v="4"/>
    <n v="15000"/>
    <n v="3"/>
    <n v="0"/>
    <n v="45000"/>
    <n v="0"/>
    <n v="45000"/>
  </r>
  <r>
    <n v="43"/>
    <x v="669"/>
    <x v="32"/>
    <n v="5"/>
    <n v="254"/>
    <x v="187"/>
    <s v="cliente254@mail.cl"/>
    <x v="1"/>
    <n v="50"/>
    <x v="6"/>
    <x v="4"/>
    <x v="0"/>
    <x v="2"/>
    <x v="2"/>
    <n v="450000"/>
    <n v="2"/>
    <n v="0"/>
    <n v="900000"/>
    <n v="0"/>
    <n v="900000"/>
  </r>
  <r>
    <n v="596"/>
    <x v="670"/>
    <x v="52"/>
    <n v="1"/>
    <n v="254"/>
    <x v="187"/>
    <s v="cliente254@mail.cl"/>
    <x v="1"/>
    <n v="50"/>
    <x v="6"/>
    <x v="4"/>
    <x v="2"/>
    <x v="8"/>
    <x v="4"/>
    <n v="35000"/>
    <n v="3"/>
    <n v="0"/>
    <n v="105000"/>
    <n v="0"/>
    <n v="105000"/>
  </r>
  <r>
    <n v="853"/>
    <x v="671"/>
    <x v="54"/>
    <n v="0"/>
    <n v="254"/>
    <x v="187"/>
    <s v="cliente254@mail.cl"/>
    <x v="1"/>
    <n v="50"/>
    <x v="9"/>
    <x v="7"/>
    <x v="1"/>
    <x v="2"/>
    <x v="2"/>
    <n v="450000"/>
    <n v="3"/>
    <n v="0.1"/>
    <n v="1350000"/>
    <n v="135000"/>
    <n v="1215000"/>
  </r>
  <r>
    <n v="942"/>
    <x v="672"/>
    <x v="9"/>
    <n v="1"/>
    <n v="254"/>
    <x v="187"/>
    <s v="cliente254@mail.cl"/>
    <x v="1"/>
    <n v="50"/>
    <x v="6"/>
    <x v="4"/>
    <x v="2"/>
    <x v="1"/>
    <x v="1"/>
    <n v="650000"/>
    <n v="3"/>
    <n v="0"/>
    <n v="1950000"/>
    <n v="0"/>
    <n v="1950000"/>
  </r>
  <r>
    <n v="505"/>
    <x v="673"/>
    <x v="0"/>
    <n v="5"/>
    <n v="146"/>
    <x v="188"/>
    <s v="cliente146@mail.cl"/>
    <x v="0"/>
    <n v="47"/>
    <x v="0"/>
    <x v="0"/>
    <x v="1"/>
    <x v="1"/>
    <x v="1"/>
    <n v="650000"/>
    <n v="1"/>
    <n v="0.1"/>
    <n v="650000"/>
    <n v="65000"/>
    <n v="585000"/>
  </r>
  <r>
    <n v="700"/>
    <x v="674"/>
    <x v="66"/>
    <n v="0"/>
    <n v="146"/>
    <x v="188"/>
    <s v="cliente146@mail.cl"/>
    <x v="0"/>
    <n v="47"/>
    <x v="9"/>
    <x v="7"/>
    <x v="2"/>
    <x v="7"/>
    <x v="0"/>
    <n v="25000"/>
    <n v="3"/>
    <n v="0.05"/>
    <n v="75000"/>
    <n v="3750"/>
    <n v="71250"/>
  </r>
  <r>
    <n v="969"/>
    <x v="675"/>
    <x v="12"/>
    <n v="4"/>
    <n v="146"/>
    <x v="188"/>
    <s v="cliente146@mail.cl"/>
    <x v="0"/>
    <n v="47"/>
    <x v="2"/>
    <x v="2"/>
    <x v="1"/>
    <x v="6"/>
    <x v="1"/>
    <n v="800000"/>
    <n v="1"/>
    <n v="0.1"/>
    <n v="800000"/>
    <n v="80000"/>
    <n v="720000"/>
  </r>
  <r>
    <n v="969"/>
    <x v="675"/>
    <x v="12"/>
    <n v="4"/>
    <n v="146"/>
    <x v="188"/>
    <s v="cliente146@mail.cl"/>
    <x v="0"/>
    <n v="47"/>
    <x v="2"/>
    <x v="2"/>
    <x v="1"/>
    <x v="6"/>
    <x v="1"/>
    <n v="800000"/>
    <n v="1"/>
    <n v="0.1"/>
    <n v="800000"/>
    <n v="80000"/>
    <n v="720000"/>
  </r>
  <r>
    <n v="54"/>
    <x v="676"/>
    <x v="4"/>
    <n v="6"/>
    <n v="99"/>
    <x v="189"/>
    <s v="cliente99@mail.cl"/>
    <x v="1"/>
    <n v="38"/>
    <x v="4"/>
    <x v="3"/>
    <x v="1"/>
    <x v="0"/>
    <x v="0"/>
    <n v="12000"/>
    <n v="3"/>
    <n v="0"/>
    <n v="36000"/>
    <n v="0"/>
    <n v="36000"/>
  </r>
  <r>
    <n v="414"/>
    <x v="677"/>
    <x v="52"/>
    <n v="1"/>
    <n v="99"/>
    <x v="189"/>
    <s v="cliente99@mail.cl"/>
    <x v="1"/>
    <n v="38"/>
    <x v="6"/>
    <x v="4"/>
    <x v="0"/>
    <x v="5"/>
    <x v="2"/>
    <n v="750000"/>
    <n v="3"/>
    <n v="0"/>
    <n v="2250000"/>
    <n v="0"/>
    <n v="2250000"/>
  </r>
  <r>
    <n v="566"/>
    <x v="678"/>
    <x v="69"/>
    <n v="1"/>
    <n v="99"/>
    <x v="189"/>
    <s v="cliente99@mail.cl"/>
    <x v="1"/>
    <n v="38"/>
    <x v="4"/>
    <x v="3"/>
    <x v="0"/>
    <x v="9"/>
    <x v="4"/>
    <n v="15000"/>
    <n v="1"/>
    <n v="0.05"/>
    <n v="15000"/>
    <n v="750"/>
    <n v="14250"/>
  </r>
  <r>
    <n v="838"/>
    <x v="679"/>
    <x v="0"/>
    <n v="5"/>
    <n v="99"/>
    <x v="189"/>
    <s v="cliente99@mail.cl"/>
    <x v="1"/>
    <n v="38"/>
    <x v="0"/>
    <x v="0"/>
    <x v="0"/>
    <x v="7"/>
    <x v="0"/>
    <n v="25000"/>
    <n v="3"/>
    <n v="0"/>
    <n v="75000"/>
    <n v="0"/>
    <n v="75000"/>
  </r>
  <r>
    <n v="759"/>
    <x v="680"/>
    <x v="38"/>
    <n v="6"/>
    <n v="156"/>
    <x v="190"/>
    <s v="cliente156@mail.cl"/>
    <x v="0"/>
    <n v="29"/>
    <x v="8"/>
    <x v="6"/>
    <x v="1"/>
    <x v="5"/>
    <x v="2"/>
    <n v="750000"/>
    <n v="3"/>
    <n v="0"/>
    <n v="2250000"/>
    <n v="0"/>
    <n v="2250000"/>
  </r>
  <r>
    <n v="92"/>
    <x v="681"/>
    <x v="21"/>
    <n v="7"/>
    <n v="130"/>
    <x v="191"/>
    <s v="cliente130@mail.cl"/>
    <x v="1"/>
    <n v="31"/>
    <x v="1"/>
    <x v="1"/>
    <x v="0"/>
    <x v="1"/>
    <x v="1"/>
    <n v="650000"/>
    <n v="3"/>
    <n v="0.05"/>
    <n v="1950000"/>
    <n v="97500"/>
    <n v="1852500"/>
  </r>
  <r>
    <n v="880"/>
    <x v="682"/>
    <x v="23"/>
    <n v="1"/>
    <n v="130"/>
    <x v="191"/>
    <s v="cliente130@mail.cl"/>
    <x v="1"/>
    <n v="31"/>
    <x v="2"/>
    <x v="2"/>
    <x v="1"/>
    <x v="6"/>
    <x v="1"/>
    <n v="800000"/>
    <n v="3"/>
    <n v="0.05"/>
    <n v="2400000"/>
    <n v="120000"/>
    <n v="2280000"/>
  </r>
  <r>
    <n v="920"/>
    <x v="683"/>
    <x v="23"/>
    <n v="1"/>
    <n v="130"/>
    <x v="191"/>
    <s v="cliente130@mail.cl"/>
    <x v="1"/>
    <n v="31"/>
    <x v="2"/>
    <x v="2"/>
    <x v="2"/>
    <x v="5"/>
    <x v="2"/>
    <n v="750000"/>
    <n v="3"/>
    <n v="0.05"/>
    <n v="2250000"/>
    <n v="112500"/>
    <n v="2137500"/>
  </r>
  <r>
    <n v="947"/>
    <x v="684"/>
    <x v="33"/>
    <n v="4"/>
    <n v="130"/>
    <x v="191"/>
    <s v="cliente130@mail.cl"/>
    <x v="1"/>
    <n v="31"/>
    <x v="8"/>
    <x v="6"/>
    <x v="1"/>
    <x v="5"/>
    <x v="2"/>
    <n v="750000"/>
    <n v="1"/>
    <n v="0.05"/>
    <n v="750000"/>
    <n v="37500"/>
    <n v="712500"/>
  </r>
  <r>
    <n v="564"/>
    <x v="685"/>
    <x v="17"/>
    <n v="0"/>
    <n v="236"/>
    <x v="192"/>
    <s v="cliente236@mail.cl"/>
    <x v="0"/>
    <n v="45"/>
    <x v="1"/>
    <x v="1"/>
    <x v="1"/>
    <x v="3"/>
    <x v="1"/>
    <n v="700000"/>
    <n v="1"/>
    <n v="0.05"/>
    <n v="700000"/>
    <n v="35000"/>
    <n v="665000"/>
  </r>
  <r>
    <n v="662"/>
    <x v="686"/>
    <x v="61"/>
    <n v="3"/>
    <n v="236"/>
    <x v="192"/>
    <s v="cliente236@mail.cl"/>
    <x v="0"/>
    <n v="45"/>
    <x v="7"/>
    <x v="5"/>
    <x v="0"/>
    <x v="5"/>
    <x v="2"/>
    <n v="750000"/>
    <n v="1"/>
    <n v="0.1"/>
    <n v="750000"/>
    <n v="75000"/>
    <n v="675000"/>
  </r>
  <r>
    <n v="62"/>
    <x v="687"/>
    <x v="15"/>
    <n v="8"/>
    <n v="249"/>
    <x v="193"/>
    <s v="cliente249@mail.cl"/>
    <x v="0"/>
    <n v="59"/>
    <x v="5"/>
    <x v="2"/>
    <x v="0"/>
    <x v="8"/>
    <x v="4"/>
    <n v="35000"/>
    <n v="2"/>
    <n v="0"/>
    <n v="70000"/>
    <n v="0"/>
    <n v="70000"/>
  </r>
  <r>
    <n v="317"/>
    <x v="688"/>
    <x v="40"/>
    <n v="1"/>
    <n v="249"/>
    <x v="193"/>
    <s v="cliente249@mail.cl"/>
    <x v="0"/>
    <n v="59"/>
    <x v="3"/>
    <x v="3"/>
    <x v="2"/>
    <x v="1"/>
    <x v="1"/>
    <n v="650000"/>
    <n v="3"/>
    <n v="0.05"/>
    <n v="1950000"/>
    <n v="97500"/>
    <n v="1852500"/>
  </r>
  <r>
    <n v="649"/>
    <x v="689"/>
    <x v="42"/>
    <n v="3"/>
    <n v="249"/>
    <x v="193"/>
    <s v="cliente249@mail.cl"/>
    <x v="0"/>
    <n v="59"/>
    <x v="0"/>
    <x v="0"/>
    <x v="0"/>
    <x v="0"/>
    <x v="0"/>
    <n v="12000"/>
    <n v="3"/>
    <n v="0"/>
    <n v="36000"/>
    <n v="0"/>
    <n v="36000"/>
  </r>
  <r>
    <n v="936"/>
    <x v="690"/>
    <x v="14"/>
    <n v="9"/>
    <n v="249"/>
    <x v="193"/>
    <s v="cliente249@mail.cl"/>
    <x v="0"/>
    <n v="59"/>
    <x v="8"/>
    <x v="6"/>
    <x v="1"/>
    <x v="5"/>
    <x v="2"/>
    <n v="750000"/>
    <n v="3"/>
    <n v="0.1"/>
    <n v="2250000"/>
    <n v="225000"/>
    <n v="2025000"/>
  </r>
  <r>
    <n v="286"/>
    <x v="691"/>
    <x v="42"/>
    <n v="3"/>
    <n v="128"/>
    <x v="194"/>
    <s v="cliente128@mail.cl"/>
    <x v="0"/>
    <n v="31"/>
    <x v="0"/>
    <x v="0"/>
    <x v="1"/>
    <x v="9"/>
    <x v="4"/>
    <n v="15000"/>
    <n v="1"/>
    <n v="0.1"/>
    <n v="15000"/>
    <n v="1500"/>
    <n v="13500"/>
  </r>
  <r>
    <n v="496"/>
    <x v="692"/>
    <x v="43"/>
    <n v="5"/>
    <n v="128"/>
    <x v="194"/>
    <s v="cliente128@mail.cl"/>
    <x v="0"/>
    <n v="31"/>
    <x v="7"/>
    <x v="5"/>
    <x v="1"/>
    <x v="8"/>
    <x v="4"/>
    <n v="35000"/>
    <n v="2"/>
    <n v="0"/>
    <n v="70000"/>
    <n v="0"/>
    <n v="70000"/>
  </r>
  <r>
    <n v="877"/>
    <x v="693"/>
    <x v="29"/>
    <n v="2"/>
    <n v="128"/>
    <x v="194"/>
    <s v="cliente128@mail.cl"/>
    <x v="0"/>
    <n v="31"/>
    <x v="1"/>
    <x v="1"/>
    <x v="1"/>
    <x v="2"/>
    <x v="2"/>
    <n v="450000"/>
    <n v="2"/>
    <n v="0.05"/>
    <n v="900000"/>
    <n v="45000"/>
    <n v="855000"/>
  </r>
  <r>
    <n v="956"/>
    <x v="694"/>
    <x v="22"/>
    <n v="5"/>
    <n v="128"/>
    <x v="194"/>
    <s v="cliente128@mail.cl"/>
    <x v="0"/>
    <n v="31"/>
    <x v="3"/>
    <x v="3"/>
    <x v="0"/>
    <x v="5"/>
    <x v="2"/>
    <n v="750000"/>
    <n v="2"/>
    <n v="0.05"/>
    <n v="1500000"/>
    <n v="75000"/>
    <n v="1425000"/>
  </r>
  <r>
    <n v="339"/>
    <x v="695"/>
    <x v="29"/>
    <n v="2"/>
    <n v="210"/>
    <x v="195"/>
    <s v="cliente210@mail.cl"/>
    <x v="1"/>
    <n v="75"/>
    <x v="1"/>
    <x v="1"/>
    <x v="0"/>
    <x v="2"/>
    <x v="2"/>
    <n v="450000"/>
    <n v="2"/>
    <n v="0"/>
    <n v="900000"/>
    <n v="0"/>
    <n v="900000"/>
  </r>
  <r>
    <n v="508"/>
    <x v="696"/>
    <x v="58"/>
    <n v="13"/>
    <n v="210"/>
    <x v="195"/>
    <s v="cliente210@mail.cl"/>
    <x v="1"/>
    <n v="75"/>
    <x v="1"/>
    <x v="1"/>
    <x v="1"/>
    <x v="6"/>
    <x v="1"/>
    <n v="800000"/>
    <n v="3"/>
    <n v="0"/>
    <n v="2400000"/>
    <n v="0"/>
    <n v="2400000"/>
  </r>
  <r>
    <n v="532"/>
    <x v="697"/>
    <x v="68"/>
    <n v="8"/>
    <n v="210"/>
    <x v="195"/>
    <s v="cliente210@mail.cl"/>
    <x v="1"/>
    <n v="75"/>
    <x v="9"/>
    <x v="7"/>
    <x v="1"/>
    <x v="1"/>
    <x v="1"/>
    <n v="650000"/>
    <n v="2"/>
    <n v="0"/>
    <n v="1300000"/>
    <n v="0"/>
    <n v="1300000"/>
  </r>
  <r>
    <n v="827"/>
    <x v="698"/>
    <x v="29"/>
    <n v="2"/>
    <n v="210"/>
    <x v="195"/>
    <s v="cliente210@mail.cl"/>
    <x v="1"/>
    <n v="75"/>
    <x v="1"/>
    <x v="1"/>
    <x v="1"/>
    <x v="6"/>
    <x v="1"/>
    <n v="800000"/>
    <n v="3"/>
    <n v="0"/>
    <n v="2400000"/>
    <n v="0"/>
    <n v="2400000"/>
  </r>
  <r>
    <n v="508"/>
    <x v="696"/>
    <x v="58"/>
    <n v="13"/>
    <n v="210"/>
    <x v="195"/>
    <s v="cliente210@mail.cl"/>
    <x v="1"/>
    <n v="75"/>
    <x v="1"/>
    <x v="1"/>
    <x v="1"/>
    <x v="6"/>
    <x v="1"/>
    <n v="800000"/>
    <n v="3"/>
    <n v="0"/>
    <n v="2400000"/>
    <n v="0"/>
    <n v="2400000"/>
  </r>
  <r>
    <n v="316"/>
    <x v="699"/>
    <x v="60"/>
    <n v="1"/>
    <n v="106"/>
    <x v="196"/>
    <s v="cliente106@mail.cl"/>
    <x v="1"/>
    <n v="42"/>
    <x v="8"/>
    <x v="6"/>
    <x v="2"/>
    <x v="8"/>
    <x v="4"/>
    <n v="35000"/>
    <n v="3"/>
    <n v="0.05"/>
    <n v="105000"/>
    <n v="5250"/>
    <n v="99750"/>
  </r>
  <r>
    <n v="411"/>
    <x v="700"/>
    <x v="16"/>
    <n v="7"/>
    <n v="106"/>
    <x v="196"/>
    <s v="cliente106@mail.cl"/>
    <x v="1"/>
    <n v="42"/>
    <x v="4"/>
    <x v="3"/>
    <x v="2"/>
    <x v="4"/>
    <x v="3"/>
    <n v="55000"/>
    <n v="1"/>
    <n v="0"/>
    <n v="55000"/>
    <n v="0"/>
    <n v="55000"/>
  </r>
  <r>
    <n v="500"/>
    <x v="701"/>
    <x v="18"/>
    <n v="1"/>
    <n v="106"/>
    <x v="196"/>
    <s v="cliente106@mail.cl"/>
    <x v="1"/>
    <n v="42"/>
    <x v="3"/>
    <x v="3"/>
    <x v="1"/>
    <x v="8"/>
    <x v="4"/>
    <n v="35000"/>
    <n v="1"/>
    <n v="0"/>
    <n v="35000"/>
    <n v="0"/>
    <n v="35000"/>
  </r>
  <r>
    <n v="543"/>
    <x v="702"/>
    <x v="33"/>
    <n v="4"/>
    <n v="106"/>
    <x v="196"/>
    <s v="cliente106@mail.cl"/>
    <x v="1"/>
    <n v="42"/>
    <x v="8"/>
    <x v="6"/>
    <x v="0"/>
    <x v="2"/>
    <x v="2"/>
    <n v="450000"/>
    <n v="3"/>
    <n v="0"/>
    <n v="1350000"/>
    <n v="0"/>
    <n v="1350000"/>
  </r>
  <r>
    <n v="815"/>
    <x v="703"/>
    <x v="16"/>
    <n v="7"/>
    <n v="106"/>
    <x v="196"/>
    <s v="cliente106@mail.cl"/>
    <x v="1"/>
    <n v="42"/>
    <x v="4"/>
    <x v="3"/>
    <x v="1"/>
    <x v="9"/>
    <x v="4"/>
    <n v="15000"/>
    <n v="2"/>
    <n v="0.05"/>
    <n v="30000"/>
    <n v="1500"/>
    <n v="28500"/>
  </r>
  <r>
    <n v="301"/>
    <x v="704"/>
    <x v="19"/>
    <n v="4"/>
    <n v="5"/>
    <x v="197"/>
    <s v="cliente5@mail.cl"/>
    <x v="1"/>
    <n v="35"/>
    <x v="6"/>
    <x v="4"/>
    <x v="2"/>
    <x v="1"/>
    <x v="1"/>
    <n v="650000"/>
    <n v="2"/>
    <n v="0.1"/>
    <n v="1300000"/>
    <n v="130000"/>
    <n v="1170000"/>
  </r>
  <r>
    <n v="352"/>
    <x v="705"/>
    <x v="68"/>
    <n v="8"/>
    <n v="5"/>
    <x v="197"/>
    <s v="cliente5@mail.cl"/>
    <x v="1"/>
    <n v="35"/>
    <x v="9"/>
    <x v="7"/>
    <x v="2"/>
    <x v="2"/>
    <x v="2"/>
    <n v="450000"/>
    <n v="1"/>
    <n v="0.05"/>
    <n v="450000"/>
    <n v="22500"/>
    <n v="427500"/>
  </r>
  <r>
    <n v="475"/>
    <x v="706"/>
    <x v="24"/>
    <n v="4"/>
    <n v="5"/>
    <x v="197"/>
    <s v="cliente5@mail.cl"/>
    <x v="1"/>
    <n v="35"/>
    <x v="3"/>
    <x v="3"/>
    <x v="1"/>
    <x v="4"/>
    <x v="3"/>
    <n v="55000"/>
    <n v="1"/>
    <n v="0.1"/>
    <n v="55000"/>
    <n v="5500"/>
    <n v="49500"/>
  </r>
  <r>
    <n v="680"/>
    <x v="707"/>
    <x v="37"/>
    <n v="3"/>
    <n v="5"/>
    <x v="197"/>
    <s v="cliente5@mail.cl"/>
    <x v="1"/>
    <n v="35"/>
    <x v="5"/>
    <x v="2"/>
    <x v="0"/>
    <x v="3"/>
    <x v="1"/>
    <n v="700000"/>
    <n v="3"/>
    <n v="0"/>
    <n v="2100000"/>
    <n v="0"/>
    <n v="2100000"/>
  </r>
  <r>
    <n v="521"/>
    <x v="708"/>
    <x v="8"/>
    <n v="8"/>
    <n v="57"/>
    <x v="198"/>
    <s v="cliente57@mail.cl"/>
    <x v="0"/>
    <n v="27"/>
    <x v="4"/>
    <x v="3"/>
    <x v="1"/>
    <x v="6"/>
    <x v="1"/>
    <n v="800000"/>
    <n v="3"/>
    <n v="0.05"/>
    <n v="2400000"/>
    <n v="120000"/>
    <n v="2280000"/>
  </r>
  <r>
    <n v="576"/>
    <x v="709"/>
    <x v="38"/>
    <n v="6"/>
    <n v="57"/>
    <x v="198"/>
    <s v="cliente57@mail.cl"/>
    <x v="0"/>
    <n v="27"/>
    <x v="8"/>
    <x v="6"/>
    <x v="0"/>
    <x v="8"/>
    <x v="4"/>
    <n v="35000"/>
    <n v="3"/>
    <n v="0.1"/>
    <n v="105000"/>
    <n v="10500"/>
    <n v="94500"/>
  </r>
  <r>
    <n v="938"/>
    <x v="710"/>
    <x v="33"/>
    <n v="4"/>
    <n v="57"/>
    <x v="198"/>
    <s v="cliente57@mail.cl"/>
    <x v="0"/>
    <n v="27"/>
    <x v="8"/>
    <x v="6"/>
    <x v="1"/>
    <x v="5"/>
    <x v="2"/>
    <n v="750000"/>
    <n v="2"/>
    <n v="0.1"/>
    <n v="1500000"/>
    <n v="150000"/>
    <n v="1350000"/>
  </r>
  <r>
    <n v="267"/>
    <x v="711"/>
    <x v="2"/>
    <n v="2"/>
    <n v="139"/>
    <x v="199"/>
    <s v="cliente139@mail.cl"/>
    <x v="1"/>
    <n v="47"/>
    <x v="2"/>
    <x v="2"/>
    <x v="1"/>
    <x v="9"/>
    <x v="4"/>
    <n v="15000"/>
    <n v="1"/>
    <n v="0"/>
    <n v="15000"/>
    <n v="0"/>
    <n v="15000"/>
  </r>
  <r>
    <n v="345"/>
    <x v="712"/>
    <x v="22"/>
    <n v="5"/>
    <n v="139"/>
    <x v="199"/>
    <s v="cliente139@mail.cl"/>
    <x v="1"/>
    <n v="47"/>
    <x v="3"/>
    <x v="3"/>
    <x v="1"/>
    <x v="4"/>
    <x v="3"/>
    <n v="55000"/>
    <n v="2"/>
    <n v="0.1"/>
    <n v="110000"/>
    <n v="11000"/>
    <n v="99000"/>
  </r>
  <r>
    <n v="445"/>
    <x v="713"/>
    <x v="0"/>
    <n v="5"/>
    <n v="139"/>
    <x v="199"/>
    <s v="cliente139@mail.cl"/>
    <x v="1"/>
    <n v="47"/>
    <x v="0"/>
    <x v="0"/>
    <x v="1"/>
    <x v="3"/>
    <x v="1"/>
    <n v="700000"/>
    <n v="3"/>
    <n v="0.05"/>
    <n v="2100000"/>
    <n v="105000"/>
    <n v="1995000"/>
  </r>
  <r>
    <n v="742"/>
    <x v="714"/>
    <x v="6"/>
    <n v="0"/>
    <n v="139"/>
    <x v="199"/>
    <s v="cliente139@mail.cl"/>
    <x v="1"/>
    <n v="47"/>
    <x v="2"/>
    <x v="2"/>
    <x v="0"/>
    <x v="0"/>
    <x v="0"/>
    <n v="12000"/>
    <n v="2"/>
    <n v="0"/>
    <n v="24000"/>
    <n v="0"/>
    <n v="24000"/>
  </r>
  <r>
    <n v="848"/>
    <x v="715"/>
    <x v="48"/>
    <n v="0"/>
    <n v="139"/>
    <x v="199"/>
    <s v="cliente139@mail.cl"/>
    <x v="1"/>
    <n v="47"/>
    <x v="9"/>
    <x v="7"/>
    <x v="0"/>
    <x v="2"/>
    <x v="2"/>
    <n v="450000"/>
    <n v="2"/>
    <n v="0.1"/>
    <n v="900000"/>
    <n v="90000"/>
    <n v="810000"/>
  </r>
  <r>
    <n v="420"/>
    <x v="716"/>
    <x v="49"/>
    <n v="9"/>
    <n v="203"/>
    <x v="200"/>
    <s v="cliente203@mail.cl"/>
    <x v="0"/>
    <n v="50"/>
    <x v="4"/>
    <x v="3"/>
    <x v="1"/>
    <x v="5"/>
    <x v="2"/>
    <n v="750000"/>
    <n v="1"/>
    <n v="0"/>
    <n v="750000"/>
    <n v="0"/>
    <n v="750000"/>
  </r>
  <r>
    <n v="562"/>
    <x v="717"/>
    <x v="20"/>
    <n v="6"/>
    <n v="203"/>
    <x v="200"/>
    <s v="cliente203@mail.cl"/>
    <x v="0"/>
    <n v="50"/>
    <x v="2"/>
    <x v="2"/>
    <x v="2"/>
    <x v="9"/>
    <x v="4"/>
    <n v="15000"/>
    <n v="1"/>
    <n v="0"/>
    <n v="15000"/>
    <n v="0"/>
    <n v="15000"/>
  </r>
  <r>
    <n v="11"/>
    <x v="718"/>
    <x v="7"/>
    <n v="3"/>
    <n v="136"/>
    <x v="201"/>
    <s v="cliente136@mail.cl"/>
    <x v="0"/>
    <n v="56"/>
    <x v="5"/>
    <x v="2"/>
    <x v="0"/>
    <x v="1"/>
    <x v="1"/>
    <n v="650000"/>
    <n v="2"/>
    <n v="0"/>
    <n v="1300000"/>
    <n v="0"/>
    <n v="1300000"/>
  </r>
  <r>
    <n v="366"/>
    <x v="719"/>
    <x v="31"/>
    <n v="3"/>
    <n v="136"/>
    <x v="201"/>
    <s v="cliente136@mail.cl"/>
    <x v="0"/>
    <n v="56"/>
    <x v="5"/>
    <x v="2"/>
    <x v="1"/>
    <x v="9"/>
    <x v="4"/>
    <n v="15000"/>
    <n v="3"/>
    <n v="0.05"/>
    <n v="45000"/>
    <n v="2250"/>
    <n v="42750"/>
  </r>
  <r>
    <n v="571"/>
    <x v="720"/>
    <x v="12"/>
    <n v="4"/>
    <n v="136"/>
    <x v="201"/>
    <s v="cliente136@mail.cl"/>
    <x v="0"/>
    <n v="56"/>
    <x v="2"/>
    <x v="2"/>
    <x v="0"/>
    <x v="0"/>
    <x v="0"/>
    <n v="12000"/>
    <n v="1"/>
    <n v="0.1"/>
    <n v="12000"/>
    <n v="1200"/>
    <n v="10800"/>
  </r>
  <r>
    <n v="615"/>
    <x v="721"/>
    <x v="45"/>
    <n v="1"/>
    <n v="136"/>
    <x v="201"/>
    <s v="cliente136@mail.cl"/>
    <x v="0"/>
    <n v="56"/>
    <x v="4"/>
    <x v="3"/>
    <x v="1"/>
    <x v="7"/>
    <x v="0"/>
    <n v="25000"/>
    <n v="2"/>
    <n v="0.05"/>
    <n v="50000"/>
    <n v="2500"/>
    <n v="47500"/>
  </r>
  <r>
    <n v="671"/>
    <x v="722"/>
    <x v="41"/>
    <n v="0"/>
    <n v="136"/>
    <x v="201"/>
    <s v="cliente136@mail.cl"/>
    <x v="0"/>
    <n v="56"/>
    <x v="2"/>
    <x v="2"/>
    <x v="1"/>
    <x v="9"/>
    <x v="4"/>
    <n v="15000"/>
    <n v="3"/>
    <n v="0"/>
    <n v="45000"/>
    <n v="0"/>
    <n v="45000"/>
  </r>
  <r>
    <n v="88"/>
    <x v="723"/>
    <x v="55"/>
    <n v="2"/>
    <n v="125"/>
    <x v="202"/>
    <s v="cliente125@mail.cl"/>
    <x v="0"/>
    <n v="45"/>
    <x v="9"/>
    <x v="7"/>
    <x v="1"/>
    <x v="7"/>
    <x v="0"/>
    <n v="25000"/>
    <n v="1"/>
    <n v="0"/>
    <n v="25000"/>
    <n v="0"/>
    <n v="25000"/>
  </r>
  <r>
    <n v="157"/>
    <x v="724"/>
    <x v="65"/>
    <n v="4"/>
    <n v="125"/>
    <x v="202"/>
    <s v="cliente125@mail.cl"/>
    <x v="0"/>
    <n v="45"/>
    <x v="7"/>
    <x v="5"/>
    <x v="0"/>
    <x v="1"/>
    <x v="1"/>
    <n v="650000"/>
    <n v="3"/>
    <n v="0.1"/>
    <n v="1950000"/>
    <n v="195000"/>
    <n v="1755000"/>
  </r>
  <r>
    <n v="467"/>
    <x v="725"/>
    <x v="11"/>
    <n v="0"/>
    <n v="125"/>
    <x v="202"/>
    <s v="cliente125@mail.cl"/>
    <x v="0"/>
    <n v="45"/>
    <x v="8"/>
    <x v="6"/>
    <x v="1"/>
    <x v="0"/>
    <x v="0"/>
    <n v="12000"/>
    <n v="1"/>
    <n v="0"/>
    <n v="12000"/>
    <n v="0"/>
    <n v="12000"/>
  </r>
  <r>
    <n v="629"/>
    <x v="726"/>
    <x v="30"/>
    <n v="1"/>
    <n v="125"/>
    <x v="202"/>
    <s v="cliente125@mail.cl"/>
    <x v="0"/>
    <n v="45"/>
    <x v="6"/>
    <x v="4"/>
    <x v="2"/>
    <x v="8"/>
    <x v="4"/>
    <n v="35000"/>
    <n v="2"/>
    <n v="0.1"/>
    <n v="70000"/>
    <n v="7000"/>
    <n v="63000"/>
  </r>
  <r>
    <n v="975"/>
    <x v="727"/>
    <x v="12"/>
    <n v="4"/>
    <n v="125"/>
    <x v="202"/>
    <s v="cliente125@mail.cl"/>
    <x v="0"/>
    <n v="45"/>
    <x v="2"/>
    <x v="2"/>
    <x v="2"/>
    <x v="4"/>
    <x v="3"/>
    <n v="55000"/>
    <n v="2"/>
    <n v="0.1"/>
    <n v="110000"/>
    <n v="11000"/>
    <n v="99000"/>
  </r>
  <r>
    <n v="590"/>
    <x v="728"/>
    <x v="59"/>
    <n v="0"/>
    <n v="42"/>
    <x v="203"/>
    <s v="cliente42@mail.cl"/>
    <x v="1"/>
    <n v="40"/>
    <x v="2"/>
    <x v="2"/>
    <x v="1"/>
    <x v="6"/>
    <x v="1"/>
    <n v="800000"/>
    <n v="3"/>
    <n v="0.05"/>
    <n v="2400000"/>
    <n v="120000"/>
    <n v="2280000"/>
  </r>
  <r>
    <n v="58"/>
    <x v="729"/>
    <x v="28"/>
    <n v="0"/>
    <n v="167"/>
    <x v="204"/>
    <s v="cliente167@mail.cl"/>
    <x v="0"/>
    <n v="47"/>
    <x v="7"/>
    <x v="5"/>
    <x v="0"/>
    <x v="6"/>
    <x v="1"/>
    <n v="800000"/>
    <n v="2"/>
    <n v="0"/>
    <n v="1600000"/>
    <n v="0"/>
    <n v="1600000"/>
  </r>
  <r>
    <n v="96"/>
    <x v="730"/>
    <x v="56"/>
    <n v="1"/>
    <n v="167"/>
    <x v="204"/>
    <s v="cliente167@mail.cl"/>
    <x v="0"/>
    <n v="47"/>
    <x v="5"/>
    <x v="2"/>
    <x v="0"/>
    <x v="4"/>
    <x v="3"/>
    <n v="55000"/>
    <n v="2"/>
    <n v="0.05"/>
    <n v="110000"/>
    <n v="5500"/>
    <n v="104500"/>
  </r>
  <r>
    <n v="180"/>
    <x v="731"/>
    <x v="13"/>
    <n v="1"/>
    <n v="167"/>
    <x v="204"/>
    <s v="cliente167@mail.cl"/>
    <x v="0"/>
    <n v="47"/>
    <x v="6"/>
    <x v="4"/>
    <x v="0"/>
    <x v="1"/>
    <x v="1"/>
    <n v="650000"/>
    <n v="3"/>
    <n v="0"/>
    <n v="1950000"/>
    <n v="0"/>
    <n v="1950000"/>
  </r>
  <r>
    <n v="391"/>
    <x v="732"/>
    <x v="20"/>
    <n v="6"/>
    <n v="167"/>
    <x v="204"/>
    <s v="cliente167@mail.cl"/>
    <x v="0"/>
    <n v="47"/>
    <x v="2"/>
    <x v="2"/>
    <x v="0"/>
    <x v="4"/>
    <x v="3"/>
    <n v="55000"/>
    <n v="1"/>
    <n v="0"/>
    <n v="55000"/>
    <n v="0"/>
    <n v="55000"/>
  </r>
  <r>
    <n v="27"/>
    <x v="733"/>
    <x v="53"/>
    <n v="4"/>
    <n v="252"/>
    <x v="205"/>
    <s v="cliente252@mail.cl"/>
    <x v="0"/>
    <n v="49"/>
    <x v="1"/>
    <x v="1"/>
    <x v="2"/>
    <x v="0"/>
    <x v="0"/>
    <n v="12000"/>
    <n v="1"/>
    <n v="0"/>
    <n v="12000"/>
    <n v="0"/>
    <n v="12000"/>
  </r>
  <r>
    <n v="389"/>
    <x v="734"/>
    <x v="41"/>
    <n v="0"/>
    <n v="252"/>
    <x v="205"/>
    <s v="cliente252@mail.cl"/>
    <x v="0"/>
    <n v="49"/>
    <x v="2"/>
    <x v="2"/>
    <x v="1"/>
    <x v="4"/>
    <x v="3"/>
    <n v="55000"/>
    <n v="1"/>
    <n v="0"/>
    <n v="55000"/>
    <n v="0"/>
    <n v="55000"/>
  </r>
  <r>
    <n v="544"/>
    <x v="735"/>
    <x v="24"/>
    <n v="4"/>
    <n v="252"/>
    <x v="205"/>
    <s v="cliente252@mail.cl"/>
    <x v="0"/>
    <n v="49"/>
    <x v="3"/>
    <x v="3"/>
    <x v="0"/>
    <x v="3"/>
    <x v="1"/>
    <n v="700000"/>
    <n v="3"/>
    <n v="0"/>
    <n v="2100000"/>
    <n v="0"/>
    <n v="2100000"/>
  </r>
  <r>
    <n v="706"/>
    <x v="736"/>
    <x v="30"/>
    <n v="1"/>
    <n v="252"/>
    <x v="205"/>
    <s v="cliente252@mail.cl"/>
    <x v="0"/>
    <n v="49"/>
    <x v="6"/>
    <x v="4"/>
    <x v="0"/>
    <x v="1"/>
    <x v="1"/>
    <n v="650000"/>
    <n v="2"/>
    <n v="0.05"/>
    <n v="1300000"/>
    <n v="65000"/>
    <n v="1235000"/>
  </r>
  <r>
    <n v="90"/>
    <x v="737"/>
    <x v="27"/>
    <n v="4"/>
    <n v="205"/>
    <x v="206"/>
    <s v="cliente205@mail.cl"/>
    <x v="1"/>
    <n v="21"/>
    <x v="1"/>
    <x v="1"/>
    <x v="1"/>
    <x v="5"/>
    <x v="2"/>
    <n v="750000"/>
    <n v="3"/>
    <n v="0"/>
    <n v="2250000"/>
    <n v="0"/>
    <n v="2250000"/>
  </r>
  <r>
    <n v="811"/>
    <x v="738"/>
    <x v="37"/>
    <n v="3"/>
    <n v="205"/>
    <x v="206"/>
    <s v="cliente205@mail.cl"/>
    <x v="1"/>
    <n v="21"/>
    <x v="5"/>
    <x v="2"/>
    <x v="2"/>
    <x v="3"/>
    <x v="1"/>
    <n v="700000"/>
    <n v="2"/>
    <n v="0.1"/>
    <n v="1400000"/>
    <n v="140000"/>
    <n v="1260000"/>
  </r>
  <r>
    <n v="940"/>
    <x v="739"/>
    <x v="52"/>
    <n v="1"/>
    <n v="205"/>
    <x v="206"/>
    <s v="cliente205@mail.cl"/>
    <x v="1"/>
    <n v="21"/>
    <x v="6"/>
    <x v="4"/>
    <x v="1"/>
    <x v="5"/>
    <x v="2"/>
    <n v="750000"/>
    <n v="2"/>
    <n v="0"/>
    <n v="1500000"/>
    <n v="0"/>
    <n v="1500000"/>
  </r>
  <r>
    <n v="986"/>
    <x v="740"/>
    <x v="7"/>
    <n v="3"/>
    <n v="205"/>
    <x v="206"/>
    <s v="cliente205@mail.cl"/>
    <x v="1"/>
    <n v="21"/>
    <x v="5"/>
    <x v="2"/>
    <x v="1"/>
    <x v="5"/>
    <x v="2"/>
    <n v="750000"/>
    <n v="1"/>
    <n v="0"/>
    <n v="750000"/>
    <n v="0"/>
    <n v="750000"/>
  </r>
  <r>
    <n v="811"/>
    <x v="738"/>
    <x v="37"/>
    <n v="3"/>
    <n v="205"/>
    <x v="206"/>
    <s v="cliente205@mail.cl"/>
    <x v="1"/>
    <n v="21"/>
    <x v="5"/>
    <x v="2"/>
    <x v="2"/>
    <x v="3"/>
    <x v="1"/>
    <n v="700000"/>
    <n v="2"/>
    <n v="0.1"/>
    <n v="1400000"/>
    <n v="140000"/>
    <n v="1260000"/>
  </r>
  <r>
    <n v="108"/>
    <x v="741"/>
    <x v="9"/>
    <n v="1"/>
    <n v="75"/>
    <x v="207"/>
    <s v="cliente75@mail.cl"/>
    <x v="1"/>
    <n v="18"/>
    <x v="6"/>
    <x v="4"/>
    <x v="2"/>
    <x v="7"/>
    <x v="0"/>
    <n v="25000"/>
    <n v="2"/>
    <n v="0"/>
    <n v="50000"/>
    <n v="0"/>
    <n v="50000"/>
  </r>
  <r>
    <n v="300"/>
    <x v="742"/>
    <x v="9"/>
    <n v="1"/>
    <n v="75"/>
    <x v="207"/>
    <s v="cliente75@mail.cl"/>
    <x v="1"/>
    <n v="18"/>
    <x v="6"/>
    <x v="4"/>
    <x v="1"/>
    <x v="4"/>
    <x v="3"/>
    <n v="55000"/>
    <n v="2"/>
    <n v="0.05"/>
    <n v="110000"/>
    <n v="5500"/>
    <n v="104500"/>
  </r>
  <r>
    <n v="335"/>
    <x v="743"/>
    <x v="25"/>
    <n v="1"/>
    <n v="75"/>
    <x v="207"/>
    <s v="cliente75@mail.cl"/>
    <x v="1"/>
    <n v="18"/>
    <x v="2"/>
    <x v="2"/>
    <x v="1"/>
    <x v="2"/>
    <x v="2"/>
    <n v="450000"/>
    <n v="3"/>
    <n v="0.05"/>
    <n v="1350000"/>
    <n v="67500"/>
    <n v="1282500"/>
  </r>
  <r>
    <n v="442"/>
    <x v="744"/>
    <x v="7"/>
    <n v="3"/>
    <n v="75"/>
    <x v="207"/>
    <s v="cliente75@mail.cl"/>
    <x v="1"/>
    <n v="18"/>
    <x v="5"/>
    <x v="2"/>
    <x v="1"/>
    <x v="8"/>
    <x v="4"/>
    <n v="35000"/>
    <n v="3"/>
    <n v="0"/>
    <n v="105000"/>
    <n v="0"/>
    <n v="105000"/>
  </r>
  <r>
    <n v="728"/>
    <x v="745"/>
    <x v="41"/>
    <n v="0"/>
    <n v="75"/>
    <x v="207"/>
    <s v="cliente75@mail.cl"/>
    <x v="1"/>
    <n v="18"/>
    <x v="2"/>
    <x v="2"/>
    <x v="1"/>
    <x v="5"/>
    <x v="2"/>
    <n v="750000"/>
    <n v="2"/>
    <n v="0.1"/>
    <n v="1500000"/>
    <n v="150000"/>
    <n v="1350000"/>
  </r>
  <r>
    <n v="10"/>
    <x v="746"/>
    <x v="36"/>
    <n v="2"/>
    <n v="35"/>
    <x v="208"/>
    <s v="cliente35@mail.cl"/>
    <x v="0"/>
    <n v="47"/>
    <x v="5"/>
    <x v="2"/>
    <x v="1"/>
    <x v="8"/>
    <x v="4"/>
    <n v="35000"/>
    <n v="3"/>
    <n v="0"/>
    <n v="105000"/>
    <n v="0"/>
    <n v="105000"/>
  </r>
  <r>
    <n v="100"/>
    <x v="747"/>
    <x v="10"/>
    <n v="0"/>
    <n v="35"/>
    <x v="208"/>
    <s v="cliente35@mail.cl"/>
    <x v="0"/>
    <n v="47"/>
    <x v="7"/>
    <x v="5"/>
    <x v="0"/>
    <x v="2"/>
    <x v="2"/>
    <n v="450000"/>
    <n v="2"/>
    <n v="0.1"/>
    <n v="900000"/>
    <n v="90000"/>
    <n v="810000"/>
  </r>
  <r>
    <n v="225"/>
    <x v="748"/>
    <x v="34"/>
    <n v="3"/>
    <n v="35"/>
    <x v="208"/>
    <s v="cliente35@mail.cl"/>
    <x v="0"/>
    <n v="47"/>
    <x v="6"/>
    <x v="4"/>
    <x v="0"/>
    <x v="3"/>
    <x v="1"/>
    <n v="700000"/>
    <n v="2"/>
    <n v="0"/>
    <n v="1400000"/>
    <n v="0"/>
    <n v="1400000"/>
  </r>
  <r>
    <n v="484"/>
    <x v="749"/>
    <x v="12"/>
    <n v="4"/>
    <n v="35"/>
    <x v="208"/>
    <s v="cliente35@mail.cl"/>
    <x v="0"/>
    <n v="47"/>
    <x v="2"/>
    <x v="2"/>
    <x v="1"/>
    <x v="8"/>
    <x v="4"/>
    <n v="35000"/>
    <n v="1"/>
    <n v="0.05"/>
    <n v="35000"/>
    <n v="1750"/>
    <n v="33250"/>
  </r>
  <r>
    <n v="704"/>
    <x v="750"/>
    <x v="43"/>
    <n v="5"/>
    <n v="35"/>
    <x v="208"/>
    <s v="cliente35@mail.cl"/>
    <x v="0"/>
    <n v="47"/>
    <x v="7"/>
    <x v="5"/>
    <x v="0"/>
    <x v="8"/>
    <x v="4"/>
    <n v="35000"/>
    <n v="3"/>
    <n v="0.1"/>
    <n v="105000"/>
    <n v="10500"/>
    <n v="94500"/>
  </r>
  <r>
    <n v="951"/>
    <x v="751"/>
    <x v="69"/>
    <n v="1"/>
    <n v="35"/>
    <x v="208"/>
    <s v="cliente35@mail.cl"/>
    <x v="0"/>
    <n v="47"/>
    <x v="4"/>
    <x v="3"/>
    <x v="2"/>
    <x v="4"/>
    <x v="3"/>
    <n v="55000"/>
    <n v="2"/>
    <n v="0"/>
    <n v="110000"/>
    <n v="0"/>
    <n v="110000"/>
  </r>
  <r>
    <n v="23"/>
    <x v="752"/>
    <x v="61"/>
    <n v="3"/>
    <n v="232"/>
    <x v="209"/>
    <s v="cliente232@mail.cl"/>
    <x v="1"/>
    <n v="40"/>
    <x v="7"/>
    <x v="5"/>
    <x v="1"/>
    <x v="9"/>
    <x v="4"/>
    <n v="15000"/>
    <n v="1"/>
    <n v="0.05"/>
    <n v="15000"/>
    <n v="750"/>
    <n v="14250"/>
  </r>
  <r>
    <n v="446"/>
    <x v="753"/>
    <x v="67"/>
    <n v="9"/>
    <n v="232"/>
    <x v="209"/>
    <s v="cliente232@mail.cl"/>
    <x v="1"/>
    <n v="40"/>
    <x v="2"/>
    <x v="2"/>
    <x v="2"/>
    <x v="3"/>
    <x v="1"/>
    <n v="700000"/>
    <n v="2"/>
    <n v="0.1"/>
    <n v="1400000"/>
    <n v="140000"/>
    <n v="1260000"/>
  </r>
  <r>
    <n v="610"/>
    <x v="754"/>
    <x v="7"/>
    <n v="3"/>
    <n v="232"/>
    <x v="209"/>
    <s v="cliente232@mail.cl"/>
    <x v="1"/>
    <n v="40"/>
    <x v="5"/>
    <x v="2"/>
    <x v="0"/>
    <x v="1"/>
    <x v="1"/>
    <n v="650000"/>
    <n v="1"/>
    <n v="0.1"/>
    <n v="650000"/>
    <n v="65000"/>
    <n v="585000"/>
  </r>
  <r>
    <n v="985"/>
    <x v="755"/>
    <x v="21"/>
    <n v="7"/>
    <n v="232"/>
    <x v="209"/>
    <s v="cliente232@mail.cl"/>
    <x v="1"/>
    <n v="40"/>
    <x v="1"/>
    <x v="1"/>
    <x v="0"/>
    <x v="6"/>
    <x v="1"/>
    <n v="800000"/>
    <n v="2"/>
    <n v="0"/>
    <n v="1600000"/>
    <n v="0"/>
    <n v="1600000"/>
  </r>
  <r>
    <n v="153"/>
    <x v="756"/>
    <x v="3"/>
    <n v="0"/>
    <n v="201"/>
    <x v="210"/>
    <s v="cliente201@mail.cl"/>
    <x v="0"/>
    <n v="42"/>
    <x v="3"/>
    <x v="3"/>
    <x v="0"/>
    <x v="4"/>
    <x v="3"/>
    <n v="55000"/>
    <n v="3"/>
    <n v="0.05"/>
    <n v="165000"/>
    <n v="8250"/>
    <n v="156750"/>
  </r>
  <r>
    <n v="449"/>
    <x v="757"/>
    <x v="15"/>
    <n v="8"/>
    <n v="201"/>
    <x v="210"/>
    <s v="cliente201@mail.cl"/>
    <x v="0"/>
    <n v="42"/>
    <x v="5"/>
    <x v="2"/>
    <x v="1"/>
    <x v="0"/>
    <x v="0"/>
    <n v="12000"/>
    <n v="2"/>
    <n v="0"/>
    <n v="24000"/>
    <n v="0"/>
    <n v="24000"/>
  </r>
  <r>
    <n v="666"/>
    <x v="758"/>
    <x v="32"/>
    <n v="5"/>
    <n v="201"/>
    <x v="210"/>
    <s v="cliente201@mail.cl"/>
    <x v="0"/>
    <n v="42"/>
    <x v="6"/>
    <x v="4"/>
    <x v="1"/>
    <x v="0"/>
    <x v="0"/>
    <n v="12000"/>
    <n v="3"/>
    <n v="0"/>
    <n v="36000"/>
    <n v="0"/>
    <n v="36000"/>
  </r>
  <r>
    <n v="733"/>
    <x v="759"/>
    <x v="60"/>
    <n v="1"/>
    <n v="201"/>
    <x v="210"/>
    <s v="cliente201@mail.cl"/>
    <x v="0"/>
    <n v="42"/>
    <x v="8"/>
    <x v="6"/>
    <x v="0"/>
    <x v="0"/>
    <x v="0"/>
    <n v="12000"/>
    <n v="3"/>
    <n v="0.1"/>
    <n v="36000"/>
    <n v="3600"/>
    <n v="32400"/>
  </r>
  <r>
    <n v="782"/>
    <x v="760"/>
    <x v="23"/>
    <n v="1"/>
    <n v="201"/>
    <x v="210"/>
    <s v="cliente201@mail.cl"/>
    <x v="0"/>
    <n v="42"/>
    <x v="2"/>
    <x v="2"/>
    <x v="2"/>
    <x v="9"/>
    <x v="4"/>
    <n v="15000"/>
    <n v="3"/>
    <n v="0.05"/>
    <n v="45000"/>
    <n v="2250"/>
    <n v="42750"/>
  </r>
  <r>
    <n v="176"/>
    <x v="761"/>
    <x v="69"/>
    <n v="1"/>
    <n v="243"/>
    <x v="211"/>
    <s v="cliente243@mail.cl"/>
    <x v="0"/>
    <n v="44"/>
    <x v="4"/>
    <x v="3"/>
    <x v="1"/>
    <x v="9"/>
    <x v="4"/>
    <n v="15000"/>
    <n v="2"/>
    <n v="0"/>
    <n v="30000"/>
    <n v="0"/>
    <n v="30000"/>
  </r>
  <r>
    <n v="257"/>
    <x v="762"/>
    <x v="8"/>
    <n v="8"/>
    <n v="243"/>
    <x v="211"/>
    <s v="cliente243@mail.cl"/>
    <x v="0"/>
    <n v="44"/>
    <x v="4"/>
    <x v="3"/>
    <x v="1"/>
    <x v="6"/>
    <x v="1"/>
    <n v="800000"/>
    <n v="3"/>
    <n v="0"/>
    <n v="2400000"/>
    <n v="0"/>
    <n v="2400000"/>
  </r>
  <r>
    <n v="744"/>
    <x v="763"/>
    <x v="33"/>
    <n v="4"/>
    <n v="243"/>
    <x v="211"/>
    <s v="cliente243@mail.cl"/>
    <x v="0"/>
    <n v="44"/>
    <x v="8"/>
    <x v="6"/>
    <x v="2"/>
    <x v="4"/>
    <x v="3"/>
    <n v="55000"/>
    <n v="2"/>
    <n v="0.1"/>
    <n v="110000"/>
    <n v="11000"/>
    <n v="99000"/>
  </r>
  <r>
    <n v="36"/>
    <x v="764"/>
    <x v="62"/>
    <n v="0"/>
    <n v="45"/>
    <x v="212"/>
    <s v="cliente45@mail.cl"/>
    <x v="1"/>
    <n v="20"/>
    <x v="9"/>
    <x v="7"/>
    <x v="1"/>
    <x v="3"/>
    <x v="1"/>
    <n v="700000"/>
    <n v="1"/>
    <n v="0"/>
    <n v="700000"/>
    <n v="0"/>
    <n v="700000"/>
  </r>
  <r>
    <n v="118"/>
    <x v="765"/>
    <x v="21"/>
    <n v="7"/>
    <n v="45"/>
    <x v="212"/>
    <s v="cliente45@mail.cl"/>
    <x v="1"/>
    <n v="20"/>
    <x v="1"/>
    <x v="1"/>
    <x v="0"/>
    <x v="8"/>
    <x v="4"/>
    <n v="35000"/>
    <n v="1"/>
    <n v="0.1"/>
    <n v="35000"/>
    <n v="3500"/>
    <n v="31500"/>
  </r>
  <r>
    <n v="707"/>
    <x v="766"/>
    <x v="13"/>
    <n v="1"/>
    <n v="45"/>
    <x v="212"/>
    <s v="cliente45@mail.cl"/>
    <x v="1"/>
    <n v="20"/>
    <x v="6"/>
    <x v="4"/>
    <x v="0"/>
    <x v="2"/>
    <x v="2"/>
    <n v="450000"/>
    <n v="3"/>
    <n v="0.1"/>
    <n v="1350000"/>
    <n v="135000"/>
    <n v="1215000"/>
  </r>
  <r>
    <n v="796"/>
    <x v="767"/>
    <x v="49"/>
    <n v="9"/>
    <n v="45"/>
    <x v="212"/>
    <s v="cliente45@mail.cl"/>
    <x v="1"/>
    <n v="20"/>
    <x v="4"/>
    <x v="3"/>
    <x v="1"/>
    <x v="8"/>
    <x v="4"/>
    <n v="35000"/>
    <n v="1"/>
    <n v="0.05"/>
    <n v="35000"/>
    <n v="1750"/>
    <n v="33250"/>
  </r>
  <r>
    <n v="186"/>
    <x v="768"/>
    <x v="42"/>
    <n v="3"/>
    <n v="51"/>
    <x v="213"/>
    <s v="cliente51@mail.cl"/>
    <x v="1"/>
    <n v="18"/>
    <x v="0"/>
    <x v="0"/>
    <x v="2"/>
    <x v="7"/>
    <x v="0"/>
    <n v="25000"/>
    <n v="2"/>
    <n v="0"/>
    <n v="50000"/>
    <n v="0"/>
    <n v="50000"/>
  </r>
  <r>
    <n v="214"/>
    <x v="769"/>
    <x v="57"/>
    <n v="1"/>
    <n v="51"/>
    <x v="213"/>
    <s v="cliente51@mail.cl"/>
    <x v="1"/>
    <n v="18"/>
    <x v="2"/>
    <x v="2"/>
    <x v="1"/>
    <x v="2"/>
    <x v="2"/>
    <n v="450000"/>
    <n v="2"/>
    <n v="0.1"/>
    <n v="900000"/>
    <n v="90000"/>
    <n v="810000"/>
  </r>
  <r>
    <n v="547"/>
    <x v="770"/>
    <x v="11"/>
    <n v="0"/>
    <n v="51"/>
    <x v="213"/>
    <s v="cliente51@mail.cl"/>
    <x v="1"/>
    <n v="18"/>
    <x v="8"/>
    <x v="6"/>
    <x v="2"/>
    <x v="4"/>
    <x v="3"/>
    <n v="55000"/>
    <n v="3"/>
    <n v="0.1"/>
    <n v="165000"/>
    <n v="16500"/>
    <n v="148500"/>
  </r>
  <r>
    <n v="7"/>
    <x v="771"/>
    <x v="66"/>
    <n v="0"/>
    <n v="160"/>
    <x v="214"/>
    <s v="cliente160@mail.cl"/>
    <x v="0"/>
    <n v="45"/>
    <x v="9"/>
    <x v="7"/>
    <x v="0"/>
    <x v="6"/>
    <x v="1"/>
    <n v="800000"/>
    <n v="2"/>
    <n v="0.1"/>
    <n v="1600000"/>
    <n v="160000"/>
    <n v="1440000"/>
  </r>
  <r>
    <n v="139"/>
    <x v="772"/>
    <x v="34"/>
    <n v="3"/>
    <n v="160"/>
    <x v="214"/>
    <s v="cliente160@mail.cl"/>
    <x v="0"/>
    <n v="45"/>
    <x v="6"/>
    <x v="4"/>
    <x v="0"/>
    <x v="0"/>
    <x v="0"/>
    <n v="12000"/>
    <n v="1"/>
    <n v="0.1"/>
    <n v="12000"/>
    <n v="1200"/>
    <n v="10800"/>
  </r>
  <r>
    <n v="372"/>
    <x v="773"/>
    <x v="54"/>
    <n v="0"/>
    <n v="160"/>
    <x v="214"/>
    <s v="cliente160@mail.cl"/>
    <x v="0"/>
    <n v="45"/>
    <x v="9"/>
    <x v="7"/>
    <x v="0"/>
    <x v="0"/>
    <x v="0"/>
    <n v="12000"/>
    <n v="3"/>
    <n v="0"/>
    <n v="36000"/>
    <n v="0"/>
    <n v="36000"/>
  </r>
  <r>
    <n v="460"/>
    <x v="774"/>
    <x v="37"/>
    <n v="3"/>
    <n v="160"/>
    <x v="214"/>
    <s v="cliente160@mail.cl"/>
    <x v="0"/>
    <n v="45"/>
    <x v="5"/>
    <x v="2"/>
    <x v="1"/>
    <x v="5"/>
    <x v="2"/>
    <n v="750000"/>
    <n v="1"/>
    <n v="0"/>
    <n v="750000"/>
    <n v="0"/>
    <n v="750000"/>
  </r>
  <r>
    <n v="767"/>
    <x v="775"/>
    <x v="50"/>
    <n v="2"/>
    <n v="160"/>
    <x v="214"/>
    <s v="cliente160@mail.cl"/>
    <x v="0"/>
    <n v="45"/>
    <x v="2"/>
    <x v="2"/>
    <x v="1"/>
    <x v="1"/>
    <x v="1"/>
    <n v="650000"/>
    <n v="3"/>
    <n v="0"/>
    <n v="1950000"/>
    <n v="0"/>
    <n v="1950000"/>
  </r>
  <r>
    <n v="946"/>
    <x v="776"/>
    <x v="68"/>
    <n v="8"/>
    <n v="160"/>
    <x v="214"/>
    <s v="cliente160@mail.cl"/>
    <x v="0"/>
    <n v="45"/>
    <x v="9"/>
    <x v="7"/>
    <x v="1"/>
    <x v="1"/>
    <x v="1"/>
    <n v="650000"/>
    <n v="3"/>
    <n v="0"/>
    <n v="1950000"/>
    <n v="0"/>
    <n v="1950000"/>
  </r>
  <r>
    <n v="7"/>
    <x v="771"/>
    <x v="66"/>
    <n v="0"/>
    <n v="160"/>
    <x v="214"/>
    <s v="cliente160@mail.cl"/>
    <x v="0"/>
    <n v="45"/>
    <x v="9"/>
    <x v="7"/>
    <x v="0"/>
    <x v="6"/>
    <x v="1"/>
    <n v="800000"/>
    <n v="2"/>
    <n v="0.1"/>
    <n v="1600000"/>
    <n v="160000"/>
    <n v="1440000"/>
  </r>
  <r>
    <n v="150"/>
    <x v="777"/>
    <x v="65"/>
    <n v="4"/>
    <n v="157"/>
    <x v="215"/>
    <s v="cliente157@mail.cl"/>
    <x v="0"/>
    <n v="60"/>
    <x v="7"/>
    <x v="5"/>
    <x v="0"/>
    <x v="6"/>
    <x v="1"/>
    <n v="800000"/>
    <n v="2"/>
    <n v="0.05"/>
    <n v="1600000"/>
    <n v="80000"/>
    <n v="1520000"/>
  </r>
  <r>
    <n v="753"/>
    <x v="778"/>
    <x v="17"/>
    <n v="0"/>
    <n v="157"/>
    <x v="215"/>
    <s v="cliente157@mail.cl"/>
    <x v="0"/>
    <n v="60"/>
    <x v="1"/>
    <x v="1"/>
    <x v="1"/>
    <x v="5"/>
    <x v="2"/>
    <n v="750000"/>
    <n v="3"/>
    <n v="0.1"/>
    <n v="2250000"/>
    <n v="225000"/>
    <n v="2025000"/>
  </r>
  <r>
    <n v="536"/>
    <x v="779"/>
    <x v="24"/>
    <n v="4"/>
    <n v="262"/>
    <x v="216"/>
    <s v="cliente262@mail.cl"/>
    <x v="0"/>
    <n v="37"/>
    <x v="3"/>
    <x v="3"/>
    <x v="1"/>
    <x v="7"/>
    <x v="0"/>
    <n v="25000"/>
    <n v="1"/>
    <n v="0"/>
    <n v="25000"/>
    <n v="0"/>
    <n v="25000"/>
  </r>
  <r>
    <n v="577"/>
    <x v="780"/>
    <x v="63"/>
    <n v="6"/>
    <n v="262"/>
    <x v="216"/>
    <s v="cliente262@mail.cl"/>
    <x v="0"/>
    <n v="37"/>
    <x v="1"/>
    <x v="1"/>
    <x v="0"/>
    <x v="6"/>
    <x v="1"/>
    <n v="800000"/>
    <n v="2"/>
    <n v="0.1"/>
    <n v="1600000"/>
    <n v="160000"/>
    <n v="1440000"/>
  </r>
  <r>
    <n v="599"/>
    <x v="781"/>
    <x v="61"/>
    <n v="3"/>
    <n v="262"/>
    <x v="216"/>
    <s v="cliente262@mail.cl"/>
    <x v="0"/>
    <n v="37"/>
    <x v="7"/>
    <x v="5"/>
    <x v="2"/>
    <x v="4"/>
    <x v="3"/>
    <n v="55000"/>
    <n v="1"/>
    <n v="0.1"/>
    <n v="55000"/>
    <n v="5500"/>
    <n v="49500"/>
  </r>
  <r>
    <n v="313"/>
    <x v="782"/>
    <x v="56"/>
    <n v="1"/>
    <n v="82"/>
    <x v="217"/>
    <s v="cliente82@mail.cl"/>
    <x v="1"/>
    <n v="18"/>
    <x v="5"/>
    <x v="2"/>
    <x v="1"/>
    <x v="6"/>
    <x v="1"/>
    <n v="800000"/>
    <n v="3"/>
    <n v="0"/>
    <n v="2400000"/>
    <n v="0"/>
    <n v="2400000"/>
  </r>
  <r>
    <n v="524"/>
    <x v="783"/>
    <x v="7"/>
    <n v="3"/>
    <n v="82"/>
    <x v="217"/>
    <s v="cliente82@mail.cl"/>
    <x v="1"/>
    <n v="18"/>
    <x v="5"/>
    <x v="2"/>
    <x v="0"/>
    <x v="2"/>
    <x v="2"/>
    <n v="450000"/>
    <n v="2"/>
    <n v="0.1"/>
    <n v="900000"/>
    <n v="90000"/>
    <n v="810000"/>
  </r>
  <r>
    <n v="847"/>
    <x v="784"/>
    <x v="3"/>
    <n v="0"/>
    <n v="82"/>
    <x v="217"/>
    <s v="cliente82@mail.cl"/>
    <x v="1"/>
    <n v="18"/>
    <x v="3"/>
    <x v="3"/>
    <x v="1"/>
    <x v="9"/>
    <x v="4"/>
    <n v="15000"/>
    <n v="2"/>
    <n v="0"/>
    <n v="30000"/>
    <n v="0"/>
    <n v="30000"/>
  </r>
  <r>
    <n v="264"/>
    <x v="785"/>
    <x v="25"/>
    <n v="1"/>
    <n v="192"/>
    <x v="218"/>
    <s v="cliente192@mail.cl"/>
    <x v="0"/>
    <n v="18"/>
    <x v="2"/>
    <x v="2"/>
    <x v="2"/>
    <x v="0"/>
    <x v="0"/>
    <n v="12000"/>
    <n v="1"/>
    <n v="0"/>
    <n v="12000"/>
    <n v="0"/>
    <n v="12000"/>
  </r>
  <r>
    <n v="265"/>
    <x v="786"/>
    <x v="43"/>
    <n v="5"/>
    <n v="192"/>
    <x v="218"/>
    <s v="cliente192@mail.cl"/>
    <x v="0"/>
    <n v="18"/>
    <x v="7"/>
    <x v="5"/>
    <x v="1"/>
    <x v="0"/>
    <x v="0"/>
    <n v="12000"/>
    <n v="3"/>
    <n v="0"/>
    <n v="36000"/>
    <n v="0"/>
    <n v="36000"/>
  </r>
  <r>
    <n v="315"/>
    <x v="787"/>
    <x v="66"/>
    <n v="0"/>
    <n v="192"/>
    <x v="218"/>
    <s v="cliente192@mail.cl"/>
    <x v="0"/>
    <n v="18"/>
    <x v="9"/>
    <x v="7"/>
    <x v="1"/>
    <x v="3"/>
    <x v="1"/>
    <n v="700000"/>
    <n v="2"/>
    <n v="0"/>
    <n v="1400000"/>
    <n v="0"/>
    <n v="1400000"/>
  </r>
  <r>
    <n v="399"/>
    <x v="788"/>
    <x v="26"/>
    <n v="1"/>
    <n v="192"/>
    <x v="218"/>
    <s v="cliente192@mail.cl"/>
    <x v="0"/>
    <n v="18"/>
    <x v="8"/>
    <x v="6"/>
    <x v="1"/>
    <x v="7"/>
    <x v="0"/>
    <n v="25000"/>
    <n v="1"/>
    <n v="0.05"/>
    <n v="25000"/>
    <n v="1250"/>
    <n v="23750"/>
  </r>
  <r>
    <n v="750"/>
    <x v="789"/>
    <x v="2"/>
    <n v="2"/>
    <n v="192"/>
    <x v="218"/>
    <s v="cliente192@mail.cl"/>
    <x v="0"/>
    <n v="18"/>
    <x v="2"/>
    <x v="2"/>
    <x v="0"/>
    <x v="4"/>
    <x v="3"/>
    <n v="55000"/>
    <n v="2"/>
    <n v="0.1"/>
    <n v="110000"/>
    <n v="11000"/>
    <n v="99000"/>
  </r>
  <r>
    <n v="307"/>
    <x v="790"/>
    <x v="65"/>
    <n v="4"/>
    <n v="149"/>
    <x v="219"/>
    <s v="cliente149@mail.cl"/>
    <x v="0"/>
    <n v="44"/>
    <x v="7"/>
    <x v="5"/>
    <x v="2"/>
    <x v="4"/>
    <x v="3"/>
    <n v="55000"/>
    <n v="1"/>
    <n v="0.05"/>
    <n v="55000"/>
    <n v="2750"/>
    <n v="52250"/>
  </r>
  <r>
    <n v="477"/>
    <x v="791"/>
    <x v="1"/>
    <n v="5"/>
    <n v="149"/>
    <x v="219"/>
    <s v="cliente149@mail.cl"/>
    <x v="0"/>
    <n v="44"/>
    <x v="1"/>
    <x v="1"/>
    <x v="0"/>
    <x v="6"/>
    <x v="1"/>
    <n v="800000"/>
    <n v="2"/>
    <n v="0.1"/>
    <n v="1600000"/>
    <n v="160000"/>
    <n v="1440000"/>
  </r>
  <r>
    <n v="948"/>
    <x v="792"/>
    <x v="9"/>
    <n v="1"/>
    <n v="149"/>
    <x v="219"/>
    <s v="cliente149@mail.cl"/>
    <x v="0"/>
    <n v="44"/>
    <x v="6"/>
    <x v="4"/>
    <x v="0"/>
    <x v="0"/>
    <x v="0"/>
    <n v="12000"/>
    <n v="3"/>
    <n v="0"/>
    <n v="36000"/>
    <n v="0"/>
    <n v="36000"/>
  </r>
  <r>
    <n v="158"/>
    <x v="793"/>
    <x v="33"/>
    <n v="4"/>
    <n v="34"/>
    <x v="220"/>
    <s v="cliente34@mail.cl"/>
    <x v="0"/>
    <n v="25"/>
    <x v="8"/>
    <x v="6"/>
    <x v="1"/>
    <x v="1"/>
    <x v="1"/>
    <n v="650000"/>
    <n v="2"/>
    <n v="0.1"/>
    <n v="1300000"/>
    <n v="130000"/>
    <n v="1170000"/>
  </r>
  <r>
    <n v="851"/>
    <x v="794"/>
    <x v="50"/>
    <n v="2"/>
    <n v="34"/>
    <x v="220"/>
    <s v="cliente34@mail.cl"/>
    <x v="0"/>
    <n v="25"/>
    <x v="2"/>
    <x v="2"/>
    <x v="1"/>
    <x v="7"/>
    <x v="0"/>
    <n v="25000"/>
    <n v="3"/>
    <n v="0.05"/>
    <n v="75000"/>
    <n v="3750"/>
    <n v="71250"/>
  </r>
  <r>
    <n v="231"/>
    <x v="795"/>
    <x v="2"/>
    <n v="2"/>
    <n v="279"/>
    <x v="221"/>
    <s v="cliente279@mail.cl"/>
    <x v="0"/>
    <n v="38"/>
    <x v="2"/>
    <x v="2"/>
    <x v="2"/>
    <x v="5"/>
    <x v="2"/>
    <n v="750000"/>
    <n v="2"/>
    <n v="0"/>
    <n v="1500000"/>
    <n v="0"/>
    <n v="1500000"/>
  </r>
  <r>
    <n v="498"/>
    <x v="796"/>
    <x v="40"/>
    <n v="1"/>
    <n v="279"/>
    <x v="221"/>
    <s v="cliente279@mail.cl"/>
    <x v="0"/>
    <n v="38"/>
    <x v="3"/>
    <x v="3"/>
    <x v="2"/>
    <x v="7"/>
    <x v="0"/>
    <n v="25000"/>
    <n v="2"/>
    <n v="0"/>
    <n v="50000"/>
    <n v="0"/>
    <n v="50000"/>
  </r>
  <r>
    <n v="526"/>
    <x v="797"/>
    <x v="25"/>
    <n v="1"/>
    <n v="279"/>
    <x v="221"/>
    <s v="cliente279@mail.cl"/>
    <x v="0"/>
    <n v="38"/>
    <x v="2"/>
    <x v="2"/>
    <x v="1"/>
    <x v="1"/>
    <x v="1"/>
    <n v="650000"/>
    <n v="3"/>
    <n v="0"/>
    <n v="1950000"/>
    <n v="0"/>
    <n v="1950000"/>
  </r>
  <r>
    <n v="854"/>
    <x v="798"/>
    <x v="27"/>
    <n v="4"/>
    <n v="279"/>
    <x v="221"/>
    <s v="cliente279@mail.cl"/>
    <x v="0"/>
    <n v="38"/>
    <x v="1"/>
    <x v="1"/>
    <x v="1"/>
    <x v="1"/>
    <x v="1"/>
    <n v="650000"/>
    <n v="1"/>
    <n v="0.05"/>
    <n v="650000"/>
    <n v="32500"/>
    <n v="617500"/>
  </r>
  <r>
    <n v="875"/>
    <x v="799"/>
    <x v="66"/>
    <n v="0"/>
    <n v="279"/>
    <x v="221"/>
    <s v="cliente279@mail.cl"/>
    <x v="0"/>
    <n v="38"/>
    <x v="9"/>
    <x v="7"/>
    <x v="2"/>
    <x v="1"/>
    <x v="1"/>
    <n v="650000"/>
    <n v="1"/>
    <n v="0.05"/>
    <n v="650000"/>
    <n v="32500"/>
    <n v="617500"/>
  </r>
  <r>
    <n v="904"/>
    <x v="800"/>
    <x v="65"/>
    <n v="4"/>
    <n v="279"/>
    <x v="221"/>
    <s v="cliente279@mail.cl"/>
    <x v="0"/>
    <n v="38"/>
    <x v="7"/>
    <x v="5"/>
    <x v="1"/>
    <x v="7"/>
    <x v="0"/>
    <n v="25000"/>
    <n v="2"/>
    <n v="0"/>
    <n v="50000"/>
    <n v="0"/>
    <n v="50000"/>
  </r>
  <r>
    <n v="968"/>
    <x v="801"/>
    <x v="62"/>
    <n v="0"/>
    <n v="279"/>
    <x v="221"/>
    <s v="cliente279@mail.cl"/>
    <x v="0"/>
    <n v="38"/>
    <x v="9"/>
    <x v="7"/>
    <x v="1"/>
    <x v="6"/>
    <x v="1"/>
    <n v="800000"/>
    <n v="3"/>
    <n v="0"/>
    <n v="2400000"/>
    <n v="0"/>
    <n v="2400000"/>
  </r>
  <r>
    <n v="344"/>
    <x v="802"/>
    <x v="35"/>
    <n v="5"/>
    <n v="265"/>
    <x v="222"/>
    <s v="cliente265@mail.cl"/>
    <x v="0"/>
    <n v="34"/>
    <x v="6"/>
    <x v="4"/>
    <x v="1"/>
    <x v="1"/>
    <x v="1"/>
    <n v="650000"/>
    <n v="1"/>
    <n v="0.05"/>
    <n v="650000"/>
    <n v="32500"/>
    <n v="617500"/>
  </r>
  <r>
    <n v="423"/>
    <x v="803"/>
    <x v="49"/>
    <n v="9"/>
    <n v="265"/>
    <x v="222"/>
    <s v="cliente265@mail.cl"/>
    <x v="0"/>
    <n v="34"/>
    <x v="4"/>
    <x v="3"/>
    <x v="2"/>
    <x v="5"/>
    <x v="2"/>
    <n v="750000"/>
    <n v="2"/>
    <n v="0"/>
    <n v="1500000"/>
    <n v="0"/>
    <n v="1500000"/>
  </r>
  <r>
    <n v="825"/>
    <x v="804"/>
    <x v="26"/>
    <n v="1"/>
    <n v="265"/>
    <x v="222"/>
    <s v="cliente265@mail.cl"/>
    <x v="0"/>
    <n v="34"/>
    <x v="8"/>
    <x v="6"/>
    <x v="0"/>
    <x v="1"/>
    <x v="1"/>
    <n v="650000"/>
    <n v="1"/>
    <n v="0.05"/>
    <n v="650000"/>
    <n v="32500"/>
    <n v="617500"/>
  </r>
  <r>
    <n v="966"/>
    <x v="805"/>
    <x v="24"/>
    <n v="4"/>
    <n v="265"/>
    <x v="222"/>
    <s v="cliente265@mail.cl"/>
    <x v="0"/>
    <n v="34"/>
    <x v="3"/>
    <x v="3"/>
    <x v="1"/>
    <x v="8"/>
    <x v="4"/>
    <n v="35000"/>
    <n v="1"/>
    <n v="0.05"/>
    <n v="35000"/>
    <n v="1750"/>
    <n v="33250"/>
  </r>
  <r>
    <n v="19"/>
    <x v="806"/>
    <x v="36"/>
    <n v="2"/>
    <n v="39"/>
    <x v="223"/>
    <s v="cliente39@mail.cl"/>
    <x v="1"/>
    <n v="22"/>
    <x v="5"/>
    <x v="2"/>
    <x v="2"/>
    <x v="5"/>
    <x v="2"/>
    <n v="750000"/>
    <n v="1"/>
    <n v="0.1"/>
    <n v="750000"/>
    <n v="75000"/>
    <n v="675000"/>
  </r>
  <r>
    <n v="893"/>
    <x v="807"/>
    <x v="24"/>
    <n v="4"/>
    <n v="39"/>
    <x v="223"/>
    <s v="cliente39@mail.cl"/>
    <x v="1"/>
    <n v="22"/>
    <x v="3"/>
    <x v="3"/>
    <x v="0"/>
    <x v="4"/>
    <x v="3"/>
    <n v="55000"/>
    <n v="3"/>
    <n v="0.05"/>
    <n v="165000"/>
    <n v="8250"/>
    <n v="156750"/>
  </r>
  <r>
    <n v="917"/>
    <x v="808"/>
    <x v="36"/>
    <n v="2"/>
    <n v="235"/>
    <x v="224"/>
    <s v="cliente235@mail.cl"/>
    <x v="0"/>
    <n v="63"/>
    <x v="5"/>
    <x v="2"/>
    <x v="1"/>
    <x v="6"/>
    <x v="1"/>
    <n v="800000"/>
    <n v="1"/>
    <n v="0.05"/>
    <n v="800000"/>
    <n v="40000"/>
    <n v="760000"/>
  </r>
  <r>
    <n v="665"/>
    <x v="809"/>
    <x v="6"/>
    <n v="0"/>
    <n v="183"/>
    <x v="225"/>
    <s v="cliente183@mail.cl"/>
    <x v="0"/>
    <n v="25"/>
    <x v="2"/>
    <x v="2"/>
    <x v="1"/>
    <x v="0"/>
    <x v="0"/>
    <n v="12000"/>
    <n v="2"/>
    <n v="0.05"/>
    <n v="24000"/>
    <n v="1200"/>
    <n v="22800"/>
  </r>
  <r>
    <n v="762"/>
    <x v="810"/>
    <x v="14"/>
    <n v="9"/>
    <n v="183"/>
    <x v="225"/>
    <s v="cliente183@mail.cl"/>
    <x v="0"/>
    <n v="25"/>
    <x v="8"/>
    <x v="6"/>
    <x v="1"/>
    <x v="2"/>
    <x v="2"/>
    <n v="450000"/>
    <n v="3"/>
    <n v="0"/>
    <n v="1350000"/>
    <n v="0"/>
    <n v="1350000"/>
  </r>
  <r>
    <n v="688"/>
    <x v="811"/>
    <x v="50"/>
    <n v="2"/>
    <n v="150"/>
    <x v="226"/>
    <s v="cliente150@mail.cl"/>
    <x v="1"/>
    <n v="41"/>
    <x v="2"/>
    <x v="2"/>
    <x v="0"/>
    <x v="0"/>
    <x v="0"/>
    <n v="12000"/>
    <n v="2"/>
    <n v="0"/>
    <n v="24000"/>
    <n v="0"/>
    <n v="24000"/>
  </r>
  <r>
    <n v="809"/>
    <x v="812"/>
    <x v="26"/>
    <n v="1"/>
    <n v="150"/>
    <x v="226"/>
    <s v="cliente150@mail.cl"/>
    <x v="1"/>
    <n v="41"/>
    <x v="8"/>
    <x v="6"/>
    <x v="2"/>
    <x v="5"/>
    <x v="2"/>
    <n v="750000"/>
    <n v="2"/>
    <n v="0.1"/>
    <n v="1500000"/>
    <n v="150000"/>
    <n v="1350000"/>
  </r>
  <r>
    <n v="821"/>
    <x v="813"/>
    <x v="17"/>
    <n v="0"/>
    <n v="150"/>
    <x v="226"/>
    <s v="cliente150@mail.cl"/>
    <x v="1"/>
    <n v="41"/>
    <x v="1"/>
    <x v="1"/>
    <x v="0"/>
    <x v="8"/>
    <x v="4"/>
    <n v="35000"/>
    <n v="2"/>
    <n v="0.1"/>
    <n v="70000"/>
    <n v="7000"/>
    <n v="63000"/>
  </r>
  <r>
    <n v="965"/>
    <x v="814"/>
    <x v="31"/>
    <n v="3"/>
    <n v="150"/>
    <x v="226"/>
    <s v="cliente150@mail.cl"/>
    <x v="1"/>
    <n v="41"/>
    <x v="5"/>
    <x v="2"/>
    <x v="2"/>
    <x v="9"/>
    <x v="4"/>
    <n v="15000"/>
    <n v="3"/>
    <n v="0.1"/>
    <n v="45000"/>
    <n v="4500"/>
    <n v="40500"/>
  </r>
  <r>
    <n v="164"/>
    <x v="815"/>
    <x v="46"/>
    <n v="0"/>
    <n v="211"/>
    <x v="227"/>
    <s v="cliente211@mail.cl"/>
    <x v="1"/>
    <n v="44"/>
    <x v="4"/>
    <x v="3"/>
    <x v="1"/>
    <x v="4"/>
    <x v="3"/>
    <n v="55000"/>
    <n v="2"/>
    <n v="0.05"/>
    <n v="110000"/>
    <n v="5500"/>
    <n v="104500"/>
  </r>
  <r>
    <n v="199"/>
    <x v="816"/>
    <x v="61"/>
    <n v="3"/>
    <n v="211"/>
    <x v="227"/>
    <s v="cliente211@mail.cl"/>
    <x v="1"/>
    <n v="44"/>
    <x v="7"/>
    <x v="5"/>
    <x v="0"/>
    <x v="2"/>
    <x v="2"/>
    <n v="450000"/>
    <n v="3"/>
    <n v="0.05"/>
    <n v="1350000"/>
    <n v="67500"/>
    <n v="1282500"/>
  </r>
  <r>
    <n v="390"/>
    <x v="817"/>
    <x v="13"/>
    <n v="1"/>
    <n v="211"/>
    <x v="227"/>
    <s v="cliente211@mail.cl"/>
    <x v="1"/>
    <n v="44"/>
    <x v="6"/>
    <x v="4"/>
    <x v="2"/>
    <x v="7"/>
    <x v="0"/>
    <n v="25000"/>
    <n v="2"/>
    <n v="0"/>
    <n v="50000"/>
    <n v="0"/>
    <n v="50000"/>
  </r>
  <r>
    <n v="717"/>
    <x v="818"/>
    <x v="41"/>
    <n v="0"/>
    <n v="211"/>
    <x v="227"/>
    <s v="cliente211@mail.cl"/>
    <x v="1"/>
    <n v="44"/>
    <x v="2"/>
    <x v="2"/>
    <x v="1"/>
    <x v="7"/>
    <x v="0"/>
    <n v="25000"/>
    <n v="3"/>
    <n v="0.1"/>
    <n v="75000"/>
    <n v="7500"/>
    <n v="67500"/>
  </r>
  <r>
    <n v="195"/>
    <x v="819"/>
    <x v="46"/>
    <n v="0"/>
    <n v="159"/>
    <x v="228"/>
    <s v="cliente159@mail.cl"/>
    <x v="0"/>
    <n v="18"/>
    <x v="4"/>
    <x v="3"/>
    <x v="2"/>
    <x v="4"/>
    <x v="3"/>
    <n v="55000"/>
    <n v="2"/>
    <n v="0.1"/>
    <n v="110000"/>
    <n v="11000"/>
    <n v="99000"/>
  </r>
  <r>
    <n v="494"/>
    <x v="820"/>
    <x v="44"/>
    <n v="2"/>
    <n v="159"/>
    <x v="228"/>
    <s v="cliente159@mail.cl"/>
    <x v="0"/>
    <n v="18"/>
    <x v="2"/>
    <x v="2"/>
    <x v="0"/>
    <x v="9"/>
    <x v="4"/>
    <n v="15000"/>
    <n v="2"/>
    <n v="0"/>
    <n v="30000"/>
    <n v="0"/>
    <n v="30000"/>
  </r>
  <r>
    <n v="540"/>
    <x v="821"/>
    <x v="9"/>
    <n v="1"/>
    <n v="159"/>
    <x v="228"/>
    <s v="cliente159@mail.cl"/>
    <x v="0"/>
    <n v="18"/>
    <x v="6"/>
    <x v="4"/>
    <x v="2"/>
    <x v="5"/>
    <x v="2"/>
    <n v="750000"/>
    <n v="2"/>
    <n v="0"/>
    <n v="1500000"/>
    <n v="0"/>
    <n v="1500000"/>
  </r>
  <r>
    <n v="914"/>
    <x v="822"/>
    <x v="11"/>
    <n v="0"/>
    <n v="159"/>
    <x v="228"/>
    <s v="cliente159@mail.cl"/>
    <x v="0"/>
    <n v="18"/>
    <x v="8"/>
    <x v="6"/>
    <x v="1"/>
    <x v="3"/>
    <x v="1"/>
    <n v="700000"/>
    <n v="1"/>
    <n v="0.1"/>
    <n v="700000"/>
    <n v="70000"/>
    <n v="630000"/>
  </r>
  <r>
    <n v="59"/>
    <x v="823"/>
    <x v="29"/>
    <n v="2"/>
    <n v="123"/>
    <x v="229"/>
    <s v="cliente123@mail.cl"/>
    <x v="1"/>
    <n v="54"/>
    <x v="1"/>
    <x v="1"/>
    <x v="0"/>
    <x v="9"/>
    <x v="4"/>
    <n v="15000"/>
    <n v="1"/>
    <n v="0.1"/>
    <n v="15000"/>
    <n v="1500"/>
    <n v="13500"/>
  </r>
  <r>
    <n v="471"/>
    <x v="824"/>
    <x v="11"/>
    <n v="0"/>
    <n v="123"/>
    <x v="229"/>
    <s v="cliente123@mail.cl"/>
    <x v="1"/>
    <n v="54"/>
    <x v="8"/>
    <x v="6"/>
    <x v="2"/>
    <x v="6"/>
    <x v="1"/>
    <n v="800000"/>
    <n v="2"/>
    <n v="0.1"/>
    <n v="1600000"/>
    <n v="160000"/>
    <n v="1440000"/>
  </r>
  <r>
    <n v="591"/>
    <x v="825"/>
    <x v="40"/>
    <n v="1"/>
    <n v="123"/>
    <x v="229"/>
    <s v="cliente123@mail.cl"/>
    <x v="1"/>
    <n v="54"/>
    <x v="3"/>
    <x v="3"/>
    <x v="0"/>
    <x v="4"/>
    <x v="3"/>
    <n v="55000"/>
    <n v="2"/>
    <n v="0"/>
    <n v="110000"/>
    <n v="0"/>
    <n v="110000"/>
  </r>
  <r>
    <n v="819"/>
    <x v="826"/>
    <x v="6"/>
    <n v="0"/>
    <n v="123"/>
    <x v="229"/>
    <s v="cliente123@mail.cl"/>
    <x v="1"/>
    <n v="54"/>
    <x v="2"/>
    <x v="2"/>
    <x v="0"/>
    <x v="5"/>
    <x v="2"/>
    <n v="750000"/>
    <n v="3"/>
    <n v="0"/>
    <n v="2250000"/>
    <n v="0"/>
    <n v="2250000"/>
  </r>
  <r>
    <n v="819"/>
    <x v="826"/>
    <x v="6"/>
    <n v="0"/>
    <n v="123"/>
    <x v="229"/>
    <s v="cliente123@mail.cl"/>
    <x v="1"/>
    <n v="54"/>
    <x v="2"/>
    <x v="2"/>
    <x v="0"/>
    <x v="5"/>
    <x v="2"/>
    <n v="750000"/>
    <n v="3"/>
    <n v="0"/>
    <n v="2250000"/>
    <n v="0"/>
    <n v="2250000"/>
  </r>
  <r>
    <n v="357"/>
    <x v="827"/>
    <x v="62"/>
    <n v="0"/>
    <n v="113"/>
    <x v="230"/>
    <s v="cliente113@mail.cl"/>
    <x v="0"/>
    <n v="38"/>
    <x v="9"/>
    <x v="7"/>
    <x v="0"/>
    <x v="1"/>
    <x v="1"/>
    <n v="650000"/>
    <n v="1"/>
    <n v="0"/>
    <n v="650000"/>
    <n v="0"/>
    <n v="650000"/>
  </r>
  <r>
    <n v="363"/>
    <x v="828"/>
    <x v="17"/>
    <n v="0"/>
    <n v="113"/>
    <x v="230"/>
    <s v="cliente113@mail.cl"/>
    <x v="0"/>
    <n v="38"/>
    <x v="1"/>
    <x v="1"/>
    <x v="1"/>
    <x v="2"/>
    <x v="2"/>
    <n v="450000"/>
    <n v="1"/>
    <n v="0.1"/>
    <n v="450000"/>
    <n v="45000"/>
    <n v="405000"/>
  </r>
  <r>
    <n v="525"/>
    <x v="829"/>
    <x v="12"/>
    <n v="4"/>
    <n v="113"/>
    <x v="230"/>
    <s v="cliente113@mail.cl"/>
    <x v="0"/>
    <n v="38"/>
    <x v="2"/>
    <x v="2"/>
    <x v="1"/>
    <x v="1"/>
    <x v="1"/>
    <n v="650000"/>
    <n v="3"/>
    <n v="0"/>
    <n v="1950000"/>
    <n v="0"/>
    <n v="1950000"/>
  </r>
  <r>
    <n v="209"/>
    <x v="830"/>
    <x v="44"/>
    <n v="2"/>
    <n v="182"/>
    <x v="231"/>
    <s v="cliente182@mail.cl"/>
    <x v="1"/>
    <n v="27"/>
    <x v="2"/>
    <x v="2"/>
    <x v="0"/>
    <x v="0"/>
    <x v="0"/>
    <n v="12000"/>
    <n v="3"/>
    <n v="0.05"/>
    <n v="36000"/>
    <n v="1800"/>
    <n v="34200"/>
  </r>
  <r>
    <n v="511"/>
    <x v="831"/>
    <x v="48"/>
    <n v="0"/>
    <n v="182"/>
    <x v="231"/>
    <s v="cliente182@mail.cl"/>
    <x v="1"/>
    <n v="27"/>
    <x v="9"/>
    <x v="7"/>
    <x v="1"/>
    <x v="2"/>
    <x v="2"/>
    <n v="450000"/>
    <n v="1"/>
    <n v="0"/>
    <n v="450000"/>
    <n v="0"/>
    <n v="450000"/>
  </r>
  <r>
    <n v="790"/>
    <x v="832"/>
    <x v="65"/>
    <n v="4"/>
    <n v="182"/>
    <x v="231"/>
    <s v="cliente182@mail.cl"/>
    <x v="1"/>
    <n v="27"/>
    <x v="7"/>
    <x v="5"/>
    <x v="2"/>
    <x v="8"/>
    <x v="4"/>
    <n v="35000"/>
    <n v="2"/>
    <n v="0.1"/>
    <n v="70000"/>
    <n v="7000"/>
    <n v="63000"/>
  </r>
  <r>
    <n v="386"/>
    <x v="833"/>
    <x v="44"/>
    <n v="2"/>
    <n v="141"/>
    <x v="232"/>
    <s v="cliente141@mail.cl"/>
    <x v="0"/>
    <n v="40"/>
    <x v="2"/>
    <x v="2"/>
    <x v="1"/>
    <x v="2"/>
    <x v="2"/>
    <n v="450000"/>
    <n v="3"/>
    <n v="0.05"/>
    <n v="1350000"/>
    <n v="67500"/>
    <n v="1282500"/>
  </r>
  <r>
    <n v="652"/>
    <x v="834"/>
    <x v="4"/>
    <n v="6"/>
    <n v="141"/>
    <x v="232"/>
    <s v="cliente141@mail.cl"/>
    <x v="0"/>
    <n v="40"/>
    <x v="4"/>
    <x v="3"/>
    <x v="2"/>
    <x v="6"/>
    <x v="1"/>
    <n v="800000"/>
    <n v="3"/>
    <n v="0"/>
    <n v="2400000"/>
    <n v="0"/>
    <n v="2400000"/>
  </r>
  <r>
    <n v="719"/>
    <x v="835"/>
    <x v="66"/>
    <n v="0"/>
    <n v="141"/>
    <x v="232"/>
    <s v="cliente141@mail.cl"/>
    <x v="0"/>
    <n v="40"/>
    <x v="9"/>
    <x v="7"/>
    <x v="0"/>
    <x v="3"/>
    <x v="1"/>
    <n v="700000"/>
    <n v="2"/>
    <n v="0.1"/>
    <n v="1400000"/>
    <n v="140000"/>
    <n v="1260000"/>
  </r>
  <r>
    <n v="83"/>
    <x v="836"/>
    <x v="63"/>
    <n v="6"/>
    <n v="80"/>
    <x v="233"/>
    <s v="cliente80@mail.cl"/>
    <x v="0"/>
    <n v="18"/>
    <x v="1"/>
    <x v="1"/>
    <x v="2"/>
    <x v="4"/>
    <x v="3"/>
    <n v="55000"/>
    <n v="3"/>
    <n v="0.05"/>
    <n v="165000"/>
    <n v="8250"/>
    <n v="156750"/>
  </r>
  <r>
    <n v="387"/>
    <x v="837"/>
    <x v="25"/>
    <n v="1"/>
    <n v="80"/>
    <x v="233"/>
    <s v="cliente80@mail.cl"/>
    <x v="0"/>
    <n v="18"/>
    <x v="2"/>
    <x v="2"/>
    <x v="0"/>
    <x v="4"/>
    <x v="3"/>
    <n v="55000"/>
    <n v="1"/>
    <n v="0.05"/>
    <n v="55000"/>
    <n v="2750"/>
    <n v="52250"/>
  </r>
  <r>
    <n v="602"/>
    <x v="838"/>
    <x v="45"/>
    <n v="1"/>
    <n v="80"/>
    <x v="233"/>
    <s v="cliente80@mail.cl"/>
    <x v="0"/>
    <n v="18"/>
    <x v="4"/>
    <x v="3"/>
    <x v="1"/>
    <x v="7"/>
    <x v="0"/>
    <n v="25000"/>
    <n v="3"/>
    <n v="0.1"/>
    <n v="75000"/>
    <n v="7500"/>
    <n v="67500"/>
  </r>
  <r>
    <n v="177"/>
    <x v="839"/>
    <x v="10"/>
    <n v="0"/>
    <n v="62"/>
    <x v="234"/>
    <s v="cliente62@mail.cl"/>
    <x v="0"/>
    <n v="35"/>
    <x v="7"/>
    <x v="5"/>
    <x v="1"/>
    <x v="0"/>
    <x v="0"/>
    <n v="12000"/>
    <n v="2"/>
    <n v="0.1"/>
    <n v="24000"/>
    <n v="2400"/>
    <n v="21600"/>
  </r>
  <r>
    <n v="340"/>
    <x v="840"/>
    <x v="15"/>
    <n v="8"/>
    <n v="62"/>
    <x v="234"/>
    <s v="cliente62@mail.cl"/>
    <x v="0"/>
    <n v="35"/>
    <x v="5"/>
    <x v="2"/>
    <x v="2"/>
    <x v="0"/>
    <x v="0"/>
    <n v="12000"/>
    <n v="1"/>
    <n v="0.1"/>
    <n v="12000"/>
    <n v="1200"/>
    <n v="10800"/>
  </r>
  <r>
    <n v="407"/>
    <x v="841"/>
    <x v="26"/>
    <n v="1"/>
    <n v="62"/>
    <x v="234"/>
    <s v="cliente62@mail.cl"/>
    <x v="0"/>
    <n v="35"/>
    <x v="8"/>
    <x v="6"/>
    <x v="0"/>
    <x v="3"/>
    <x v="1"/>
    <n v="700000"/>
    <n v="1"/>
    <n v="0"/>
    <n v="700000"/>
    <n v="0"/>
    <n v="700000"/>
  </r>
  <r>
    <n v="653"/>
    <x v="842"/>
    <x v="64"/>
    <n v="0"/>
    <n v="62"/>
    <x v="234"/>
    <s v="cliente62@mail.cl"/>
    <x v="0"/>
    <n v="35"/>
    <x v="5"/>
    <x v="2"/>
    <x v="0"/>
    <x v="0"/>
    <x v="0"/>
    <n v="12000"/>
    <n v="3"/>
    <n v="0.1"/>
    <n v="36000"/>
    <n v="3600"/>
    <n v="32400"/>
  </r>
  <r>
    <n v="856"/>
    <x v="843"/>
    <x v="38"/>
    <n v="6"/>
    <n v="62"/>
    <x v="234"/>
    <s v="cliente62@mail.cl"/>
    <x v="0"/>
    <n v="35"/>
    <x v="8"/>
    <x v="6"/>
    <x v="1"/>
    <x v="2"/>
    <x v="2"/>
    <n v="450000"/>
    <n v="1"/>
    <n v="0.05"/>
    <n v="450000"/>
    <n v="22500"/>
    <n v="427500"/>
  </r>
  <r>
    <n v="70"/>
    <x v="844"/>
    <x v="33"/>
    <n v="4"/>
    <n v="103"/>
    <x v="235"/>
    <s v="cliente103@mail.cl"/>
    <x v="1"/>
    <n v="33"/>
    <x v="8"/>
    <x v="6"/>
    <x v="2"/>
    <x v="0"/>
    <x v="0"/>
    <n v="12000"/>
    <n v="1"/>
    <n v="0.05"/>
    <n v="12000"/>
    <n v="600"/>
    <n v="11400"/>
  </r>
  <r>
    <n v="91"/>
    <x v="845"/>
    <x v="36"/>
    <n v="2"/>
    <n v="103"/>
    <x v="235"/>
    <s v="cliente103@mail.cl"/>
    <x v="1"/>
    <n v="33"/>
    <x v="5"/>
    <x v="2"/>
    <x v="1"/>
    <x v="0"/>
    <x v="0"/>
    <n v="12000"/>
    <n v="3"/>
    <n v="0.05"/>
    <n v="36000"/>
    <n v="1800"/>
    <n v="34200"/>
  </r>
  <r>
    <n v="75"/>
    <x v="846"/>
    <x v="62"/>
    <n v="0"/>
    <n v="69"/>
    <x v="236"/>
    <s v="cliente69@mail.cl"/>
    <x v="0"/>
    <n v="42"/>
    <x v="9"/>
    <x v="7"/>
    <x v="2"/>
    <x v="9"/>
    <x v="4"/>
    <n v="15000"/>
    <n v="1"/>
    <n v="0"/>
    <n v="15000"/>
    <n v="0"/>
    <n v="15000"/>
  </r>
  <r>
    <n v="140"/>
    <x v="847"/>
    <x v="13"/>
    <n v="1"/>
    <n v="69"/>
    <x v="236"/>
    <s v="cliente69@mail.cl"/>
    <x v="0"/>
    <n v="42"/>
    <x v="6"/>
    <x v="4"/>
    <x v="2"/>
    <x v="5"/>
    <x v="2"/>
    <n v="750000"/>
    <n v="2"/>
    <n v="0.1"/>
    <n v="1500000"/>
    <n v="150000"/>
    <n v="1350000"/>
  </r>
  <r>
    <n v="210"/>
    <x v="848"/>
    <x v="67"/>
    <n v="9"/>
    <n v="69"/>
    <x v="236"/>
    <s v="cliente69@mail.cl"/>
    <x v="0"/>
    <n v="42"/>
    <x v="2"/>
    <x v="2"/>
    <x v="2"/>
    <x v="9"/>
    <x v="4"/>
    <n v="15000"/>
    <n v="3"/>
    <n v="0.05"/>
    <n v="45000"/>
    <n v="2250"/>
    <n v="42750"/>
  </r>
  <r>
    <n v="310"/>
    <x v="849"/>
    <x v="19"/>
    <n v="4"/>
    <n v="69"/>
    <x v="236"/>
    <s v="cliente69@mail.cl"/>
    <x v="0"/>
    <n v="42"/>
    <x v="6"/>
    <x v="4"/>
    <x v="2"/>
    <x v="2"/>
    <x v="2"/>
    <n v="450000"/>
    <n v="2"/>
    <n v="0.05"/>
    <n v="900000"/>
    <n v="45000"/>
    <n v="855000"/>
  </r>
  <r>
    <n v="404"/>
    <x v="850"/>
    <x v="69"/>
    <n v="1"/>
    <n v="69"/>
    <x v="236"/>
    <s v="cliente69@mail.cl"/>
    <x v="0"/>
    <n v="42"/>
    <x v="4"/>
    <x v="3"/>
    <x v="1"/>
    <x v="0"/>
    <x v="0"/>
    <n v="12000"/>
    <n v="1"/>
    <n v="0"/>
    <n v="12000"/>
    <n v="0"/>
    <n v="12000"/>
  </r>
  <r>
    <n v="647"/>
    <x v="851"/>
    <x v="20"/>
    <n v="6"/>
    <n v="69"/>
    <x v="236"/>
    <s v="cliente69@mail.cl"/>
    <x v="0"/>
    <n v="42"/>
    <x v="2"/>
    <x v="2"/>
    <x v="0"/>
    <x v="1"/>
    <x v="1"/>
    <n v="650000"/>
    <n v="2"/>
    <n v="0"/>
    <n v="1300000"/>
    <n v="0"/>
    <n v="1300000"/>
  </r>
  <r>
    <n v="923"/>
    <x v="852"/>
    <x v="8"/>
    <n v="8"/>
    <n v="69"/>
    <x v="236"/>
    <s v="cliente69@mail.cl"/>
    <x v="0"/>
    <n v="42"/>
    <x v="4"/>
    <x v="3"/>
    <x v="1"/>
    <x v="5"/>
    <x v="2"/>
    <n v="750000"/>
    <n v="3"/>
    <n v="0.1"/>
    <n v="2250000"/>
    <n v="225000"/>
    <n v="2025000"/>
  </r>
  <r>
    <n v="995"/>
    <x v="853"/>
    <x v="27"/>
    <n v="4"/>
    <n v="69"/>
    <x v="236"/>
    <s v="cliente69@mail.cl"/>
    <x v="0"/>
    <n v="42"/>
    <x v="1"/>
    <x v="1"/>
    <x v="1"/>
    <x v="8"/>
    <x v="4"/>
    <n v="35000"/>
    <n v="2"/>
    <n v="0.05"/>
    <n v="70000"/>
    <n v="3500"/>
    <n v="66500"/>
  </r>
  <r>
    <n v="436"/>
    <x v="854"/>
    <x v="2"/>
    <n v="2"/>
    <n v="27"/>
    <x v="237"/>
    <s v="cliente27@mail.cl"/>
    <x v="0"/>
    <n v="24"/>
    <x v="2"/>
    <x v="2"/>
    <x v="1"/>
    <x v="8"/>
    <x v="4"/>
    <n v="35000"/>
    <n v="1"/>
    <n v="0.05"/>
    <n v="35000"/>
    <n v="1750"/>
    <n v="33250"/>
  </r>
  <r>
    <n v="558"/>
    <x v="855"/>
    <x v="32"/>
    <n v="5"/>
    <n v="27"/>
    <x v="237"/>
    <s v="cliente27@mail.cl"/>
    <x v="0"/>
    <n v="24"/>
    <x v="6"/>
    <x v="4"/>
    <x v="0"/>
    <x v="0"/>
    <x v="0"/>
    <n v="12000"/>
    <n v="3"/>
    <n v="0.1"/>
    <n v="36000"/>
    <n v="3600"/>
    <n v="32400"/>
  </r>
  <r>
    <n v="826"/>
    <x v="856"/>
    <x v="54"/>
    <n v="0"/>
    <n v="27"/>
    <x v="237"/>
    <s v="cliente27@mail.cl"/>
    <x v="0"/>
    <n v="24"/>
    <x v="9"/>
    <x v="7"/>
    <x v="1"/>
    <x v="2"/>
    <x v="2"/>
    <n v="450000"/>
    <n v="2"/>
    <n v="0"/>
    <n v="900000"/>
    <n v="0"/>
    <n v="900000"/>
  </r>
  <r>
    <n v="844"/>
    <x v="857"/>
    <x v="4"/>
    <n v="6"/>
    <n v="27"/>
    <x v="237"/>
    <s v="cliente27@mail.cl"/>
    <x v="0"/>
    <n v="24"/>
    <x v="4"/>
    <x v="3"/>
    <x v="1"/>
    <x v="7"/>
    <x v="0"/>
    <n v="25000"/>
    <n v="3"/>
    <n v="0"/>
    <n v="75000"/>
    <n v="0"/>
    <n v="75000"/>
  </r>
  <r>
    <n v="34"/>
    <x v="858"/>
    <x v="57"/>
    <n v="1"/>
    <n v="127"/>
    <x v="238"/>
    <s v="cliente127@mail.cl"/>
    <x v="0"/>
    <n v="26"/>
    <x v="2"/>
    <x v="2"/>
    <x v="1"/>
    <x v="8"/>
    <x v="4"/>
    <n v="35000"/>
    <n v="1"/>
    <n v="0.1"/>
    <n v="35000"/>
    <n v="3500"/>
    <n v="31500"/>
  </r>
  <r>
    <n v="708"/>
    <x v="859"/>
    <x v="1"/>
    <n v="5"/>
    <n v="127"/>
    <x v="238"/>
    <s v="cliente127@mail.cl"/>
    <x v="0"/>
    <n v="26"/>
    <x v="1"/>
    <x v="1"/>
    <x v="1"/>
    <x v="5"/>
    <x v="2"/>
    <n v="750000"/>
    <n v="2"/>
    <n v="0.1"/>
    <n v="1500000"/>
    <n v="150000"/>
    <n v="1350000"/>
  </r>
  <r>
    <n v="820"/>
    <x v="860"/>
    <x v="47"/>
    <n v="7"/>
    <n v="127"/>
    <x v="238"/>
    <s v="cliente127@mail.cl"/>
    <x v="0"/>
    <n v="26"/>
    <x v="8"/>
    <x v="6"/>
    <x v="0"/>
    <x v="3"/>
    <x v="1"/>
    <n v="700000"/>
    <n v="3"/>
    <n v="0"/>
    <n v="2100000"/>
    <n v="0"/>
    <n v="2100000"/>
  </r>
  <r>
    <n v="123"/>
    <x v="861"/>
    <x v="22"/>
    <n v="5"/>
    <n v="206"/>
    <x v="239"/>
    <s v="cliente206@mail.cl"/>
    <x v="0"/>
    <n v="26"/>
    <x v="3"/>
    <x v="3"/>
    <x v="1"/>
    <x v="2"/>
    <x v="2"/>
    <n v="450000"/>
    <n v="2"/>
    <n v="0.1"/>
    <n v="900000"/>
    <n v="90000"/>
    <n v="810000"/>
  </r>
  <r>
    <n v="431"/>
    <x v="862"/>
    <x v="25"/>
    <n v="1"/>
    <n v="206"/>
    <x v="239"/>
    <s v="cliente206@mail.cl"/>
    <x v="0"/>
    <n v="26"/>
    <x v="2"/>
    <x v="2"/>
    <x v="2"/>
    <x v="5"/>
    <x v="2"/>
    <n v="750000"/>
    <n v="1"/>
    <n v="0.05"/>
    <n v="750000"/>
    <n v="37500"/>
    <n v="712500"/>
  </r>
  <r>
    <n v="871"/>
    <x v="863"/>
    <x v="59"/>
    <n v="0"/>
    <n v="206"/>
    <x v="239"/>
    <s v="cliente206@mail.cl"/>
    <x v="0"/>
    <n v="26"/>
    <x v="2"/>
    <x v="2"/>
    <x v="0"/>
    <x v="6"/>
    <x v="1"/>
    <n v="800000"/>
    <n v="1"/>
    <n v="0"/>
    <n v="800000"/>
    <n v="0"/>
    <n v="800000"/>
  </r>
  <r>
    <n v="73"/>
    <x v="864"/>
    <x v="55"/>
    <n v="2"/>
    <n v="144"/>
    <x v="240"/>
    <s v="cliente144@mail.cl"/>
    <x v="0"/>
    <n v="40"/>
    <x v="9"/>
    <x v="7"/>
    <x v="1"/>
    <x v="5"/>
    <x v="2"/>
    <n v="750000"/>
    <n v="2"/>
    <n v="0"/>
    <n v="1500000"/>
    <n v="0"/>
    <n v="1500000"/>
  </r>
  <r>
    <n v="191"/>
    <x v="865"/>
    <x v="40"/>
    <n v="1"/>
    <n v="144"/>
    <x v="240"/>
    <s v="cliente144@mail.cl"/>
    <x v="0"/>
    <n v="40"/>
    <x v="3"/>
    <x v="3"/>
    <x v="1"/>
    <x v="7"/>
    <x v="0"/>
    <n v="25000"/>
    <n v="2"/>
    <n v="0.05"/>
    <n v="50000"/>
    <n v="2500"/>
    <n v="47500"/>
  </r>
  <r>
    <n v="270"/>
    <x v="866"/>
    <x v="41"/>
    <n v="0"/>
    <n v="144"/>
    <x v="240"/>
    <s v="cliente144@mail.cl"/>
    <x v="0"/>
    <n v="40"/>
    <x v="2"/>
    <x v="2"/>
    <x v="0"/>
    <x v="9"/>
    <x v="4"/>
    <n v="15000"/>
    <n v="1"/>
    <n v="0"/>
    <n v="15000"/>
    <n v="0"/>
    <n v="15000"/>
  </r>
  <r>
    <n v="836"/>
    <x v="867"/>
    <x v="33"/>
    <n v="4"/>
    <n v="144"/>
    <x v="240"/>
    <s v="cliente144@mail.cl"/>
    <x v="0"/>
    <n v="40"/>
    <x v="8"/>
    <x v="6"/>
    <x v="0"/>
    <x v="9"/>
    <x v="4"/>
    <n v="15000"/>
    <n v="2"/>
    <n v="0"/>
    <n v="30000"/>
    <n v="0"/>
    <n v="30000"/>
  </r>
  <r>
    <n v="44"/>
    <x v="868"/>
    <x v="16"/>
    <n v="7"/>
    <n v="41"/>
    <x v="241"/>
    <s v="cliente41@mail.cl"/>
    <x v="0"/>
    <n v="46"/>
    <x v="4"/>
    <x v="3"/>
    <x v="2"/>
    <x v="4"/>
    <x v="3"/>
    <n v="55000"/>
    <n v="3"/>
    <n v="0.05"/>
    <n v="165000"/>
    <n v="8250"/>
    <n v="156750"/>
  </r>
  <r>
    <n v="220"/>
    <x v="869"/>
    <x v="60"/>
    <n v="1"/>
    <n v="41"/>
    <x v="241"/>
    <s v="cliente41@mail.cl"/>
    <x v="0"/>
    <n v="46"/>
    <x v="8"/>
    <x v="6"/>
    <x v="0"/>
    <x v="2"/>
    <x v="2"/>
    <n v="450000"/>
    <n v="3"/>
    <n v="0.05"/>
    <n v="1350000"/>
    <n v="67500"/>
    <n v="1282500"/>
  </r>
  <r>
    <n v="33"/>
    <x v="870"/>
    <x v="3"/>
    <n v="0"/>
    <n v="2"/>
    <x v="242"/>
    <s v="cliente2@mail.cl"/>
    <x v="1"/>
    <n v="36"/>
    <x v="3"/>
    <x v="3"/>
    <x v="1"/>
    <x v="2"/>
    <x v="2"/>
    <n v="450000"/>
    <n v="2"/>
    <n v="0"/>
    <n v="900000"/>
    <n v="0"/>
    <n v="900000"/>
  </r>
  <r>
    <n v="359"/>
    <x v="871"/>
    <x v="8"/>
    <n v="8"/>
    <n v="2"/>
    <x v="242"/>
    <s v="cliente2@mail.cl"/>
    <x v="1"/>
    <n v="36"/>
    <x v="4"/>
    <x v="3"/>
    <x v="0"/>
    <x v="2"/>
    <x v="2"/>
    <n v="450000"/>
    <n v="2"/>
    <n v="0.1"/>
    <n v="900000"/>
    <n v="90000"/>
    <n v="810000"/>
  </r>
  <r>
    <n v="609"/>
    <x v="872"/>
    <x v="16"/>
    <n v="7"/>
    <n v="2"/>
    <x v="242"/>
    <s v="cliente2@mail.cl"/>
    <x v="1"/>
    <n v="36"/>
    <x v="4"/>
    <x v="3"/>
    <x v="0"/>
    <x v="0"/>
    <x v="0"/>
    <n v="12000"/>
    <n v="1"/>
    <n v="0.1"/>
    <n v="12000"/>
    <n v="1200"/>
    <n v="10800"/>
  </r>
  <r>
    <n v="913"/>
    <x v="873"/>
    <x v="45"/>
    <n v="1"/>
    <n v="2"/>
    <x v="242"/>
    <s v="cliente2@mail.cl"/>
    <x v="1"/>
    <n v="36"/>
    <x v="4"/>
    <x v="3"/>
    <x v="1"/>
    <x v="0"/>
    <x v="0"/>
    <n v="12000"/>
    <n v="2"/>
    <n v="0.05"/>
    <n v="24000"/>
    <n v="1200"/>
    <n v="22800"/>
  </r>
  <r>
    <n v="87"/>
    <x v="874"/>
    <x v="29"/>
    <n v="2"/>
    <n v="58"/>
    <x v="243"/>
    <s v="cliente58@mail.cl"/>
    <x v="1"/>
    <n v="34"/>
    <x v="1"/>
    <x v="1"/>
    <x v="1"/>
    <x v="2"/>
    <x v="2"/>
    <n v="450000"/>
    <n v="2"/>
    <n v="0.05"/>
    <n v="900000"/>
    <n v="45000"/>
    <n v="855000"/>
  </r>
  <r>
    <n v="208"/>
    <x v="875"/>
    <x v="38"/>
    <n v="6"/>
    <n v="58"/>
    <x v="243"/>
    <s v="cliente58@mail.cl"/>
    <x v="1"/>
    <n v="34"/>
    <x v="8"/>
    <x v="6"/>
    <x v="1"/>
    <x v="6"/>
    <x v="1"/>
    <n v="800000"/>
    <n v="1"/>
    <n v="0.1"/>
    <n v="800000"/>
    <n v="80000"/>
    <n v="720000"/>
  </r>
  <r>
    <n v="367"/>
    <x v="876"/>
    <x v="6"/>
    <n v="0"/>
    <n v="58"/>
    <x v="243"/>
    <s v="cliente58@mail.cl"/>
    <x v="1"/>
    <n v="34"/>
    <x v="2"/>
    <x v="2"/>
    <x v="1"/>
    <x v="2"/>
    <x v="2"/>
    <n v="450000"/>
    <n v="1"/>
    <n v="0.05"/>
    <n v="450000"/>
    <n v="22500"/>
    <n v="427500"/>
  </r>
  <r>
    <n v="905"/>
    <x v="877"/>
    <x v="55"/>
    <n v="2"/>
    <n v="58"/>
    <x v="243"/>
    <s v="cliente58@mail.cl"/>
    <x v="1"/>
    <n v="34"/>
    <x v="9"/>
    <x v="7"/>
    <x v="1"/>
    <x v="5"/>
    <x v="2"/>
    <n v="750000"/>
    <n v="3"/>
    <n v="0.1"/>
    <n v="2250000"/>
    <n v="225000"/>
    <n v="2025000"/>
  </r>
  <r>
    <n v="955"/>
    <x v="878"/>
    <x v="39"/>
    <n v="1"/>
    <n v="58"/>
    <x v="243"/>
    <s v="cliente58@mail.cl"/>
    <x v="1"/>
    <n v="34"/>
    <x v="8"/>
    <x v="6"/>
    <x v="1"/>
    <x v="4"/>
    <x v="3"/>
    <n v="55000"/>
    <n v="3"/>
    <n v="0"/>
    <n v="165000"/>
    <n v="0"/>
    <n v="165000"/>
  </r>
  <r>
    <n v="1000"/>
    <x v="879"/>
    <x v="21"/>
    <n v="7"/>
    <n v="58"/>
    <x v="243"/>
    <s v="cliente58@mail.cl"/>
    <x v="1"/>
    <n v="34"/>
    <x v="1"/>
    <x v="1"/>
    <x v="1"/>
    <x v="1"/>
    <x v="1"/>
    <n v="650000"/>
    <n v="1"/>
    <n v="0"/>
    <n v="650000"/>
    <n v="0"/>
    <n v="650000"/>
  </r>
  <r>
    <n v="55"/>
    <x v="880"/>
    <x v="45"/>
    <n v="1"/>
    <n v="117"/>
    <x v="244"/>
    <s v="cliente117@mail.cl"/>
    <x v="0"/>
    <n v="18"/>
    <x v="4"/>
    <x v="3"/>
    <x v="1"/>
    <x v="4"/>
    <x v="3"/>
    <n v="55000"/>
    <n v="3"/>
    <n v="0"/>
    <n v="165000"/>
    <n v="0"/>
    <n v="165000"/>
  </r>
  <r>
    <n v="304"/>
    <x v="881"/>
    <x v="1"/>
    <n v="5"/>
    <n v="117"/>
    <x v="244"/>
    <s v="cliente117@mail.cl"/>
    <x v="0"/>
    <n v="18"/>
    <x v="1"/>
    <x v="1"/>
    <x v="0"/>
    <x v="4"/>
    <x v="3"/>
    <n v="55000"/>
    <n v="1"/>
    <n v="0"/>
    <n v="55000"/>
    <n v="0"/>
    <n v="55000"/>
  </r>
  <r>
    <n v="93"/>
    <x v="882"/>
    <x v="61"/>
    <n v="3"/>
    <n v="86"/>
    <x v="245"/>
    <s v="cliente86@mail.cl"/>
    <x v="1"/>
    <n v="31"/>
    <x v="7"/>
    <x v="5"/>
    <x v="1"/>
    <x v="1"/>
    <x v="1"/>
    <n v="650000"/>
    <n v="2"/>
    <n v="0.05"/>
    <n v="1300000"/>
    <n v="65000"/>
    <n v="1235000"/>
  </r>
  <r>
    <n v="305"/>
    <x v="883"/>
    <x v="36"/>
    <n v="2"/>
    <n v="86"/>
    <x v="245"/>
    <s v="cliente86@mail.cl"/>
    <x v="1"/>
    <n v="31"/>
    <x v="5"/>
    <x v="2"/>
    <x v="0"/>
    <x v="5"/>
    <x v="2"/>
    <n v="750000"/>
    <n v="2"/>
    <n v="0.1"/>
    <n v="1500000"/>
    <n v="150000"/>
    <n v="1350000"/>
  </r>
  <r>
    <n v="325"/>
    <x v="884"/>
    <x v="51"/>
    <n v="1"/>
    <n v="86"/>
    <x v="245"/>
    <s v="cliente86@mail.cl"/>
    <x v="1"/>
    <n v="31"/>
    <x v="3"/>
    <x v="3"/>
    <x v="0"/>
    <x v="2"/>
    <x v="2"/>
    <n v="450000"/>
    <n v="1"/>
    <n v="0"/>
    <n v="450000"/>
    <n v="0"/>
    <n v="450000"/>
  </r>
  <r>
    <n v="528"/>
    <x v="885"/>
    <x v="7"/>
    <n v="3"/>
    <n v="86"/>
    <x v="245"/>
    <s v="cliente86@mail.cl"/>
    <x v="1"/>
    <n v="31"/>
    <x v="5"/>
    <x v="2"/>
    <x v="0"/>
    <x v="7"/>
    <x v="0"/>
    <n v="25000"/>
    <n v="2"/>
    <n v="0.05"/>
    <n v="50000"/>
    <n v="2500"/>
    <n v="47500"/>
  </r>
  <r>
    <n v="674"/>
    <x v="886"/>
    <x v="18"/>
    <n v="1"/>
    <n v="86"/>
    <x v="245"/>
    <s v="cliente86@mail.cl"/>
    <x v="1"/>
    <n v="31"/>
    <x v="3"/>
    <x v="3"/>
    <x v="0"/>
    <x v="0"/>
    <x v="0"/>
    <n v="12000"/>
    <n v="1"/>
    <n v="0.05"/>
    <n v="12000"/>
    <n v="600"/>
    <n v="11400"/>
  </r>
  <r>
    <n v="852"/>
    <x v="887"/>
    <x v="49"/>
    <n v="9"/>
    <n v="86"/>
    <x v="245"/>
    <s v="cliente86@mail.cl"/>
    <x v="1"/>
    <n v="31"/>
    <x v="4"/>
    <x v="3"/>
    <x v="0"/>
    <x v="8"/>
    <x v="4"/>
    <n v="35000"/>
    <n v="3"/>
    <n v="0.05"/>
    <n v="105000"/>
    <n v="5250"/>
    <n v="99750"/>
  </r>
  <r>
    <n v="953"/>
    <x v="888"/>
    <x v="28"/>
    <n v="0"/>
    <n v="86"/>
    <x v="245"/>
    <s v="cliente86@mail.cl"/>
    <x v="1"/>
    <n v="31"/>
    <x v="7"/>
    <x v="5"/>
    <x v="1"/>
    <x v="0"/>
    <x v="0"/>
    <n v="12000"/>
    <n v="3"/>
    <n v="0"/>
    <n v="36000"/>
    <n v="0"/>
    <n v="36000"/>
  </r>
  <r>
    <n v="222"/>
    <x v="889"/>
    <x v="65"/>
    <n v="4"/>
    <n v="66"/>
    <x v="246"/>
    <s v="cliente66@mail.cl"/>
    <x v="1"/>
    <n v="54"/>
    <x v="7"/>
    <x v="5"/>
    <x v="0"/>
    <x v="6"/>
    <x v="1"/>
    <n v="800000"/>
    <n v="3"/>
    <n v="0"/>
    <n v="2400000"/>
    <n v="0"/>
    <n v="2400000"/>
  </r>
  <r>
    <n v="491"/>
    <x v="890"/>
    <x v="33"/>
    <n v="4"/>
    <n v="66"/>
    <x v="246"/>
    <s v="cliente66@mail.cl"/>
    <x v="1"/>
    <n v="54"/>
    <x v="8"/>
    <x v="6"/>
    <x v="1"/>
    <x v="2"/>
    <x v="2"/>
    <n v="450000"/>
    <n v="3"/>
    <n v="0"/>
    <n v="1350000"/>
    <n v="0"/>
    <n v="1350000"/>
  </r>
  <r>
    <n v="818"/>
    <x v="891"/>
    <x v="58"/>
    <n v="13"/>
    <n v="66"/>
    <x v="246"/>
    <s v="cliente66@mail.cl"/>
    <x v="1"/>
    <n v="54"/>
    <x v="1"/>
    <x v="1"/>
    <x v="1"/>
    <x v="8"/>
    <x v="4"/>
    <n v="35000"/>
    <n v="1"/>
    <n v="0"/>
    <n v="35000"/>
    <n v="0"/>
    <n v="35000"/>
  </r>
  <r>
    <n v="218"/>
    <x v="892"/>
    <x v="22"/>
    <n v="5"/>
    <n v="164"/>
    <x v="247"/>
    <s v="cliente164@mail.cl"/>
    <x v="0"/>
    <n v="28"/>
    <x v="3"/>
    <x v="3"/>
    <x v="0"/>
    <x v="8"/>
    <x v="4"/>
    <n v="35000"/>
    <n v="2"/>
    <n v="0.05"/>
    <n v="70000"/>
    <n v="3500"/>
    <n v="66500"/>
  </r>
  <r>
    <n v="242"/>
    <x v="893"/>
    <x v="65"/>
    <n v="4"/>
    <n v="164"/>
    <x v="247"/>
    <s v="cliente164@mail.cl"/>
    <x v="0"/>
    <n v="28"/>
    <x v="7"/>
    <x v="5"/>
    <x v="0"/>
    <x v="4"/>
    <x v="3"/>
    <n v="55000"/>
    <n v="3"/>
    <n v="0.05"/>
    <n v="165000"/>
    <n v="8250"/>
    <n v="156750"/>
  </r>
  <r>
    <n v="612"/>
    <x v="894"/>
    <x v="67"/>
    <n v="9"/>
    <n v="164"/>
    <x v="247"/>
    <s v="cliente164@mail.cl"/>
    <x v="0"/>
    <n v="28"/>
    <x v="2"/>
    <x v="2"/>
    <x v="0"/>
    <x v="1"/>
    <x v="1"/>
    <n v="650000"/>
    <n v="1"/>
    <n v="0.1"/>
    <n v="650000"/>
    <n v="65000"/>
    <n v="585000"/>
  </r>
  <r>
    <n v="766"/>
    <x v="895"/>
    <x v="21"/>
    <n v="7"/>
    <n v="164"/>
    <x v="247"/>
    <s v="cliente164@mail.cl"/>
    <x v="0"/>
    <n v="28"/>
    <x v="1"/>
    <x v="1"/>
    <x v="0"/>
    <x v="7"/>
    <x v="0"/>
    <n v="25000"/>
    <n v="2"/>
    <n v="0"/>
    <n v="50000"/>
    <n v="0"/>
    <n v="50000"/>
  </r>
  <r>
    <n v="850"/>
    <x v="896"/>
    <x v="39"/>
    <n v="1"/>
    <n v="164"/>
    <x v="247"/>
    <s v="cliente164@mail.cl"/>
    <x v="0"/>
    <n v="28"/>
    <x v="8"/>
    <x v="6"/>
    <x v="0"/>
    <x v="4"/>
    <x v="3"/>
    <n v="55000"/>
    <n v="1"/>
    <n v="0.1"/>
    <n v="55000"/>
    <n v="5500"/>
    <n v="49500"/>
  </r>
  <r>
    <n v="878"/>
    <x v="897"/>
    <x v="66"/>
    <n v="0"/>
    <n v="164"/>
    <x v="247"/>
    <s v="cliente164@mail.cl"/>
    <x v="0"/>
    <n v="28"/>
    <x v="9"/>
    <x v="7"/>
    <x v="0"/>
    <x v="1"/>
    <x v="1"/>
    <n v="650000"/>
    <n v="1"/>
    <n v="0"/>
    <n v="650000"/>
    <n v="0"/>
    <n v="650000"/>
  </r>
  <r>
    <n v="896"/>
    <x v="898"/>
    <x v="67"/>
    <n v="9"/>
    <n v="164"/>
    <x v="247"/>
    <s v="cliente164@mail.cl"/>
    <x v="0"/>
    <n v="28"/>
    <x v="2"/>
    <x v="2"/>
    <x v="0"/>
    <x v="6"/>
    <x v="1"/>
    <n v="800000"/>
    <n v="1"/>
    <n v="0.1"/>
    <n v="800000"/>
    <n v="80000"/>
    <n v="720000"/>
  </r>
  <r>
    <n v="137"/>
    <x v="899"/>
    <x v="51"/>
    <n v="1"/>
    <n v="13"/>
    <x v="248"/>
    <s v="cliente13@mail.cl"/>
    <x v="0"/>
    <n v="40"/>
    <x v="3"/>
    <x v="3"/>
    <x v="2"/>
    <x v="4"/>
    <x v="3"/>
    <n v="55000"/>
    <n v="1"/>
    <n v="0.1"/>
    <n v="55000"/>
    <n v="5500"/>
    <n v="49500"/>
  </r>
  <r>
    <n v="194"/>
    <x v="900"/>
    <x v="63"/>
    <n v="6"/>
    <n v="13"/>
    <x v="248"/>
    <s v="cliente13@mail.cl"/>
    <x v="0"/>
    <n v="40"/>
    <x v="1"/>
    <x v="1"/>
    <x v="1"/>
    <x v="5"/>
    <x v="2"/>
    <n v="750000"/>
    <n v="2"/>
    <n v="0"/>
    <n v="1500000"/>
    <n v="0"/>
    <n v="1500000"/>
  </r>
  <r>
    <n v="648"/>
    <x v="901"/>
    <x v="46"/>
    <n v="0"/>
    <n v="133"/>
    <x v="249"/>
    <s v="cliente133@mail.cl"/>
    <x v="1"/>
    <n v="25"/>
    <x v="4"/>
    <x v="3"/>
    <x v="0"/>
    <x v="6"/>
    <x v="1"/>
    <n v="800000"/>
    <n v="1"/>
    <n v="0.1"/>
    <n v="800000"/>
    <n v="80000"/>
    <n v="720000"/>
  </r>
  <r>
    <n v="918"/>
    <x v="902"/>
    <x v="49"/>
    <n v="9"/>
    <n v="133"/>
    <x v="249"/>
    <s v="cliente133@mail.cl"/>
    <x v="1"/>
    <n v="25"/>
    <x v="4"/>
    <x v="3"/>
    <x v="1"/>
    <x v="8"/>
    <x v="4"/>
    <n v="35000"/>
    <n v="2"/>
    <n v="0.05"/>
    <n v="70000"/>
    <n v="3500"/>
    <n v="66500"/>
  </r>
  <r>
    <n v="931"/>
    <x v="903"/>
    <x v="1"/>
    <n v="5"/>
    <n v="133"/>
    <x v="249"/>
    <s v="cliente133@mail.cl"/>
    <x v="1"/>
    <n v="25"/>
    <x v="1"/>
    <x v="1"/>
    <x v="1"/>
    <x v="3"/>
    <x v="1"/>
    <n v="700000"/>
    <n v="3"/>
    <n v="0"/>
    <n v="2100000"/>
    <n v="0"/>
    <n v="2100000"/>
  </r>
  <r>
    <n v="18"/>
    <x v="904"/>
    <x v="67"/>
    <n v="9"/>
    <n v="234"/>
    <x v="250"/>
    <s v="cliente234@mail.cl"/>
    <x v="0"/>
    <n v="30"/>
    <x v="2"/>
    <x v="2"/>
    <x v="1"/>
    <x v="1"/>
    <x v="1"/>
    <n v="650000"/>
    <n v="2"/>
    <n v="0"/>
    <n v="1300000"/>
    <n v="0"/>
    <n v="1300000"/>
  </r>
  <r>
    <n v="129"/>
    <x v="905"/>
    <x v="29"/>
    <n v="2"/>
    <n v="234"/>
    <x v="250"/>
    <s v="cliente234@mail.cl"/>
    <x v="0"/>
    <n v="30"/>
    <x v="1"/>
    <x v="1"/>
    <x v="1"/>
    <x v="4"/>
    <x v="3"/>
    <n v="55000"/>
    <n v="1"/>
    <n v="0"/>
    <n v="55000"/>
    <n v="0"/>
    <n v="55000"/>
  </r>
  <r>
    <n v="136"/>
    <x v="906"/>
    <x v="57"/>
    <n v="1"/>
    <n v="234"/>
    <x v="250"/>
    <s v="cliente234@mail.cl"/>
    <x v="0"/>
    <n v="30"/>
    <x v="2"/>
    <x v="2"/>
    <x v="0"/>
    <x v="0"/>
    <x v="0"/>
    <n v="12000"/>
    <n v="3"/>
    <n v="0"/>
    <n v="36000"/>
    <n v="0"/>
    <n v="36000"/>
  </r>
  <r>
    <n v="469"/>
    <x v="907"/>
    <x v="8"/>
    <n v="8"/>
    <n v="234"/>
    <x v="250"/>
    <s v="cliente234@mail.cl"/>
    <x v="0"/>
    <n v="30"/>
    <x v="4"/>
    <x v="3"/>
    <x v="2"/>
    <x v="2"/>
    <x v="2"/>
    <n v="450000"/>
    <n v="2"/>
    <n v="0.05"/>
    <n v="900000"/>
    <n v="45000"/>
    <n v="855000"/>
  </r>
  <r>
    <n v="495"/>
    <x v="908"/>
    <x v="3"/>
    <n v="0"/>
    <n v="234"/>
    <x v="250"/>
    <s v="cliente234@mail.cl"/>
    <x v="0"/>
    <n v="30"/>
    <x v="3"/>
    <x v="3"/>
    <x v="1"/>
    <x v="5"/>
    <x v="2"/>
    <n v="750000"/>
    <n v="2"/>
    <n v="0"/>
    <n v="1500000"/>
    <n v="0"/>
    <n v="1500000"/>
  </r>
  <r>
    <n v="824"/>
    <x v="909"/>
    <x v="36"/>
    <n v="2"/>
    <n v="234"/>
    <x v="250"/>
    <s v="cliente234@mail.cl"/>
    <x v="0"/>
    <n v="30"/>
    <x v="5"/>
    <x v="2"/>
    <x v="0"/>
    <x v="5"/>
    <x v="2"/>
    <n v="750000"/>
    <n v="1"/>
    <n v="0"/>
    <n v="750000"/>
    <n v="0"/>
    <n v="750000"/>
  </r>
  <r>
    <n v="312"/>
    <x v="910"/>
    <x v="30"/>
    <n v="1"/>
    <n v="168"/>
    <x v="251"/>
    <s v="cliente168@mail.cl"/>
    <x v="1"/>
    <n v="60"/>
    <x v="6"/>
    <x v="4"/>
    <x v="0"/>
    <x v="1"/>
    <x v="1"/>
    <n v="650000"/>
    <n v="2"/>
    <n v="0"/>
    <n v="1300000"/>
    <n v="0"/>
    <n v="1300000"/>
  </r>
  <r>
    <n v="519"/>
    <x v="911"/>
    <x v="22"/>
    <n v="5"/>
    <n v="168"/>
    <x v="251"/>
    <s v="cliente168@mail.cl"/>
    <x v="1"/>
    <n v="60"/>
    <x v="3"/>
    <x v="3"/>
    <x v="2"/>
    <x v="3"/>
    <x v="1"/>
    <n v="700000"/>
    <n v="1"/>
    <n v="0.1"/>
    <n v="700000"/>
    <n v="70000"/>
    <n v="630000"/>
  </r>
  <r>
    <n v="190"/>
    <x v="912"/>
    <x v="42"/>
    <n v="3"/>
    <n v="166"/>
    <x v="252"/>
    <s v="cliente166@mail.cl"/>
    <x v="0"/>
    <n v="42"/>
    <x v="0"/>
    <x v="0"/>
    <x v="0"/>
    <x v="3"/>
    <x v="1"/>
    <n v="700000"/>
    <n v="2"/>
    <n v="0.1"/>
    <n v="1400000"/>
    <n v="140000"/>
    <n v="1260000"/>
  </r>
  <r>
    <n v="373"/>
    <x v="913"/>
    <x v="46"/>
    <n v="0"/>
    <n v="166"/>
    <x v="252"/>
    <s v="cliente166@mail.cl"/>
    <x v="0"/>
    <n v="42"/>
    <x v="4"/>
    <x v="3"/>
    <x v="1"/>
    <x v="3"/>
    <x v="1"/>
    <n v="700000"/>
    <n v="3"/>
    <n v="0.05"/>
    <n v="2100000"/>
    <n v="105000"/>
    <n v="1995000"/>
  </r>
  <r>
    <n v="551"/>
    <x v="914"/>
    <x v="50"/>
    <n v="2"/>
    <n v="166"/>
    <x v="252"/>
    <s v="cliente166@mail.cl"/>
    <x v="0"/>
    <n v="42"/>
    <x v="2"/>
    <x v="2"/>
    <x v="1"/>
    <x v="4"/>
    <x v="3"/>
    <n v="55000"/>
    <n v="1"/>
    <n v="0"/>
    <n v="55000"/>
    <n v="0"/>
    <n v="55000"/>
  </r>
  <r>
    <n v="619"/>
    <x v="915"/>
    <x v="30"/>
    <n v="1"/>
    <n v="166"/>
    <x v="252"/>
    <s v="cliente166@mail.cl"/>
    <x v="0"/>
    <n v="42"/>
    <x v="6"/>
    <x v="4"/>
    <x v="0"/>
    <x v="4"/>
    <x v="3"/>
    <n v="55000"/>
    <n v="3"/>
    <n v="0.1"/>
    <n v="165000"/>
    <n v="16500"/>
    <n v="148500"/>
  </r>
  <r>
    <n v="640"/>
    <x v="916"/>
    <x v="67"/>
    <n v="9"/>
    <n v="166"/>
    <x v="252"/>
    <s v="cliente166@mail.cl"/>
    <x v="0"/>
    <n v="42"/>
    <x v="2"/>
    <x v="2"/>
    <x v="0"/>
    <x v="6"/>
    <x v="1"/>
    <n v="800000"/>
    <n v="2"/>
    <n v="0"/>
    <n v="1600000"/>
    <n v="0"/>
    <n v="1600000"/>
  </r>
  <r>
    <n v="285"/>
    <x v="917"/>
    <x v="45"/>
    <n v="1"/>
    <n v="135"/>
    <x v="253"/>
    <s v="cliente135@mail.cl"/>
    <x v="0"/>
    <n v="26"/>
    <x v="4"/>
    <x v="3"/>
    <x v="0"/>
    <x v="0"/>
    <x v="0"/>
    <n v="12000"/>
    <n v="1"/>
    <n v="0.1"/>
    <n v="12000"/>
    <n v="1200"/>
    <n v="10800"/>
  </r>
  <r>
    <n v="322"/>
    <x v="918"/>
    <x v="33"/>
    <n v="4"/>
    <n v="135"/>
    <x v="253"/>
    <s v="cliente135@mail.cl"/>
    <x v="0"/>
    <n v="26"/>
    <x v="8"/>
    <x v="6"/>
    <x v="1"/>
    <x v="9"/>
    <x v="4"/>
    <n v="15000"/>
    <n v="3"/>
    <n v="0.05"/>
    <n v="45000"/>
    <n v="2250"/>
    <n v="42750"/>
  </r>
  <r>
    <n v="473"/>
    <x v="919"/>
    <x v="9"/>
    <n v="1"/>
    <n v="135"/>
    <x v="253"/>
    <s v="cliente135@mail.cl"/>
    <x v="0"/>
    <n v="26"/>
    <x v="6"/>
    <x v="4"/>
    <x v="1"/>
    <x v="0"/>
    <x v="0"/>
    <n v="12000"/>
    <n v="1"/>
    <n v="0.1"/>
    <n v="12000"/>
    <n v="1200"/>
    <n v="10800"/>
  </r>
  <r>
    <n v="614"/>
    <x v="920"/>
    <x v="49"/>
    <n v="9"/>
    <n v="135"/>
    <x v="253"/>
    <s v="cliente135@mail.cl"/>
    <x v="0"/>
    <n v="26"/>
    <x v="4"/>
    <x v="3"/>
    <x v="0"/>
    <x v="2"/>
    <x v="2"/>
    <n v="450000"/>
    <n v="2"/>
    <n v="0.05"/>
    <n v="900000"/>
    <n v="45000"/>
    <n v="855000"/>
  </r>
  <r>
    <n v="668"/>
    <x v="921"/>
    <x v="30"/>
    <n v="1"/>
    <n v="135"/>
    <x v="253"/>
    <s v="cliente135@mail.cl"/>
    <x v="0"/>
    <n v="26"/>
    <x v="6"/>
    <x v="4"/>
    <x v="0"/>
    <x v="1"/>
    <x v="1"/>
    <n v="650000"/>
    <n v="3"/>
    <n v="0"/>
    <n v="1950000"/>
    <n v="0"/>
    <n v="1950000"/>
  </r>
  <r>
    <n v="721"/>
    <x v="922"/>
    <x v="10"/>
    <n v="0"/>
    <n v="200"/>
    <x v="254"/>
    <s v="cliente200@mail.cl"/>
    <x v="1"/>
    <n v="24"/>
    <x v="7"/>
    <x v="5"/>
    <x v="1"/>
    <x v="1"/>
    <x v="1"/>
    <n v="650000"/>
    <n v="3"/>
    <n v="0.1"/>
    <n v="1950000"/>
    <n v="195000"/>
    <n v="1755000"/>
  </r>
  <r>
    <n v="232"/>
    <x v="923"/>
    <x v="27"/>
    <n v="4"/>
    <n v="52"/>
    <x v="255"/>
    <s v="cliente52@mail.cl"/>
    <x v="1"/>
    <n v="33"/>
    <x v="1"/>
    <x v="1"/>
    <x v="1"/>
    <x v="8"/>
    <x v="4"/>
    <n v="35000"/>
    <n v="3"/>
    <n v="0.05"/>
    <n v="105000"/>
    <n v="5250"/>
    <n v="99750"/>
  </r>
  <r>
    <n v="705"/>
    <x v="924"/>
    <x v="1"/>
    <n v="5"/>
    <n v="52"/>
    <x v="255"/>
    <s v="cliente52@mail.cl"/>
    <x v="1"/>
    <n v="33"/>
    <x v="1"/>
    <x v="1"/>
    <x v="1"/>
    <x v="5"/>
    <x v="2"/>
    <n v="750000"/>
    <n v="3"/>
    <n v="0.05"/>
    <n v="2250000"/>
    <n v="112500"/>
    <n v="2137500"/>
  </r>
  <r>
    <n v="789"/>
    <x v="925"/>
    <x v="69"/>
    <n v="1"/>
    <n v="52"/>
    <x v="255"/>
    <s v="cliente52@mail.cl"/>
    <x v="1"/>
    <n v="33"/>
    <x v="4"/>
    <x v="3"/>
    <x v="1"/>
    <x v="6"/>
    <x v="1"/>
    <n v="800000"/>
    <n v="2"/>
    <n v="0.05"/>
    <n v="1600000"/>
    <n v="80000"/>
    <n v="1520000"/>
  </r>
  <r>
    <n v="807"/>
    <x v="926"/>
    <x v="52"/>
    <n v="1"/>
    <n v="52"/>
    <x v="255"/>
    <s v="cliente52@mail.cl"/>
    <x v="1"/>
    <n v="33"/>
    <x v="6"/>
    <x v="4"/>
    <x v="2"/>
    <x v="2"/>
    <x v="2"/>
    <n v="450000"/>
    <n v="1"/>
    <n v="0"/>
    <n v="450000"/>
    <n v="0"/>
    <n v="450000"/>
  </r>
  <r>
    <n v="406"/>
    <x v="927"/>
    <x v="64"/>
    <n v="0"/>
    <n v="217"/>
    <x v="256"/>
    <s v="cliente217@mail.cl"/>
    <x v="1"/>
    <n v="28"/>
    <x v="5"/>
    <x v="2"/>
    <x v="1"/>
    <x v="8"/>
    <x v="4"/>
    <n v="35000"/>
    <n v="1"/>
    <n v="0.1"/>
    <n v="35000"/>
    <n v="3500"/>
    <n v="31500"/>
  </r>
  <r>
    <n v="950"/>
    <x v="928"/>
    <x v="41"/>
    <n v="0"/>
    <n v="217"/>
    <x v="256"/>
    <s v="cliente217@mail.cl"/>
    <x v="1"/>
    <n v="28"/>
    <x v="2"/>
    <x v="2"/>
    <x v="0"/>
    <x v="3"/>
    <x v="1"/>
    <n v="700000"/>
    <n v="3"/>
    <n v="0.1"/>
    <n v="2100000"/>
    <n v="210000"/>
    <n v="1890000"/>
  </r>
  <r>
    <n v="111"/>
    <x v="929"/>
    <x v="55"/>
    <n v="2"/>
    <n v="97"/>
    <x v="257"/>
    <s v="cliente97@mail.cl"/>
    <x v="0"/>
    <n v="41"/>
    <x v="9"/>
    <x v="7"/>
    <x v="0"/>
    <x v="9"/>
    <x v="4"/>
    <n v="15000"/>
    <n v="3"/>
    <n v="0"/>
    <n v="45000"/>
    <n v="0"/>
    <n v="45000"/>
  </r>
  <r>
    <n v="673"/>
    <x v="930"/>
    <x v="42"/>
    <n v="3"/>
    <n v="97"/>
    <x v="257"/>
    <s v="cliente97@mail.cl"/>
    <x v="0"/>
    <n v="41"/>
    <x v="0"/>
    <x v="0"/>
    <x v="1"/>
    <x v="8"/>
    <x v="4"/>
    <n v="35000"/>
    <n v="2"/>
    <n v="0"/>
    <n v="70000"/>
    <n v="0"/>
    <n v="70000"/>
  </r>
  <r>
    <n v="50"/>
    <x v="931"/>
    <x v="16"/>
    <n v="7"/>
    <n v="30"/>
    <x v="258"/>
    <s v="cliente30@mail.cl"/>
    <x v="1"/>
    <n v="34"/>
    <x v="4"/>
    <x v="3"/>
    <x v="0"/>
    <x v="9"/>
    <x v="4"/>
    <n v="15000"/>
    <n v="3"/>
    <n v="0"/>
    <n v="45000"/>
    <n v="0"/>
    <n v="45000"/>
  </r>
  <r>
    <n v="803"/>
    <x v="932"/>
    <x v="57"/>
    <n v="1"/>
    <n v="30"/>
    <x v="258"/>
    <s v="cliente30@mail.cl"/>
    <x v="1"/>
    <n v="34"/>
    <x v="2"/>
    <x v="2"/>
    <x v="1"/>
    <x v="4"/>
    <x v="3"/>
    <n v="55000"/>
    <n v="3"/>
    <n v="0"/>
    <n v="165000"/>
    <n v="0"/>
    <n v="165000"/>
  </r>
  <r>
    <n v="829"/>
    <x v="933"/>
    <x v="14"/>
    <n v="9"/>
    <n v="30"/>
    <x v="258"/>
    <s v="cliente30@mail.cl"/>
    <x v="1"/>
    <n v="34"/>
    <x v="8"/>
    <x v="6"/>
    <x v="0"/>
    <x v="2"/>
    <x v="2"/>
    <n v="450000"/>
    <n v="3"/>
    <n v="0.05"/>
    <n v="1350000"/>
    <n v="67500"/>
    <n v="1282500"/>
  </r>
  <r>
    <n v="859"/>
    <x v="934"/>
    <x v="21"/>
    <n v="7"/>
    <n v="30"/>
    <x v="258"/>
    <s v="cliente30@mail.cl"/>
    <x v="1"/>
    <n v="34"/>
    <x v="1"/>
    <x v="1"/>
    <x v="1"/>
    <x v="4"/>
    <x v="3"/>
    <n v="55000"/>
    <n v="3"/>
    <n v="0.1"/>
    <n v="165000"/>
    <n v="16500"/>
    <n v="148500"/>
  </r>
  <r>
    <n v="930"/>
    <x v="935"/>
    <x v="6"/>
    <n v="0"/>
    <n v="30"/>
    <x v="258"/>
    <s v="cliente30@mail.cl"/>
    <x v="1"/>
    <n v="34"/>
    <x v="2"/>
    <x v="2"/>
    <x v="0"/>
    <x v="8"/>
    <x v="4"/>
    <n v="35000"/>
    <n v="2"/>
    <n v="0.05"/>
    <n v="70000"/>
    <n v="3500"/>
    <n v="66500"/>
  </r>
  <r>
    <n v="930"/>
    <x v="935"/>
    <x v="6"/>
    <n v="0"/>
    <n v="30"/>
    <x v="258"/>
    <s v="cliente30@mail.cl"/>
    <x v="1"/>
    <n v="34"/>
    <x v="2"/>
    <x v="2"/>
    <x v="0"/>
    <x v="8"/>
    <x v="4"/>
    <n v="35000"/>
    <n v="2"/>
    <n v="0.05"/>
    <n v="70000"/>
    <n v="3500"/>
    <n v="66500"/>
  </r>
  <r>
    <n v="50"/>
    <x v="931"/>
    <x v="16"/>
    <n v="7"/>
    <n v="30"/>
    <x v="258"/>
    <s v="cliente30@mail.cl"/>
    <x v="1"/>
    <n v="34"/>
    <x v="4"/>
    <x v="3"/>
    <x v="0"/>
    <x v="9"/>
    <x v="4"/>
    <n v="15000"/>
    <n v="3"/>
    <n v="0"/>
    <n v="45000"/>
    <n v="0"/>
    <n v="45000"/>
  </r>
  <r>
    <n v="351"/>
    <x v="936"/>
    <x v="28"/>
    <n v="0"/>
    <n v="124"/>
    <x v="259"/>
    <s v="cliente124@mail.cl"/>
    <x v="0"/>
    <n v="21"/>
    <x v="7"/>
    <x v="5"/>
    <x v="1"/>
    <x v="6"/>
    <x v="1"/>
    <n v="800000"/>
    <n v="1"/>
    <n v="0.05"/>
    <n v="800000"/>
    <n v="40000"/>
    <n v="760000"/>
  </r>
  <r>
    <n v="926"/>
    <x v="937"/>
    <x v="55"/>
    <n v="2"/>
    <n v="124"/>
    <x v="259"/>
    <s v="cliente124@mail.cl"/>
    <x v="0"/>
    <n v="21"/>
    <x v="9"/>
    <x v="7"/>
    <x v="1"/>
    <x v="8"/>
    <x v="4"/>
    <n v="35000"/>
    <n v="3"/>
    <n v="0"/>
    <n v="105000"/>
    <n v="0"/>
    <n v="105000"/>
  </r>
  <r>
    <n v="403"/>
    <x v="938"/>
    <x v="35"/>
    <n v="5"/>
    <n v="19"/>
    <x v="260"/>
    <s v="cliente19@mail.cl"/>
    <x v="1"/>
    <n v="27"/>
    <x v="6"/>
    <x v="4"/>
    <x v="1"/>
    <x v="4"/>
    <x v="3"/>
    <n v="55000"/>
    <n v="1"/>
    <n v="0"/>
    <n v="55000"/>
    <n v="0"/>
    <n v="55000"/>
  </r>
  <r>
    <n v="555"/>
    <x v="939"/>
    <x v="39"/>
    <n v="1"/>
    <n v="19"/>
    <x v="260"/>
    <s v="cliente19@mail.cl"/>
    <x v="1"/>
    <n v="27"/>
    <x v="8"/>
    <x v="6"/>
    <x v="0"/>
    <x v="4"/>
    <x v="3"/>
    <n v="55000"/>
    <n v="1"/>
    <n v="0"/>
    <n v="55000"/>
    <n v="0"/>
    <n v="55000"/>
  </r>
  <r>
    <n v="740"/>
    <x v="940"/>
    <x v="43"/>
    <n v="5"/>
    <n v="19"/>
    <x v="260"/>
    <s v="cliente19@mail.cl"/>
    <x v="1"/>
    <n v="27"/>
    <x v="7"/>
    <x v="5"/>
    <x v="1"/>
    <x v="5"/>
    <x v="2"/>
    <n v="750000"/>
    <n v="3"/>
    <n v="0"/>
    <n v="2250000"/>
    <n v="0"/>
    <n v="2250000"/>
  </r>
  <r>
    <n v="192"/>
    <x v="941"/>
    <x v="24"/>
    <n v="4"/>
    <n v="231"/>
    <x v="261"/>
    <s v="cliente231@mail.cl"/>
    <x v="1"/>
    <n v="29"/>
    <x v="3"/>
    <x v="3"/>
    <x v="1"/>
    <x v="1"/>
    <x v="1"/>
    <n v="650000"/>
    <n v="3"/>
    <n v="0.1"/>
    <n v="1950000"/>
    <n v="195000"/>
    <n v="1755000"/>
  </r>
  <r>
    <n v="201"/>
    <x v="942"/>
    <x v="69"/>
    <n v="1"/>
    <n v="231"/>
    <x v="261"/>
    <s v="cliente231@mail.cl"/>
    <x v="1"/>
    <n v="29"/>
    <x v="4"/>
    <x v="3"/>
    <x v="1"/>
    <x v="1"/>
    <x v="1"/>
    <n v="650000"/>
    <n v="2"/>
    <n v="0.1"/>
    <n v="1300000"/>
    <n v="130000"/>
    <n v="1170000"/>
  </r>
  <r>
    <n v="569"/>
    <x v="943"/>
    <x v="49"/>
    <n v="9"/>
    <n v="231"/>
    <x v="261"/>
    <s v="cliente231@mail.cl"/>
    <x v="1"/>
    <n v="29"/>
    <x v="4"/>
    <x v="3"/>
    <x v="1"/>
    <x v="0"/>
    <x v="0"/>
    <n v="12000"/>
    <n v="3"/>
    <n v="0"/>
    <n v="36000"/>
    <n v="0"/>
    <n v="36000"/>
  </r>
  <r>
    <n v="618"/>
    <x v="944"/>
    <x v="1"/>
    <n v="5"/>
    <n v="231"/>
    <x v="261"/>
    <s v="cliente231@mail.cl"/>
    <x v="1"/>
    <n v="29"/>
    <x v="1"/>
    <x v="1"/>
    <x v="0"/>
    <x v="9"/>
    <x v="4"/>
    <n v="15000"/>
    <n v="1"/>
    <n v="0"/>
    <n v="15000"/>
    <n v="0"/>
    <n v="15000"/>
  </r>
  <r>
    <n v="107"/>
    <x v="945"/>
    <x v="29"/>
    <n v="2"/>
    <n v="256"/>
    <x v="262"/>
    <s v="cliente256@mail.cl"/>
    <x v="1"/>
    <n v="32"/>
    <x v="1"/>
    <x v="1"/>
    <x v="2"/>
    <x v="8"/>
    <x v="4"/>
    <n v="35000"/>
    <n v="1"/>
    <n v="0"/>
    <n v="35000"/>
    <n v="0"/>
    <n v="35000"/>
  </r>
  <r>
    <n v="489"/>
    <x v="946"/>
    <x v="50"/>
    <n v="2"/>
    <n v="276"/>
    <x v="263"/>
    <s v="cliente276@mail.cl"/>
    <x v="1"/>
    <n v="43"/>
    <x v="2"/>
    <x v="2"/>
    <x v="0"/>
    <x v="8"/>
    <x v="4"/>
    <n v="35000"/>
    <n v="3"/>
    <n v="0"/>
    <n v="105000"/>
    <n v="0"/>
    <n v="105000"/>
  </r>
  <r>
    <n v="646"/>
    <x v="947"/>
    <x v="10"/>
    <n v="0"/>
    <n v="276"/>
    <x v="263"/>
    <s v="cliente276@mail.cl"/>
    <x v="1"/>
    <n v="43"/>
    <x v="7"/>
    <x v="5"/>
    <x v="2"/>
    <x v="4"/>
    <x v="3"/>
    <n v="55000"/>
    <n v="3"/>
    <n v="0.1"/>
    <n v="165000"/>
    <n v="16500"/>
    <n v="148500"/>
  </r>
  <r>
    <n v="124"/>
    <x v="948"/>
    <x v="49"/>
    <n v="9"/>
    <n v="18"/>
    <x v="264"/>
    <s v="cliente18@mail.cl"/>
    <x v="0"/>
    <n v="41"/>
    <x v="4"/>
    <x v="3"/>
    <x v="1"/>
    <x v="0"/>
    <x v="0"/>
    <n v="12000"/>
    <n v="3"/>
    <n v="0.1"/>
    <n v="36000"/>
    <n v="3600"/>
    <n v="32400"/>
  </r>
  <r>
    <n v="409"/>
    <x v="949"/>
    <x v="45"/>
    <n v="1"/>
    <n v="18"/>
    <x v="264"/>
    <s v="cliente18@mail.cl"/>
    <x v="0"/>
    <n v="41"/>
    <x v="4"/>
    <x v="3"/>
    <x v="1"/>
    <x v="0"/>
    <x v="0"/>
    <n v="12000"/>
    <n v="1"/>
    <n v="0.1"/>
    <n v="12000"/>
    <n v="1200"/>
    <n v="10800"/>
  </r>
  <r>
    <n v="452"/>
    <x v="950"/>
    <x v="19"/>
    <n v="4"/>
    <n v="18"/>
    <x v="264"/>
    <s v="cliente18@mail.cl"/>
    <x v="0"/>
    <n v="41"/>
    <x v="6"/>
    <x v="4"/>
    <x v="0"/>
    <x v="3"/>
    <x v="1"/>
    <n v="700000"/>
    <n v="1"/>
    <n v="0.05"/>
    <n v="700000"/>
    <n v="35000"/>
    <n v="665000"/>
  </r>
  <r>
    <n v="635"/>
    <x v="951"/>
    <x v="49"/>
    <n v="9"/>
    <n v="18"/>
    <x v="264"/>
    <s v="cliente18@mail.cl"/>
    <x v="0"/>
    <n v="41"/>
    <x v="4"/>
    <x v="3"/>
    <x v="1"/>
    <x v="9"/>
    <x v="4"/>
    <n v="15000"/>
    <n v="3"/>
    <n v="0"/>
    <n v="45000"/>
    <n v="0"/>
    <n v="45000"/>
  </r>
  <r>
    <n v="644"/>
    <x v="952"/>
    <x v="55"/>
    <n v="2"/>
    <n v="18"/>
    <x v="264"/>
    <s v="cliente18@mail.cl"/>
    <x v="0"/>
    <n v="41"/>
    <x v="9"/>
    <x v="7"/>
    <x v="2"/>
    <x v="3"/>
    <x v="1"/>
    <n v="700000"/>
    <n v="1"/>
    <n v="0"/>
    <n v="700000"/>
    <n v="0"/>
    <n v="700000"/>
  </r>
  <r>
    <n v="783"/>
    <x v="953"/>
    <x v="55"/>
    <n v="2"/>
    <n v="18"/>
    <x v="264"/>
    <s v="cliente18@mail.cl"/>
    <x v="0"/>
    <n v="41"/>
    <x v="9"/>
    <x v="7"/>
    <x v="1"/>
    <x v="5"/>
    <x v="2"/>
    <n v="750000"/>
    <n v="3"/>
    <n v="0.1"/>
    <n v="2250000"/>
    <n v="225000"/>
    <n v="2025000"/>
  </r>
  <r>
    <n v="990"/>
    <x v="954"/>
    <x v="5"/>
    <n v="1"/>
    <n v="18"/>
    <x v="264"/>
    <s v="cliente18@mail.cl"/>
    <x v="0"/>
    <n v="41"/>
    <x v="3"/>
    <x v="3"/>
    <x v="0"/>
    <x v="6"/>
    <x v="1"/>
    <n v="800000"/>
    <n v="1"/>
    <n v="0.1"/>
    <n v="800000"/>
    <n v="80000"/>
    <n v="720000"/>
  </r>
  <r>
    <n v="734"/>
    <x v="955"/>
    <x v="51"/>
    <n v="1"/>
    <n v="257"/>
    <x v="265"/>
    <s v="cliente257@mail.cl"/>
    <x v="1"/>
    <n v="53"/>
    <x v="3"/>
    <x v="3"/>
    <x v="0"/>
    <x v="1"/>
    <x v="1"/>
    <n v="650000"/>
    <n v="3"/>
    <n v="0"/>
    <n v="1950000"/>
    <n v="0"/>
    <n v="1950000"/>
  </r>
  <r>
    <n v="842"/>
    <x v="956"/>
    <x v="54"/>
    <n v="0"/>
    <n v="257"/>
    <x v="265"/>
    <s v="cliente257@mail.cl"/>
    <x v="1"/>
    <n v="53"/>
    <x v="9"/>
    <x v="7"/>
    <x v="0"/>
    <x v="9"/>
    <x v="4"/>
    <n v="15000"/>
    <n v="3"/>
    <n v="0.1"/>
    <n v="45000"/>
    <n v="4500"/>
    <n v="40500"/>
  </r>
  <r>
    <n v="2"/>
    <x v="957"/>
    <x v="41"/>
    <n v="0"/>
    <n v="102"/>
    <x v="266"/>
    <s v="cliente102@mail.cl"/>
    <x v="1"/>
    <n v="32"/>
    <x v="2"/>
    <x v="2"/>
    <x v="2"/>
    <x v="3"/>
    <x v="1"/>
    <n v="700000"/>
    <n v="2"/>
    <n v="0.05"/>
    <n v="1400000"/>
    <n v="70000"/>
    <n v="1330000"/>
  </r>
  <r>
    <n v="42"/>
    <x v="958"/>
    <x v="64"/>
    <n v="0"/>
    <n v="102"/>
    <x v="266"/>
    <s v="cliente102@mail.cl"/>
    <x v="1"/>
    <n v="32"/>
    <x v="5"/>
    <x v="2"/>
    <x v="1"/>
    <x v="3"/>
    <x v="1"/>
    <n v="700000"/>
    <n v="3"/>
    <n v="0"/>
    <n v="2100000"/>
    <n v="0"/>
    <n v="2100000"/>
  </r>
  <r>
    <n v="243"/>
    <x v="959"/>
    <x v="59"/>
    <n v="0"/>
    <n v="102"/>
    <x v="266"/>
    <s v="cliente102@mail.cl"/>
    <x v="1"/>
    <n v="32"/>
    <x v="2"/>
    <x v="2"/>
    <x v="2"/>
    <x v="2"/>
    <x v="2"/>
    <n v="450000"/>
    <n v="3"/>
    <n v="0.05"/>
    <n v="1350000"/>
    <n v="67500"/>
    <n v="1282500"/>
  </r>
  <r>
    <n v="258"/>
    <x v="960"/>
    <x v="20"/>
    <n v="6"/>
    <n v="102"/>
    <x v="266"/>
    <s v="cliente102@mail.cl"/>
    <x v="1"/>
    <n v="32"/>
    <x v="2"/>
    <x v="2"/>
    <x v="0"/>
    <x v="5"/>
    <x v="2"/>
    <n v="750000"/>
    <n v="2"/>
    <n v="0"/>
    <n v="1500000"/>
    <n v="0"/>
    <n v="1500000"/>
  </r>
  <r>
    <n v="476"/>
    <x v="961"/>
    <x v="42"/>
    <n v="3"/>
    <n v="102"/>
    <x v="266"/>
    <s v="cliente102@mail.cl"/>
    <x v="1"/>
    <n v="32"/>
    <x v="0"/>
    <x v="0"/>
    <x v="1"/>
    <x v="2"/>
    <x v="2"/>
    <n v="450000"/>
    <n v="2"/>
    <n v="0"/>
    <n v="900000"/>
    <n v="0"/>
    <n v="900000"/>
  </r>
  <r>
    <n v="560"/>
    <x v="962"/>
    <x v="10"/>
    <n v="0"/>
    <n v="102"/>
    <x v="266"/>
    <s v="cliente102@mail.cl"/>
    <x v="1"/>
    <n v="32"/>
    <x v="7"/>
    <x v="5"/>
    <x v="1"/>
    <x v="2"/>
    <x v="2"/>
    <n v="450000"/>
    <n v="2"/>
    <n v="0"/>
    <n v="900000"/>
    <n v="0"/>
    <n v="900000"/>
  </r>
  <r>
    <n v="243"/>
    <x v="959"/>
    <x v="59"/>
    <n v="0"/>
    <n v="102"/>
    <x v="266"/>
    <s v="cliente102@mail.cl"/>
    <x v="1"/>
    <n v="32"/>
    <x v="2"/>
    <x v="2"/>
    <x v="2"/>
    <x v="2"/>
    <x v="2"/>
    <n v="450000"/>
    <n v="3"/>
    <n v="0.05"/>
    <n v="1350000"/>
    <n v="67500"/>
    <n v="1282500"/>
  </r>
  <r>
    <n v="358"/>
    <x v="963"/>
    <x v="34"/>
    <n v="3"/>
    <n v="277"/>
    <x v="267"/>
    <s v="cliente277@mail.cl"/>
    <x v="0"/>
    <n v="40"/>
    <x v="6"/>
    <x v="4"/>
    <x v="0"/>
    <x v="5"/>
    <x v="2"/>
    <n v="750000"/>
    <n v="2"/>
    <n v="0.05"/>
    <n v="1500000"/>
    <n v="75000"/>
    <n v="1425000"/>
  </r>
  <r>
    <n v="684"/>
    <x v="964"/>
    <x v="66"/>
    <n v="0"/>
    <n v="277"/>
    <x v="267"/>
    <s v="cliente277@mail.cl"/>
    <x v="0"/>
    <n v="40"/>
    <x v="9"/>
    <x v="7"/>
    <x v="1"/>
    <x v="2"/>
    <x v="2"/>
    <n v="450000"/>
    <n v="1"/>
    <n v="0.1"/>
    <n v="450000"/>
    <n v="45000"/>
    <n v="405000"/>
  </r>
  <r>
    <n v="792"/>
    <x v="965"/>
    <x v="9"/>
    <n v="1"/>
    <n v="277"/>
    <x v="267"/>
    <s v="cliente277@mail.cl"/>
    <x v="0"/>
    <n v="40"/>
    <x v="6"/>
    <x v="4"/>
    <x v="1"/>
    <x v="9"/>
    <x v="4"/>
    <n v="15000"/>
    <n v="3"/>
    <n v="0.05"/>
    <n v="45000"/>
    <n v="2250"/>
    <n v="42750"/>
  </r>
  <r>
    <n v="963"/>
    <x v="966"/>
    <x v="6"/>
    <n v="0"/>
    <n v="277"/>
    <x v="267"/>
    <s v="cliente277@mail.cl"/>
    <x v="0"/>
    <n v="40"/>
    <x v="2"/>
    <x v="2"/>
    <x v="0"/>
    <x v="5"/>
    <x v="2"/>
    <n v="750000"/>
    <n v="1"/>
    <n v="0"/>
    <n v="750000"/>
    <n v="0"/>
    <n v="750000"/>
  </r>
  <r>
    <n v="219"/>
    <x v="967"/>
    <x v="38"/>
    <n v="6"/>
    <n v="215"/>
    <x v="268"/>
    <s v="cliente215@mail.cl"/>
    <x v="1"/>
    <n v="34"/>
    <x v="8"/>
    <x v="6"/>
    <x v="0"/>
    <x v="7"/>
    <x v="0"/>
    <n v="25000"/>
    <n v="2"/>
    <n v="0.1"/>
    <n v="50000"/>
    <n v="5000"/>
    <n v="45000"/>
  </r>
  <r>
    <n v="448"/>
    <x v="968"/>
    <x v="12"/>
    <n v="4"/>
    <n v="215"/>
    <x v="268"/>
    <s v="cliente215@mail.cl"/>
    <x v="1"/>
    <n v="34"/>
    <x v="2"/>
    <x v="2"/>
    <x v="1"/>
    <x v="9"/>
    <x v="4"/>
    <n v="15000"/>
    <n v="3"/>
    <n v="0.05"/>
    <n v="45000"/>
    <n v="2250"/>
    <n v="42750"/>
  </r>
  <r>
    <n v="861"/>
    <x v="969"/>
    <x v="27"/>
    <n v="4"/>
    <n v="215"/>
    <x v="268"/>
    <s v="cliente215@mail.cl"/>
    <x v="1"/>
    <n v="34"/>
    <x v="1"/>
    <x v="1"/>
    <x v="1"/>
    <x v="3"/>
    <x v="1"/>
    <n v="700000"/>
    <n v="3"/>
    <n v="0.05"/>
    <n v="2100000"/>
    <n v="105000"/>
    <n v="1995000"/>
  </r>
  <r>
    <n v="69"/>
    <x v="970"/>
    <x v="46"/>
    <n v="0"/>
    <n v="148"/>
    <x v="269"/>
    <s v="cliente148@mail.cl"/>
    <x v="1"/>
    <n v="22"/>
    <x v="4"/>
    <x v="3"/>
    <x v="2"/>
    <x v="6"/>
    <x v="1"/>
    <n v="800000"/>
    <n v="2"/>
    <n v="0.1"/>
    <n v="1600000"/>
    <n v="160000"/>
    <n v="1440000"/>
  </r>
  <r>
    <n v="203"/>
    <x v="971"/>
    <x v="13"/>
    <n v="1"/>
    <n v="148"/>
    <x v="269"/>
    <s v="cliente148@mail.cl"/>
    <x v="1"/>
    <n v="22"/>
    <x v="6"/>
    <x v="4"/>
    <x v="1"/>
    <x v="6"/>
    <x v="1"/>
    <n v="800000"/>
    <n v="1"/>
    <n v="0.05"/>
    <n v="800000"/>
    <n v="40000"/>
    <n v="760000"/>
  </r>
  <r>
    <n v="427"/>
    <x v="972"/>
    <x v="9"/>
    <n v="1"/>
    <n v="148"/>
    <x v="269"/>
    <s v="cliente148@mail.cl"/>
    <x v="1"/>
    <n v="22"/>
    <x v="6"/>
    <x v="4"/>
    <x v="0"/>
    <x v="9"/>
    <x v="4"/>
    <n v="15000"/>
    <n v="1"/>
    <n v="0.05"/>
    <n v="15000"/>
    <n v="750"/>
    <n v="14250"/>
  </r>
  <r>
    <n v="513"/>
    <x v="973"/>
    <x v="35"/>
    <n v="5"/>
    <n v="148"/>
    <x v="269"/>
    <s v="cliente148@mail.cl"/>
    <x v="1"/>
    <n v="22"/>
    <x v="6"/>
    <x v="4"/>
    <x v="2"/>
    <x v="9"/>
    <x v="4"/>
    <n v="15000"/>
    <n v="2"/>
    <n v="0.1"/>
    <n v="30000"/>
    <n v="3000"/>
    <n v="27000"/>
  </r>
  <r>
    <n v="559"/>
    <x v="974"/>
    <x v="16"/>
    <n v="7"/>
    <n v="148"/>
    <x v="269"/>
    <s v="cliente148@mail.cl"/>
    <x v="1"/>
    <n v="22"/>
    <x v="4"/>
    <x v="3"/>
    <x v="0"/>
    <x v="8"/>
    <x v="4"/>
    <n v="35000"/>
    <n v="1"/>
    <n v="0"/>
    <n v="35000"/>
    <n v="0"/>
    <n v="35000"/>
  </r>
  <r>
    <n v="601"/>
    <x v="975"/>
    <x v="39"/>
    <n v="1"/>
    <n v="148"/>
    <x v="269"/>
    <s v="cliente148@mail.cl"/>
    <x v="1"/>
    <n v="22"/>
    <x v="8"/>
    <x v="6"/>
    <x v="2"/>
    <x v="3"/>
    <x v="1"/>
    <n v="700000"/>
    <n v="1"/>
    <n v="0"/>
    <n v="700000"/>
    <n v="0"/>
    <n v="700000"/>
  </r>
  <r>
    <n v="601"/>
    <x v="975"/>
    <x v="39"/>
    <n v="1"/>
    <n v="148"/>
    <x v="269"/>
    <s v="cliente148@mail.cl"/>
    <x v="1"/>
    <n v="22"/>
    <x v="8"/>
    <x v="6"/>
    <x v="2"/>
    <x v="3"/>
    <x v="1"/>
    <n v="700000"/>
    <n v="1"/>
    <n v="0"/>
    <n v="700000"/>
    <n v="0"/>
    <n v="700000"/>
  </r>
  <r>
    <n v="160"/>
    <x v="976"/>
    <x v="9"/>
    <n v="1"/>
    <n v="219"/>
    <x v="270"/>
    <s v="cliente219@mail.cl"/>
    <x v="0"/>
    <n v="32"/>
    <x v="6"/>
    <x v="4"/>
    <x v="0"/>
    <x v="1"/>
    <x v="1"/>
    <n v="650000"/>
    <n v="1"/>
    <n v="0.1"/>
    <n v="650000"/>
    <n v="65000"/>
    <n v="585000"/>
  </r>
  <r>
    <n v="318"/>
    <x v="977"/>
    <x v="62"/>
    <n v="0"/>
    <n v="219"/>
    <x v="270"/>
    <s v="cliente219@mail.cl"/>
    <x v="0"/>
    <n v="32"/>
    <x v="9"/>
    <x v="7"/>
    <x v="1"/>
    <x v="5"/>
    <x v="2"/>
    <n v="750000"/>
    <n v="1"/>
    <n v="0"/>
    <n v="750000"/>
    <n v="0"/>
    <n v="750000"/>
  </r>
  <r>
    <n v="765"/>
    <x v="978"/>
    <x v="43"/>
    <n v="5"/>
    <n v="219"/>
    <x v="270"/>
    <s v="cliente219@mail.cl"/>
    <x v="0"/>
    <n v="32"/>
    <x v="7"/>
    <x v="5"/>
    <x v="2"/>
    <x v="4"/>
    <x v="3"/>
    <n v="55000"/>
    <n v="2"/>
    <n v="0"/>
    <n v="110000"/>
    <n v="0"/>
    <n v="110000"/>
  </r>
  <r>
    <n v="110"/>
    <x v="979"/>
    <x v="10"/>
    <n v="0"/>
    <n v="216"/>
    <x v="271"/>
    <s v="cliente216@mail.cl"/>
    <x v="1"/>
    <n v="47"/>
    <x v="7"/>
    <x v="5"/>
    <x v="1"/>
    <x v="6"/>
    <x v="1"/>
    <n v="800000"/>
    <n v="2"/>
    <n v="0"/>
    <n v="1600000"/>
    <n v="0"/>
    <n v="1600000"/>
  </r>
  <r>
    <n v="415"/>
    <x v="980"/>
    <x v="53"/>
    <n v="4"/>
    <n v="216"/>
    <x v="271"/>
    <s v="cliente216@mail.cl"/>
    <x v="1"/>
    <n v="47"/>
    <x v="1"/>
    <x v="1"/>
    <x v="2"/>
    <x v="6"/>
    <x v="1"/>
    <n v="800000"/>
    <n v="1"/>
    <n v="0"/>
    <n v="800000"/>
    <n v="0"/>
    <n v="800000"/>
  </r>
  <r>
    <n v="632"/>
    <x v="981"/>
    <x v="9"/>
    <n v="1"/>
    <n v="216"/>
    <x v="271"/>
    <s v="cliente216@mail.cl"/>
    <x v="1"/>
    <n v="47"/>
    <x v="6"/>
    <x v="4"/>
    <x v="0"/>
    <x v="0"/>
    <x v="0"/>
    <n v="12000"/>
    <n v="3"/>
    <n v="0.1"/>
    <n v="36000"/>
    <n v="3600"/>
    <n v="32400"/>
  </r>
  <r>
    <n v="784"/>
    <x v="982"/>
    <x v="30"/>
    <n v="1"/>
    <n v="216"/>
    <x v="271"/>
    <s v="cliente216@mail.cl"/>
    <x v="1"/>
    <n v="47"/>
    <x v="6"/>
    <x v="4"/>
    <x v="2"/>
    <x v="9"/>
    <x v="4"/>
    <n v="15000"/>
    <n v="3"/>
    <n v="0"/>
    <n v="45000"/>
    <n v="0"/>
    <n v="45000"/>
  </r>
  <r>
    <n v="371"/>
    <x v="983"/>
    <x v="59"/>
    <n v="0"/>
    <n v="83"/>
    <x v="272"/>
    <s v="cliente83@mail.cl"/>
    <x v="1"/>
    <n v="55"/>
    <x v="2"/>
    <x v="2"/>
    <x v="0"/>
    <x v="8"/>
    <x v="4"/>
    <n v="35000"/>
    <n v="1"/>
    <n v="0"/>
    <n v="35000"/>
    <n v="0"/>
    <n v="35000"/>
  </r>
  <r>
    <n v="395"/>
    <x v="984"/>
    <x v="45"/>
    <n v="1"/>
    <n v="83"/>
    <x v="272"/>
    <s v="cliente83@mail.cl"/>
    <x v="1"/>
    <n v="55"/>
    <x v="4"/>
    <x v="3"/>
    <x v="2"/>
    <x v="9"/>
    <x v="4"/>
    <n v="15000"/>
    <n v="3"/>
    <n v="0"/>
    <n v="45000"/>
    <n v="0"/>
    <n v="45000"/>
  </r>
  <r>
    <n v="463"/>
    <x v="985"/>
    <x v="60"/>
    <n v="1"/>
    <n v="83"/>
    <x v="272"/>
    <s v="cliente83@mail.cl"/>
    <x v="1"/>
    <n v="55"/>
    <x v="8"/>
    <x v="6"/>
    <x v="1"/>
    <x v="1"/>
    <x v="1"/>
    <n v="650000"/>
    <n v="2"/>
    <n v="0"/>
    <n v="1300000"/>
    <n v="0"/>
    <n v="1300000"/>
  </r>
  <r>
    <n v="659"/>
    <x v="986"/>
    <x v="53"/>
    <n v="4"/>
    <n v="83"/>
    <x v="272"/>
    <s v="cliente83@mail.cl"/>
    <x v="1"/>
    <n v="55"/>
    <x v="1"/>
    <x v="1"/>
    <x v="1"/>
    <x v="6"/>
    <x v="1"/>
    <n v="800000"/>
    <n v="2"/>
    <n v="0"/>
    <n v="1600000"/>
    <n v="0"/>
    <n v="1600000"/>
  </r>
  <r>
    <n v="895"/>
    <x v="987"/>
    <x v="40"/>
    <n v="1"/>
    <n v="83"/>
    <x v="272"/>
    <s v="cliente83@mail.cl"/>
    <x v="1"/>
    <n v="55"/>
    <x v="3"/>
    <x v="3"/>
    <x v="2"/>
    <x v="4"/>
    <x v="3"/>
    <n v="55000"/>
    <n v="1"/>
    <n v="0"/>
    <n v="55000"/>
    <n v="0"/>
    <n v="55000"/>
  </r>
  <r>
    <n v="9"/>
    <x v="988"/>
    <x v="45"/>
    <n v="1"/>
    <n v="255"/>
    <x v="273"/>
    <s v="cliente255@mail.cl"/>
    <x v="1"/>
    <n v="19"/>
    <x v="4"/>
    <x v="3"/>
    <x v="2"/>
    <x v="7"/>
    <x v="0"/>
    <n v="25000"/>
    <n v="2"/>
    <n v="0.1"/>
    <n v="50000"/>
    <n v="5000"/>
    <n v="45000"/>
  </r>
  <r>
    <n v="52"/>
    <x v="989"/>
    <x v="28"/>
    <n v="0"/>
    <n v="255"/>
    <x v="273"/>
    <s v="cliente255@mail.cl"/>
    <x v="1"/>
    <n v="19"/>
    <x v="7"/>
    <x v="5"/>
    <x v="0"/>
    <x v="2"/>
    <x v="2"/>
    <n v="450000"/>
    <n v="2"/>
    <n v="0.1"/>
    <n v="900000"/>
    <n v="90000"/>
    <n v="810000"/>
  </r>
  <r>
    <n v="509"/>
    <x v="990"/>
    <x v="58"/>
    <n v="13"/>
    <n v="255"/>
    <x v="273"/>
    <s v="cliente255@mail.cl"/>
    <x v="1"/>
    <n v="19"/>
    <x v="1"/>
    <x v="1"/>
    <x v="1"/>
    <x v="1"/>
    <x v="1"/>
    <n v="650000"/>
    <n v="3"/>
    <n v="0"/>
    <n v="1950000"/>
    <n v="0"/>
    <n v="1950000"/>
  </r>
  <r>
    <n v="687"/>
    <x v="991"/>
    <x v="34"/>
    <n v="3"/>
    <n v="255"/>
    <x v="273"/>
    <s v="cliente255@mail.cl"/>
    <x v="1"/>
    <n v="19"/>
    <x v="6"/>
    <x v="4"/>
    <x v="1"/>
    <x v="7"/>
    <x v="0"/>
    <n v="25000"/>
    <n v="2"/>
    <n v="0"/>
    <n v="50000"/>
    <n v="0"/>
    <n v="50000"/>
  </r>
  <r>
    <n v="99"/>
    <x v="992"/>
    <x v="22"/>
    <n v="5"/>
    <n v="6"/>
    <x v="274"/>
    <s v="cliente6@mail.cl"/>
    <x v="0"/>
    <n v="35"/>
    <x v="3"/>
    <x v="3"/>
    <x v="1"/>
    <x v="4"/>
    <x v="3"/>
    <n v="55000"/>
    <n v="2"/>
    <n v="0.05"/>
    <n v="110000"/>
    <n v="5500"/>
    <n v="104500"/>
  </r>
  <r>
    <n v="453"/>
    <x v="993"/>
    <x v="59"/>
    <n v="0"/>
    <n v="6"/>
    <x v="274"/>
    <s v="cliente6@mail.cl"/>
    <x v="0"/>
    <n v="35"/>
    <x v="2"/>
    <x v="2"/>
    <x v="0"/>
    <x v="2"/>
    <x v="2"/>
    <n v="450000"/>
    <n v="3"/>
    <n v="0.1"/>
    <n v="1350000"/>
    <n v="135000"/>
    <n v="1215000"/>
  </r>
  <r>
    <n v="712"/>
    <x v="994"/>
    <x v="38"/>
    <n v="6"/>
    <n v="6"/>
    <x v="274"/>
    <s v="cliente6@mail.cl"/>
    <x v="0"/>
    <n v="35"/>
    <x v="8"/>
    <x v="6"/>
    <x v="0"/>
    <x v="5"/>
    <x v="2"/>
    <n v="750000"/>
    <n v="3"/>
    <n v="0"/>
    <n v="2250000"/>
    <n v="0"/>
    <n v="2250000"/>
  </r>
  <r>
    <n v="453"/>
    <x v="993"/>
    <x v="59"/>
    <n v="0"/>
    <n v="6"/>
    <x v="274"/>
    <s v="cliente6@mail.cl"/>
    <x v="0"/>
    <n v="35"/>
    <x v="2"/>
    <x v="2"/>
    <x v="0"/>
    <x v="2"/>
    <x v="2"/>
    <n v="450000"/>
    <n v="3"/>
    <n v="0.1"/>
    <n v="1350000"/>
    <n v="135000"/>
    <n v="1215000"/>
  </r>
  <r>
    <n v="149"/>
    <x v="995"/>
    <x v="34"/>
    <n v="3"/>
    <n v="185"/>
    <x v="275"/>
    <s v="cliente185@mail.cl"/>
    <x v="1"/>
    <n v="35"/>
    <x v="6"/>
    <x v="4"/>
    <x v="2"/>
    <x v="0"/>
    <x v="0"/>
    <n v="12000"/>
    <n v="1"/>
    <n v="0"/>
    <n v="12000"/>
    <n v="0"/>
    <n v="12000"/>
  </r>
  <r>
    <n v="438"/>
    <x v="996"/>
    <x v="24"/>
    <n v="4"/>
    <n v="185"/>
    <x v="275"/>
    <s v="cliente185@mail.cl"/>
    <x v="1"/>
    <n v="35"/>
    <x v="3"/>
    <x v="3"/>
    <x v="1"/>
    <x v="1"/>
    <x v="1"/>
    <n v="650000"/>
    <n v="3"/>
    <n v="0.1"/>
    <n v="1950000"/>
    <n v="195000"/>
    <n v="1755000"/>
  </r>
  <r>
    <n v="730"/>
    <x v="997"/>
    <x v="5"/>
    <n v="1"/>
    <n v="185"/>
    <x v="275"/>
    <s v="cliente185@mail.cl"/>
    <x v="1"/>
    <n v="35"/>
    <x v="3"/>
    <x v="3"/>
    <x v="1"/>
    <x v="3"/>
    <x v="1"/>
    <n v="700000"/>
    <n v="3"/>
    <n v="0.1"/>
    <n v="2100000"/>
    <n v="210000"/>
    <n v="1890000"/>
  </r>
  <r>
    <n v="862"/>
    <x v="998"/>
    <x v="33"/>
    <n v="4"/>
    <n v="185"/>
    <x v="275"/>
    <s v="cliente185@mail.cl"/>
    <x v="1"/>
    <n v="35"/>
    <x v="8"/>
    <x v="6"/>
    <x v="0"/>
    <x v="3"/>
    <x v="1"/>
    <n v="700000"/>
    <n v="2"/>
    <n v="0"/>
    <n v="1400000"/>
    <n v="0"/>
    <n v="1400000"/>
  </r>
  <r>
    <n v="958"/>
    <x v="999"/>
    <x v="6"/>
    <n v="0"/>
    <n v="185"/>
    <x v="275"/>
    <s v="cliente185@mail.cl"/>
    <x v="1"/>
    <n v="35"/>
    <x v="2"/>
    <x v="2"/>
    <x v="0"/>
    <x v="2"/>
    <x v="2"/>
    <n v="450000"/>
    <n v="3"/>
    <n v="0.05"/>
    <n v="1350000"/>
    <n v="67500"/>
    <n v="1282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x v="0"/>
    <n v="32"/>
    <x v="0"/>
    <n v="1087275"/>
    <n v="24900"/>
    <x v="0"/>
    <n v="4"/>
    <x v="0"/>
  </r>
  <r>
    <x v="1"/>
    <n v="39"/>
    <x v="1"/>
    <n v="1060000"/>
    <n v="275000"/>
    <x v="1"/>
    <n v="3"/>
    <x v="0"/>
  </r>
  <r>
    <x v="2"/>
    <n v="25"/>
    <x v="2"/>
    <n v="1077900"/>
    <n v="468600"/>
    <x v="2"/>
    <n v="6"/>
    <x v="0"/>
  </r>
  <r>
    <x v="3"/>
    <n v="27"/>
    <x v="3"/>
    <n v="526300"/>
    <n v="139500"/>
    <x v="3"/>
    <n v="5"/>
    <x v="0"/>
  </r>
  <r>
    <x v="4"/>
    <n v="40"/>
    <x v="4"/>
    <n v="824600"/>
    <n v="344200"/>
    <x v="4"/>
    <n v="8"/>
    <x v="0"/>
  </r>
  <r>
    <x v="5"/>
    <n v="45"/>
    <x v="5"/>
    <n v="95625"/>
    <n v="18750"/>
    <x v="1"/>
    <n v="2"/>
    <x v="1"/>
  </r>
  <r>
    <x v="6"/>
    <n v="41"/>
    <x v="6"/>
    <n v="766200"/>
    <n v="3600"/>
    <x v="5"/>
    <n v="2"/>
    <x v="2"/>
  </r>
  <r>
    <x v="7"/>
    <n v="55"/>
    <x v="7"/>
    <n v="1106250"/>
    <n v="37500"/>
    <x v="6"/>
    <n v="2"/>
    <x v="0"/>
  </r>
  <r>
    <x v="8"/>
    <n v="42"/>
    <x v="8"/>
    <n v="668000"/>
    <n v="0"/>
    <x v="5"/>
    <n v="2"/>
    <x v="2"/>
  </r>
  <r>
    <x v="9"/>
    <n v="23"/>
    <x v="9"/>
    <n v="622500"/>
    <n v="135000"/>
    <x v="5"/>
    <n v="2"/>
    <x v="2"/>
  </r>
  <r>
    <x v="10"/>
    <n v="20"/>
    <x v="10"/>
    <n v="419150"/>
    <n v="74250"/>
    <x v="0"/>
    <n v="5"/>
    <x v="0"/>
  </r>
  <r>
    <x v="11"/>
    <n v="18"/>
    <x v="11"/>
    <n v="2160000"/>
    <n v="240000"/>
    <x v="6"/>
    <n v="1"/>
    <x v="0"/>
  </r>
  <r>
    <x v="12"/>
    <n v="48"/>
    <x v="12"/>
    <n v="36160"/>
    <n v="1200"/>
    <x v="7"/>
    <n v="5"/>
    <x v="1"/>
  </r>
  <r>
    <x v="13"/>
    <n v="43"/>
    <x v="13"/>
    <n v="1130000"/>
    <n v="40000"/>
    <x v="6"/>
    <n v="2"/>
    <x v="0"/>
  </r>
  <r>
    <x v="14"/>
    <n v="32"/>
    <x v="14"/>
    <n v="1237500"/>
    <n v="0"/>
    <x v="1"/>
    <n v="2"/>
    <x v="0"/>
  </r>
  <r>
    <x v="15"/>
    <n v="55"/>
    <x v="15"/>
    <n v="227437.5"/>
    <n v="5250"/>
    <x v="7"/>
    <n v="4"/>
    <x v="2"/>
  </r>
  <r>
    <x v="16"/>
    <n v="34"/>
    <x v="16"/>
    <n v="721666.66666666663"/>
    <n v="0"/>
    <x v="1"/>
    <n v="3"/>
    <x v="0"/>
  </r>
  <r>
    <x v="17"/>
    <n v="67"/>
    <x v="17"/>
    <n v="673600"/>
    <n v="146600"/>
    <x v="7"/>
    <n v="4"/>
    <x v="0"/>
  </r>
  <r>
    <x v="18"/>
    <n v="31"/>
    <x v="18"/>
    <n v="1320000"/>
    <n v="440000"/>
    <x v="1"/>
    <n v="3"/>
    <x v="0"/>
  </r>
  <r>
    <x v="19"/>
    <n v="21"/>
    <x v="19"/>
    <n v="1017300"/>
    <n v="187500"/>
    <x v="8"/>
    <n v="5"/>
    <x v="0"/>
  </r>
  <r>
    <x v="20"/>
    <n v="31"/>
    <x v="20"/>
    <n v="1159166.6666666667"/>
    <n v="272500"/>
    <x v="5"/>
    <n v="3"/>
    <x v="0"/>
  </r>
  <r>
    <x v="21"/>
    <n v="57"/>
    <x v="21"/>
    <n v="417400"/>
    <n v="18000"/>
    <x v="9"/>
    <n v="5"/>
    <x v="0"/>
  </r>
  <r>
    <x v="22"/>
    <n v="47"/>
    <x v="22"/>
    <n v="78333.333333333328"/>
    <n v="0"/>
    <x v="5"/>
    <n v="3"/>
    <x v="1"/>
  </r>
  <r>
    <x v="23"/>
    <n v="35"/>
    <x v="23"/>
    <n v="31512.5"/>
    <n v="2950"/>
    <x v="5"/>
    <n v="4"/>
    <x v="1"/>
  </r>
  <r>
    <x v="24"/>
    <n v="23"/>
    <x v="11"/>
    <n v="2160000"/>
    <n v="240000"/>
    <x v="6"/>
    <n v="1"/>
    <x v="0"/>
  </r>
  <r>
    <x v="25"/>
    <n v="23"/>
    <x v="24"/>
    <n v="41237.5"/>
    <n v="11050"/>
    <x v="3"/>
    <n v="4"/>
    <x v="1"/>
  </r>
  <r>
    <x v="26"/>
    <n v="47"/>
    <x v="25"/>
    <n v="421666.66666666669"/>
    <n v="130000"/>
    <x v="5"/>
    <n v="3"/>
    <x v="2"/>
  </r>
  <r>
    <x v="27"/>
    <n v="49"/>
    <x v="26"/>
    <n v="382500"/>
    <n v="80000"/>
    <x v="0"/>
    <n v="4"/>
    <x v="2"/>
  </r>
  <r>
    <x v="28"/>
    <n v="28"/>
    <x v="27"/>
    <n v="531666.66666666663"/>
    <n v="0"/>
    <x v="10"/>
    <n v="3"/>
    <x v="2"/>
  </r>
  <r>
    <x v="29"/>
    <n v="30"/>
    <x v="28"/>
    <n v="579200"/>
    <n v="170000"/>
    <x v="8"/>
    <n v="5"/>
    <x v="0"/>
  </r>
  <r>
    <x v="30"/>
    <n v="34"/>
    <x v="29"/>
    <n v="1957500"/>
    <n v="435000"/>
    <x v="1"/>
    <n v="2"/>
    <x v="0"/>
  </r>
  <r>
    <x v="31"/>
    <n v="25"/>
    <x v="30"/>
    <n v="379000"/>
    <n v="125000"/>
    <x v="6"/>
    <n v="3"/>
    <x v="2"/>
  </r>
  <r>
    <x v="32"/>
    <n v="49"/>
    <x v="31"/>
    <n v="59500"/>
    <n v="7500"/>
    <x v="0"/>
    <n v="3"/>
    <x v="1"/>
  </r>
  <r>
    <x v="33"/>
    <n v="42"/>
    <x v="32"/>
    <n v="737500"/>
    <n v="0"/>
    <x v="5"/>
    <n v="2"/>
    <x v="2"/>
  </r>
  <r>
    <x v="34"/>
    <n v="28"/>
    <x v="33"/>
    <n v="613312.5"/>
    <n v="126750"/>
    <x v="3"/>
    <n v="4"/>
    <x v="0"/>
  </r>
  <r>
    <x v="35"/>
    <n v="38"/>
    <x v="34"/>
    <n v="1258333.3333333333"/>
    <n v="330000"/>
    <x v="11"/>
    <n v="6"/>
    <x v="0"/>
  </r>
  <r>
    <x v="36"/>
    <n v="47"/>
    <x v="35"/>
    <n v="1206900"/>
    <n v="277500"/>
    <x v="0"/>
    <n v="5"/>
    <x v="0"/>
  </r>
  <r>
    <x v="37"/>
    <n v="32"/>
    <x v="36"/>
    <n v="650875"/>
    <n v="119750"/>
    <x v="11"/>
    <n v="6"/>
    <x v="0"/>
  </r>
  <r>
    <x v="38"/>
    <n v="46"/>
    <x v="37"/>
    <n v="215000"/>
    <n v="35000"/>
    <x v="7"/>
    <n v="4"/>
    <x v="2"/>
  </r>
  <r>
    <x v="39"/>
    <n v="43"/>
    <x v="38"/>
    <n v="716200"/>
    <n v="160000"/>
    <x v="0"/>
    <n v="5"/>
    <x v="0"/>
  </r>
  <r>
    <x v="40"/>
    <n v="38"/>
    <x v="39"/>
    <n v="430337.5"/>
    <n v="7650"/>
    <x v="7"/>
    <n v="4"/>
    <x v="2"/>
  </r>
  <r>
    <x v="41"/>
    <n v="36"/>
    <x v="40"/>
    <n v="712500"/>
    <n v="37500"/>
    <x v="12"/>
    <n v="1"/>
    <x v="2"/>
  </r>
  <r>
    <x v="42"/>
    <n v="50"/>
    <x v="41"/>
    <n v="482050"/>
    <n v="109750"/>
    <x v="3"/>
    <n v="5"/>
    <x v="0"/>
  </r>
  <r>
    <x v="43"/>
    <n v="27"/>
    <x v="42"/>
    <n v="405000"/>
    <n v="145000"/>
    <x v="3"/>
    <n v="6"/>
    <x v="0"/>
  </r>
  <r>
    <x v="44"/>
    <n v="51"/>
    <x v="43"/>
    <n v="63300"/>
    <n v="2400"/>
    <x v="5"/>
    <n v="2"/>
    <x v="1"/>
  </r>
  <r>
    <x v="45"/>
    <n v="26"/>
    <x v="44"/>
    <n v="466000"/>
    <n v="0"/>
    <x v="10"/>
    <n v="3"/>
    <x v="2"/>
  </r>
  <r>
    <x v="46"/>
    <n v="18"/>
    <x v="45"/>
    <n v="658375"/>
    <n v="67500"/>
    <x v="0"/>
    <n v="4"/>
    <x v="0"/>
  </r>
  <r>
    <x v="47"/>
    <n v="45"/>
    <x v="46"/>
    <n v="26916.666666666668"/>
    <n v="4250"/>
    <x v="6"/>
    <n v="3"/>
    <x v="1"/>
  </r>
  <r>
    <x v="48"/>
    <n v="47"/>
    <x v="47"/>
    <n v="64250"/>
    <n v="2250"/>
    <x v="0"/>
    <n v="3"/>
    <x v="1"/>
  </r>
  <r>
    <x v="49"/>
    <n v="18"/>
    <x v="48"/>
    <n v="249733.33333333334"/>
    <n v="36800"/>
    <x v="1"/>
    <n v="3"/>
    <x v="2"/>
  </r>
  <r>
    <x v="50"/>
    <n v="51"/>
    <x v="49"/>
    <n v="231250"/>
    <n v="22500"/>
    <x v="13"/>
    <n v="2"/>
    <x v="1"/>
  </r>
  <r>
    <x v="51"/>
    <n v="60"/>
    <x v="50"/>
    <n v="1113250"/>
    <n v="243500"/>
    <x v="5"/>
    <n v="2"/>
    <x v="0"/>
  </r>
  <r>
    <x v="52"/>
    <n v="18"/>
    <x v="51"/>
    <n v="703250"/>
    <n v="157000"/>
    <x v="1"/>
    <n v="4"/>
    <x v="0"/>
  </r>
  <r>
    <x v="53"/>
    <n v="26"/>
    <x v="52"/>
    <n v="33250"/>
    <n v="1750"/>
    <x v="12"/>
    <n v="1"/>
    <x v="1"/>
  </r>
  <r>
    <x v="54"/>
    <n v="47"/>
    <x v="53"/>
    <n v="1500000"/>
    <n v="0"/>
    <x v="13"/>
    <n v="1"/>
    <x v="2"/>
  </r>
  <r>
    <x v="55"/>
    <n v="41"/>
    <x v="54"/>
    <n v="1160125"/>
    <n v="134250"/>
    <x v="14"/>
    <n v="6"/>
    <x v="0"/>
  </r>
  <r>
    <x v="56"/>
    <n v="41"/>
    <x v="55"/>
    <n v="457125"/>
    <n v="750"/>
    <x v="6"/>
    <n v="2"/>
    <x v="2"/>
  </r>
  <r>
    <x v="57"/>
    <n v="56"/>
    <x v="56"/>
    <n v="453800"/>
    <n v="600"/>
    <x v="5"/>
    <n v="3"/>
    <x v="2"/>
  </r>
  <r>
    <x v="58"/>
    <n v="18"/>
    <x v="57"/>
    <n v="768300"/>
    <n v="193500"/>
    <x v="3"/>
    <n v="5"/>
    <x v="0"/>
  </r>
  <r>
    <x v="59"/>
    <n v="49"/>
    <x v="58"/>
    <n v="341025"/>
    <n v="148900"/>
    <x v="0"/>
    <n v="4"/>
    <x v="2"/>
  </r>
  <r>
    <x v="60"/>
    <n v="36"/>
    <x v="59"/>
    <n v="170750"/>
    <n v="48750"/>
    <x v="10"/>
    <n v="3"/>
    <x v="2"/>
  </r>
  <r>
    <x v="61"/>
    <n v="23"/>
    <x v="60"/>
    <n v="1194416.6666666667"/>
    <n v="1750"/>
    <x v="1"/>
    <n v="3"/>
    <x v="0"/>
  </r>
  <r>
    <x v="62"/>
    <n v="32"/>
    <x v="61"/>
    <n v="924840"/>
    <n v="73600"/>
    <x v="15"/>
    <n v="10"/>
    <x v="0"/>
  </r>
  <r>
    <x v="63"/>
    <n v="47"/>
    <x v="62"/>
    <n v="520500"/>
    <n v="211500"/>
    <x v="8"/>
    <n v="5"/>
    <x v="0"/>
  </r>
  <r>
    <x v="64"/>
    <n v="27"/>
    <x v="63"/>
    <n v="665000"/>
    <n v="70000"/>
    <x v="13"/>
    <n v="2"/>
    <x v="2"/>
  </r>
  <r>
    <x v="65"/>
    <n v="42"/>
    <x v="64"/>
    <n v="1115000"/>
    <n v="340000"/>
    <x v="10"/>
    <n v="4"/>
    <x v="0"/>
  </r>
  <r>
    <x v="66"/>
    <n v="46"/>
    <x v="65"/>
    <n v="665000"/>
    <n v="35000"/>
    <x v="12"/>
    <n v="1"/>
    <x v="2"/>
  </r>
  <r>
    <x v="67"/>
    <n v="36"/>
    <x v="66"/>
    <n v="822700"/>
    <n v="1200"/>
    <x v="7"/>
    <n v="4"/>
    <x v="0"/>
  </r>
  <r>
    <x v="68"/>
    <n v="41"/>
    <x v="67"/>
    <n v="323350"/>
    <n v="8250"/>
    <x v="10"/>
    <n v="5"/>
    <x v="2"/>
  </r>
  <r>
    <x v="69"/>
    <n v="56"/>
    <x v="68"/>
    <n v="751666.66666666663"/>
    <n v="0"/>
    <x v="10"/>
    <n v="3"/>
    <x v="0"/>
  </r>
  <r>
    <x v="70"/>
    <n v="42"/>
    <x v="69"/>
    <n v="989160"/>
    <n v="266200"/>
    <x v="0"/>
    <n v="5"/>
    <x v="0"/>
  </r>
  <r>
    <x v="71"/>
    <n v="18"/>
    <x v="70"/>
    <n v="45000"/>
    <n v="0"/>
    <x v="6"/>
    <n v="1"/>
    <x v="1"/>
  </r>
  <r>
    <x v="72"/>
    <n v="39"/>
    <x v="71"/>
    <n v="70000"/>
    <n v="0"/>
    <x v="13"/>
    <n v="1"/>
    <x v="1"/>
  </r>
  <r>
    <x v="73"/>
    <n v="29"/>
    <x v="72"/>
    <n v="1010000"/>
    <n v="65000"/>
    <x v="10"/>
    <n v="3"/>
    <x v="0"/>
  </r>
  <r>
    <x v="74"/>
    <n v="44"/>
    <x v="73"/>
    <n v="1410000"/>
    <n v="80000"/>
    <x v="16"/>
    <n v="2"/>
    <x v="0"/>
  </r>
  <r>
    <x v="75"/>
    <n v="41"/>
    <x v="74"/>
    <n v="2250000"/>
    <n v="0"/>
    <x v="6"/>
    <n v="1"/>
    <x v="0"/>
  </r>
  <r>
    <x v="76"/>
    <n v="29"/>
    <x v="75"/>
    <n v="462800"/>
    <n v="6000"/>
    <x v="7"/>
    <n v="5"/>
    <x v="0"/>
  </r>
  <r>
    <x v="77"/>
    <n v="44"/>
    <x v="76"/>
    <n v="868200"/>
    <n v="1200"/>
    <x v="10"/>
    <n v="4"/>
    <x v="0"/>
  </r>
  <r>
    <x v="78"/>
    <n v="25"/>
    <x v="77"/>
    <n v="652280"/>
    <n v="120600"/>
    <x v="0"/>
    <n v="5"/>
    <x v="0"/>
  </r>
  <r>
    <x v="79"/>
    <n v="19"/>
    <x v="78"/>
    <n v="629375"/>
    <n v="66250"/>
    <x v="6"/>
    <n v="2"/>
    <x v="2"/>
  </r>
  <r>
    <x v="80"/>
    <n v="40"/>
    <x v="79"/>
    <n v="989583.33333333337"/>
    <n v="197500"/>
    <x v="11"/>
    <n v="6"/>
    <x v="0"/>
  </r>
  <r>
    <x v="81"/>
    <n v="29"/>
    <x v="80"/>
    <n v="465460"/>
    <n v="51700"/>
    <x v="3"/>
    <n v="5"/>
    <x v="0"/>
  </r>
  <r>
    <x v="82"/>
    <n v="32"/>
    <x v="81"/>
    <n v="1650000"/>
    <n v="0"/>
    <x v="5"/>
    <n v="2"/>
    <x v="0"/>
  </r>
  <r>
    <x v="83"/>
    <n v="55"/>
    <x v="82"/>
    <n v="867142.85714285716"/>
    <n v="475000"/>
    <x v="17"/>
    <n v="7"/>
    <x v="0"/>
  </r>
  <r>
    <x v="84"/>
    <n v="29"/>
    <x v="83"/>
    <n v="1121666.6666666667"/>
    <n v="135000"/>
    <x v="7"/>
    <n v="3"/>
    <x v="0"/>
  </r>
  <r>
    <x v="85"/>
    <n v="38"/>
    <x v="84"/>
    <n v="405000"/>
    <n v="0"/>
    <x v="6"/>
    <n v="2"/>
    <x v="2"/>
  </r>
  <r>
    <x v="86"/>
    <n v="60"/>
    <x v="85"/>
    <n v="1825000"/>
    <n v="0"/>
    <x v="5"/>
    <n v="2"/>
    <x v="0"/>
  </r>
  <r>
    <x v="87"/>
    <n v="37"/>
    <x v="86"/>
    <n v="2107500"/>
    <n v="570000"/>
    <x v="9"/>
    <n v="4"/>
    <x v="0"/>
  </r>
  <r>
    <x v="88"/>
    <n v="39"/>
    <x v="87"/>
    <n v="613156.25"/>
    <n v="9750"/>
    <x v="18"/>
    <n v="8"/>
    <x v="0"/>
  </r>
  <r>
    <x v="89"/>
    <n v="45"/>
    <x v="88"/>
    <n v="602500"/>
    <n v="45000"/>
    <x v="13"/>
    <n v="2"/>
    <x v="2"/>
  </r>
  <r>
    <x v="90"/>
    <n v="51"/>
    <x v="89"/>
    <n v="24000"/>
    <n v="0"/>
    <x v="13"/>
    <n v="1"/>
    <x v="1"/>
  </r>
  <r>
    <x v="91"/>
    <n v="42"/>
    <x v="90"/>
    <n v="357500"/>
    <n v="0"/>
    <x v="13"/>
    <n v="2"/>
    <x v="2"/>
  </r>
  <r>
    <x v="92"/>
    <n v="37"/>
    <x v="91"/>
    <n v="528900"/>
    <n v="82400"/>
    <x v="7"/>
    <n v="4"/>
    <x v="0"/>
  </r>
  <r>
    <x v="93"/>
    <n v="43"/>
    <x v="92"/>
    <n v="105000"/>
    <n v="0"/>
    <x v="6"/>
    <n v="1"/>
    <x v="1"/>
  </r>
  <r>
    <x v="94"/>
    <n v="40"/>
    <x v="93"/>
    <n v="596625"/>
    <n v="98500"/>
    <x v="10"/>
    <n v="4"/>
    <x v="0"/>
  </r>
  <r>
    <x v="95"/>
    <n v="32"/>
    <x v="94"/>
    <n v="240000"/>
    <n v="5000"/>
    <x v="7"/>
    <n v="4"/>
    <x v="2"/>
  </r>
  <r>
    <x v="96"/>
    <n v="37"/>
    <x v="95"/>
    <n v="1213250"/>
    <n v="287250"/>
    <x v="14"/>
    <n v="7"/>
    <x v="0"/>
  </r>
  <r>
    <x v="97"/>
    <n v="47"/>
    <x v="96"/>
    <n v="1296875"/>
    <n v="162500"/>
    <x v="7"/>
    <n v="4"/>
    <x v="0"/>
  </r>
  <r>
    <x v="98"/>
    <n v="35"/>
    <x v="97"/>
    <n v="19250"/>
    <n v="1500"/>
    <x v="13"/>
    <n v="2"/>
    <x v="1"/>
  </r>
  <r>
    <x v="99"/>
    <n v="45"/>
    <x v="98"/>
    <n v="528750"/>
    <n v="92500"/>
    <x v="13"/>
    <n v="2"/>
    <x v="2"/>
  </r>
  <r>
    <x v="100"/>
    <n v="38"/>
    <x v="99"/>
    <n v="1083500"/>
    <n v="76000"/>
    <x v="7"/>
    <n v="4"/>
    <x v="0"/>
  </r>
  <r>
    <x v="101"/>
    <n v="33"/>
    <x v="100"/>
    <n v="700000"/>
    <n v="0"/>
    <x v="12"/>
    <n v="1"/>
    <x v="2"/>
  </r>
  <r>
    <x v="102"/>
    <n v="41"/>
    <x v="101"/>
    <n v="1425000"/>
    <n v="105000"/>
    <x v="7"/>
    <n v="3"/>
    <x v="0"/>
  </r>
  <r>
    <x v="103"/>
    <n v="38"/>
    <x v="102"/>
    <n v="1266666.6666666667"/>
    <n v="0"/>
    <x v="1"/>
    <n v="3"/>
    <x v="0"/>
  </r>
  <r>
    <x v="104"/>
    <n v="24"/>
    <x v="103"/>
    <n v="1263600"/>
    <n v="121200"/>
    <x v="1"/>
    <n v="3"/>
    <x v="0"/>
  </r>
  <r>
    <x v="105"/>
    <n v="49"/>
    <x v="104"/>
    <n v="191062.5"/>
    <n v="5750"/>
    <x v="5"/>
    <n v="4"/>
    <x v="2"/>
  </r>
  <r>
    <x v="106"/>
    <n v="64"/>
    <x v="105"/>
    <n v="1202500"/>
    <n v="187500"/>
    <x v="0"/>
    <n v="3"/>
    <x v="0"/>
  </r>
  <r>
    <x v="107"/>
    <n v="70"/>
    <x v="106"/>
    <n v="965375"/>
    <n v="163500"/>
    <x v="8"/>
    <n v="4"/>
    <x v="0"/>
  </r>
  <r>
    <x v="108"/>
    <n v="30"/>
    <x v="107"/>
    <n v="39600"/>
    <n v="6800"/>
    <x v="5"/>
    <n v="2"/>
    <x v="1"/>
  </r>
  <r>
    <x v="109"/>
    <n v="28"/>
    <x v="108"/>
    <n v="1071666.6666666667"/>
    <n v="345000"/>
    <x v="7"/>
    <n v="3"/>
    <x v="0"/>
  </r>
  <r>
    <x v="110"/>
    <n v="27"/>
    <x v="109"/>
    <n v="769500"/>
    <n v="77500"/>
    <x v="8"/>
    <n v="5"/>
    <x v="0"/>
  </r>
  <r>
    <x v="111"/>
    <n v="39"/>
    <x v="110"/>
    <n v="712200"/>
    <n v="69000"/>
    <x v="8"/>
    <n v="5"/>
    <x v="0"/>
  </r>
  <r>
    <x v="112"/>
    <n v="56"/>
    <x v="111"/>
    <n v="574180"/>
    <n v="51100"/>
    <x v="10"/>
    <n v="5"/>
    <x v="0"/>
  </r>
  <r>
    <x v="113"/>
    <n v="41"/>
    <x v="112"/>
    <n v="871271.42857142852"/>
    <n v="178100"/>
    <x v="4"/>
    <n v="7"/>
    <x v="0"/>
  </r>
  <r>
    <x v="114"/>
    <n v="40"/>
    <x v="113"/>
    <n v="458380"/>
    <n v="5100"/>
    <x v="9"/>
    <n v="5"/>
    <x v="0"/>
  </r>
  <r>
    <x v="115"/>
    <n v="38"/>
    <x v="114"/>
    <n v="30875"/>
    <n v="3250"/>
    <x v="6"/>
    <n v="2"/>
    <x v="1"/>
  </r>
  <r>
    <x v="116"/>
    <n v="44"/>
    <x v="89"/>
    <n v="24000"/>
    <n v="0"/>
    <x v="13"/>
    <n v="1"/>
    <x v="1"/>
  </r>
  <r>
    <x v="117"/>
    <n v="44"/>
    <x v="115"/>
    <n v="81125"/>
    <n v="2750"/>
    <x v="6"/>
    <n v="2"/>
    <x v="1"/>
  </r>
  <r>
    <x v="118"/>
    <n v="44"/>
    <x v="116"/>
    <n v="1407500"/>
    <n v="362500"/>
    <x v="3"/>
    <n v="5"/>
    <x v="0"/>
  </r>
  <r>
    <x v="119"/>
    <n v="18"/>
    <x v="117"/>
    <n v="148500"/>
    <n v="16500"/>
    <x v="6"/>
    <n v="1"/>
    <x v="1"/>
  </r>
  <r>
    <x v="120"/>
    <n v="53"/>
    <x v="118"/>
    <n v="333633.33333333331"/>
    <n v="40200"/>
    <x v="9"/>
    <n v="6"/>
    <x v="0"/>
  </r>
  <r>
    <x v="121"/>
    <n v="34"/>
    <x v="119"/>
    <n v="885000"/>
    <n v="35000"/>
    <x v="1"/>
    <n v="4"/>
    <x v="0"/>
  </r>
  <r>
    <x v="122"/>
    <n v="30"/>
    <x v="120"/>
    <n v="368750"/>
    <n v="37500"/>
    <x v="13"/>
    <n v="2"/>
    <x v="2"/>
  </r>
  <r>
    <x v="123"/>
    <n v="32"/>
    <x v="121"/>
    <n v="624000"/>
    <n v="5000"/>
    <x v="7"/>
    <n v="5"/>
    <x v="0"/>
  </r>
  <r>
    <x v="124"/>
    <n v="29"/>
    <x v="122"/>
    <n v="1039750"/>
    <n v="351000"/>
    <x v="0"/>
    <n v="4"/>
    <x v="0"/>
  </r>
  <r>
    <x v="125"/>
    <n v="40"/>
    <x v="123"/>
    <n v="77200"/>
    <n v="2400"/>
    <x v="7"/>
    <n v="3"/>
    <x v="1"/>
  </r>
  <r>
    <x v="126"/>
    <n v="43"/>
    <x v="124"/>
    <n v="1073083.3333333333"/>
    <n v="272500"/>
    <x v="4"/>
    <n v="6"/>
    <x v="0"/>
  </r>
  <r>
    <x v="127"/>
    <n v="20"/>
    <x v="125"/>
    <n v="1313333.3333333333"/>
    <n v="210000"/>
    <x v="10"/>
    <n v="3"/>
    <x v="0"/>
  </r>
  <r>
    <x v="128"/>
    <n v="51"/>
    <x v="126"/>
    <n v="1925000"/>
    <n v="0"/>
    <x v="5"/>
    <n v="2"/>
    <x v="0"/>
  </r>
  <r>
    <x v="129"/>
    <n v="20"/>
    <x v="127"/>
    <n v="1024000"/>
    <n v="287000"/>
    <x v="14"/>
    <n v="6"/>
    <x v="0"/>
  </r>
  <r>
    <x v="130"/>
    <n v="32"/>
    <x v="128"/>
    <n v="710000"/>
    <n v="0"/>
    <x v="5"/>
    <n v="3"/>
    <x v="0"/>
  </r>
  <r>
    <x v="131"/>
    <n v="35"/>
    <x v="129"/>
    <n v="1436666.6666666667"/>
    <n v="140000"/>
    <x v="1"/>
    <n v="3"/>
    <x v="0"/>
  </r>
  <r>
    <x v="132"/>
    <n v="37"/>
    <x v="22"/>
    <n v="78333.333333333328"/>
    <n v="0"/>
    <x v="10"/>
    <n v="3"/>
    <x v="1"/>
  </r>
  <r>
    <x v="133"/>
    <n v="34"/>
    <x v="130"/>
    <n v="1137714.2857142857"/>
    <n v="336000"/>
    <x v="14"/>
    <n v="7"/>
    <x v="0"/>
  </r>
  <r>
    <x v="134"/>
    <n v="34"/>
    <x v="131"/>
    <n v="418875"/>
    <n v="131750"/>
    <x v="3"/>
    <n v="6"/>
    <x v="0"/>
  </r>
  <r>
    <x v="135"/>
    <n v="30"/>
    <x v="132"/>
    <n v="65000"/>
    <n v="0"/>
    <x v="16"/>
    <n v="2"/>
    <x v="1"/>
  </r>
  <r>
    <x v="136"/>
    <n v="18"/>
    <x v="133"/>
    <n v="739971.42857142852"/>
    <n v="267200"/>
    <x v="17"/>
    <n v="7"/>
    <x v="0"/>
  </r>
  <r>
    <x v="137"/>
    <n v="38"/>
    <x v="134"/>
    <n v="427833.33333333331"/>
    <n v="49500"/>
    <x v="4"/>
    <n v="9"/>
    <x v="0"/>
  </r>
  <r>
    <x v="138"/>
    <n v="23"/>
    <x v="135"/>
    <n v="35000"/>
    <n v="0"/>
    <x v="12"/>
    <n v="1"/>
    <x v="1"/>
  </r>
  <r>
    <x v="139"/>
    <n v="43"/>
    <x v="136"/>
    <n v="819062.5"/>
    <n v="3750"/>
    <x v="8"/>
    <n v="4"/>
    <x v="0"/>
  </r>
  <r>
    <x v="140"/>
    <n v="28"/>
    <x v="137"/>
    <n v="1289625"/>
    <n v="356500"/>
    <x v="0"/>
    <n v="4"/>
    <x v="0"/>
  </r>
  <r>
    <x v="141"/>
    <n v="32"/>
    <x v="138"/>
    <n v="1062083.3333333333"/>
    <n v="137500"/>
    <x v="11"/>
    <n v="6"/>
    <x v="0"/>
  </r>
  <r>
    <x v="142"/>
    <n v="37"/>
    <x v="139"/>
    <n v="442383.33333333331"/>
    <n v="69850"/>
    <x v="5"/>
    <n v="3"/>
    <x v="2"/>
  </r>
  <r>
    <x v="143"/>
    <n v="23"/>
    <x v="140"/>
    <n v="408600"/>
    <n v="182200"/>
    <x v="17"/>
    <n v="8"/>
    <x v="0"/>
  </r>
  <r>
    <x v="144"/>
    <n v="33"/>
    <x v="141"/>
    <n v="1008750"/>
    <n v="32500"/>
    <x v="6"/>
    <n v="2"/>
    <x v="0"/>
  </r>
  <r>
    <x v="145"/>
    <n v="65"/>
    <x v="142"/>
    <n v="237375"/>
    <n v="63000"/>
    <x v="17"/>
    <n v="8"/>
    <x v="2"/>
  </r>
  <r>
    <x v="146"/>
    <n v="35"/>
    <x v="143"/>
    <n v="184060"/>
    <n v="48700"/>
    <x v="7"/>
    <n v="5"/>
    <x v="2"/>
  </r>
  <r>
    <x v="147"/>
    <n v="50"/>
    <x v="144"/>
    <n v="1440000"/>
    <n v="160000"/>
    <x v="13"/>
    <n v="1"/>
    <x v="2"/>
  </r>
  <r>
    <x v="148"/>
    <n v="42"/>
    <x v="145"/>
    <n v="440425"/>
    <n v="74450"/>
    <x v="11"/>
    <n v="6"/>
    <x v="0"/>
  </r>
  <r>
    <x v="149"/>
    <n v="19"/>
    <x v="146"/>
    <n v="997500"/>
    <n v="0"/>
    <x v="1"/>
    <n v="2"/>
    <x v="2"/>
  </r>
  <r>
    <x v="150"/>
    <n v="31"/>
    <x v="147"/>
    <n v="960000"/>
    <n v="105000"/>
    <x v="1"/>
    <n v="2"/>
    <x v="2"/>
  </r>
  <r>
    <x v="151"/>
    <n v="23"/>
    <x v="148"/>
    <n v="550480"/>
    <n v="152200"/>
    <x v="2"/>
    <n v="10"/>
    <x v="0"/>
  </r>
  <r>
    <x v="152"/>
    <n v="42"/>
    <x v="149"/>
    <n v="1046250"/>
    <n v="157500"/>
    <x v="5"/>
    <n v="2"/>
    <x v="0"/>
  </r>
  <r>
    <x v="153"/>
    <n v="37"/>
    <x v="25"/>
    <n v="421666.66666666669"/>
    <n v="0"/>
    <x v="6"/>
    <n v="3"/>
    <x v="2"/>
  </r>
  <r>
    <x v="154"/>
    <n v="35"/>
    <x v="150"/>
    <n v="1624166.6666666667"/>
    <n v="105000"/>
    <x v="17"/>
    <n v="6"/>
    <x v="0"/>
  </r>
  <r>
    <x v="155"/>
    <n v="46"/>
    <x v="151"/>
    <n v="810750"/>
    <n v="145500"/>
    <x v="9"/>
    <n v="6"/>
    <x v="0"/>
  </r>
  <r>
    <x v="156"/>
    <n v="50"/>
    <x v="152"/>
    <n v="1215000"/>
    <n v="270000"/>
    <x v="1"/>
    <n v="3"/>
    <x v="0"/>
  </r>
  <r>
    <x v="157"/>
    <n v="33"/>
    <x v="153"/>
    <n v="1267750"/>
    <n v="81750"/>
    <x v="1"/>
    <n v="3"/>
    <x v="0"/>
  </r>
  <r>
    <x v="158"/>
    <n v="29"/>
    <x v="154"/>
    <n v="61500"/>
    <n v="5500"/>
    <x v="1"/>
    <n v="3"/>
    <x v="1"/>
  </r>
  <r>
    <x v="159"/>
    <n v="30"/>
    <x v="155"/>
    <n v="245033.33333333334"/>
    <n v="3900"/>
    <x v="16"/>
    <n v="3"/>
    <x v="2"/>
  </r>
  <r>
    <x v="160"/>
    <n v="31"/>
    <x v="156"/>
    <n v="517637.5"/>
    <n v="216450"/>
    <x v="0"/>
    <n v="4"/>
    <x v="0"/>
  </r>
  <r>
    <x v="161"/>
    <n v="18"/>
    <x v="157"/>
    <n v="54000"/>
    <n v="12000"/>
    <x v="16"/>
    <n v="2"/>
    <x v="1"/>
  </r>
  <r>
    <x v="162"/>
    <n v="41"/>
    <x v="158"/>
    <n v="644500"/>
    <n v="12000"/>
    <x v="0"/>
    <n v="4"/>
    <x v="0"/>
  </r>
  <r>
    <x v="163"/>
    <n v="41"/>
    <x v="159"/>
    <n v="304900"/>
    <n v="5500"/>
    <x v="7"/>
    <n v="5"/>
    <x v="2"/>
  </r>
  <r>
    <x v="164"/>
    <n v="26"/>
    <x v="160"/>
    <n v="79750"/>
    <n v="5500"/>
    <x v="6"/>
    <n v="2"/>
    <x v="1"/>
  </r>
  <r>
    <x v="165"/>
    <n v="38"/>
    <x v="161"/>
    <n v="563750"/>
    <n v="22500"/>
    <x v="13"/>
    <n v="2"/>
    <x v="2"/>
  </r>
  <r>
    <x v="166"/>
    <n v="22"/>
    <x v="162"/>
    <n v="210625"/>
    <n v="2500"/>
    <x v="1"/>
    <n v="4"/>
    <x v="2"/>
  </r>
  <r>
    <x v="167"/>
    <n v="18"/>
    <x v="163"/>
    <n v="677133.33333333337"/>
    <n v="600"/>
    <x v="1"/>
    <n v="3"/>
    <x v="0"/>
  </r>
  <r>
    <x v="168"/>
    <n v="56"/>
    <x v="164"/>
    <n v="826875"/>
    <n v="167500"/>
    <x v="0"/>
    <n v="4"/>
    <x v="0"/>
  </r>
  <r>
    <x v="169"/>
    <n v="43"/>
    <x v="165"/>
    <n v="2400000"/>
    <n v="0"/>
    <x v="6"/>
    <n v="1"/>
    <x v="0"/>
  </r>
  <r>
    <x v="170"/>
    <n v="51"/>
    <x v="166"/>
    <n v="715000"/>
    <n v="155000"/>
    <x v="16"/>
    <n v="3"/>
    <x v="0"/>
  </r>
  <r>
    <x v="171"/>
    <n v="20"/>
    <x v="167"/>
    <n v="59375"/>
    <n v="6250"/>
    <x v="5"/>
    <n v="2"/>
    <x v="1"/>
  </r>
  <r>
    <x v="172"/>
    <n v="40"/>
    <x v="168"/>
    <n v="23300"/>
    <n v="2400"/>
    <x v="6"/>
    <n v="2"/>
    <x v="1"/>
  </r>
  <r>
    <x v="173"/>
    <n v="39"/>
    <x v="169"/>
    <n v="1293571.4285714286"/>
    <n v="355000"/>
    <x v="18"/>
    <n v="7"/>
    <x v="0"/>
  </r>
  <r>
    <x v="174"/>
    <n v="23"/>
    <x v="170"/>
    <n v="855000"/>
    <n v="45000"/>
    <x v="13"/>
    <n v="1"/>
    <x v="2"/>
  </r>
  <r>
    <x v="175"/>
    <n v="28"/>
    <x v="171"/>
    <n v="642916.66666666663"/>
    <n v="211250"/>
    <x v="5"/>
    <n v="3"/>
    <x v="2"/>
  </r>
  <r>
    <x v="176"/>
    <n v="21"/>
    <x v="172"/>
    <n v="1295000"/>
    <n v="305000"/>
    <x v="7"/>
    <n v="4"/>
    <x v="0"/>
  </r>
  <r>
    <x v="177"/>
    <n v="47"/>
    <x v="173"/>
    <n v="949500"/>
    <n v="97500"/>
    <x v="9"/>
    <n v="5"/>
    <x v="0"/>
  </r>
  <r>
    <x v="178"/>
    <n v="40"/>
    <x v="174"/>
    <n v="211900"/>
    <n v="68700"/>
    <x v="8"/>
    <n v="7"/>
    <x v="2"/>
  </r>
  <r>
    <x v="179"/>
    <n v="49"/>
    <x v="74"/>
    <n v="2250000"/>
    <n v="0"/>
    <x v="6"/>
    <n v="1"/>
    <x v="0"/>
  </r>
  <r>
    <x v="180"/>
    <n v="18"/>
    <x v="175"/>
    <n v="417500"/>
    <n v="40000"/>
    <x v="16"/>
    <n v="2"/>
    <x v="2"/>
  </r>
  <r>
    <x v="181"/>
    <n v="39"/>
    <x v="135"/>
    <n v="35000"/>
    <n v="0"/>
    <x v="12"/>
    <n v="1"/>
    <x v="1"/>
  </r>
  <r>
    <x v="182"/>
    <n v="28"/>
    <x v="176"/>
    <n v="972142.85714285716"/>
    <n v="410000"/>
    <x v="4"/>
    <n v="7"/>
    <x v="0"/>
  </r>
  <r>
    <x v="183"/>
    <n v="39"/>
    <x v="177"/>
    <n v="767480"/>
    <n v="163600"/>
    <x v="0"/>
    <n v="5"/>
    <x v="0"/>
  </r>
  <r>
    <x v="184"/>
    <n v="37"/>
    <x v="178"/>
    <n v="49500"/>
    <n v="5500"/>
    <x v="12"/>
    <n v="1"/>
    <x v="1"/>
  </r>
  <r>
    <x v="185"/>
    <n v="48"/>
    <x v="179"/>
    <n v="940437.5"/>
    <n v="78250"/>
    <x v="0"/>
    <n v="4"/>
    <x v="0"/>
  </r>
  <r>
    <x v="186"/>
    <n v="30"/>
    <x v="180"/>
    <n v="40000"/>
    <n v="0"/>
    <x v="16"/>
    <n v="2"/>
    <x v="1"/>
  </r>
  <r>
    <x v="187"/>
    <n v="50"/>
    <x v="181"/>
    <n v="843000"/>
    <n v="135000"/>
    <x v="17"/>
    <n v="5"/>
    <x v="0"/>
  </r>
  <r>
    <x v="188"/>
    <n v="47"/>
    <x v="182"/>
    <n v="524062.5"/>
    <n v="228750"/>
    <x v="1"/>
    <n v="4"/>
    <x v="0"/>
  </r>
  <r>
    <x v="189"/>
    <n v="38"/>
    <x v="183"/>
    <n v="593812.5"/>
    <n v="750"/>
    <x v="8"/>
    <n v="4"/>
    <x v="0"/>
  </r>
  <r>
    <x v="190"/>
    <n v="29"/>
    <x v="74"/>
    <n v="2250000"/>
    <n v="0"/>
    <x v="6"/>
    <n v="1"/>
    <x v="0"/>
  </r>
  <r>
    <x v="191"/>
    <n v="31"/>
    <x v="184"/>
    <n v="1745625"/>
    <n v="367500"/>
    <x v="8"/>
    <n v="4"/>
    <x v="0"/>
  </r>
  <r>
    <x v="192"/>
    <n v="45"/>
    <x v="185"/>
    <n v="670000"/>
    <n v="110000"/>
    <x v="13"/>
    <n v="2"/>
    <x v="2"/>
  </r>
  <r>
    <x v="193"/>
    <n v="59"/>
    <x v="186"/>
    <n v="995875"/>
    <n v="322500"/>
    <x v="3"/>
    <n v="4"/>
    <x v="0"/>
  </r>
  <r>
    <x v="194"/>
    <n v="31"/>
    <x v="187"/>
    <n v="590875"/>
    <n v="121500"/>
    <x v="10"/>
    <n v="4"/>
    <x v="0"/>
  </r>
  <r>
    <x v="195"/>
    <n v="75"/>
    <x v="188"/>
    <n v="1880000"/>
    <n v="0"/>
    <x v="11"/>
    <n v="5"/>
    <x v="0"/>
  </r>
  <r>
    <x v="196"/>
    <n v="42"/>
    <x v="189"/>
    <n v="313650"/>
    <n v="6750"/>
    <x v="8"/>
    <n v="5"/>
    <x v="2"/>
  </r>
  <r>
    <x v="197"/>
    <n v="35"/>
    <x v="190"/>
    <n v="936750"/>
    <n v="158000"/>
    <x v="10"/>
    <n v="4"/>
    <x v="0"/>
  </r>
  <r>
    <x v="198"/>
    <n v="27"/>
    <x v="191"/>
    <n v="1241500"/>
    <n v="280500"/>
    <x v="7"/>
    <n v="3"/>
    <x v="0"/>
  </r>
  <r>
    <x v="199"/>
    <n v="47"/>
    <x v="192"/>
    <n v="588600"/>
    <n v="206000"/>
    <x v="8"/>
    <n v="5"/>
    <x v="0"/>
  </r>
  <r>
    <x v="200"/>
    <n v="50"/>
    <x v="193"/>
    <n v="382500"/>
    <n v="0"/>
    <x v="13"/>
    <n v="2"/>
    <x v="2"/>
  </r>
  <r>
    <x v="201"/>
    <n v="56"/>
    <x v="194"/>
    <n v="289210"/>
    <n v="5950"/>
    <x v="3"/>
    <n v="5"/>
    <x v="2"/>
  </r>
  <r>
    <x v="202"/>
    <n v="45"/>
    <x v="195"/>
    <n v="390800"/>
    <n v="213000"/>
    <x v="0"/>
    <n v="5"/>
    <x v="2"/>
  </r>
  <r>
    <x v="203"/>
    <n v="40"/>
    <x v="196"/>
    <n v="2280000"/>
    <n v="120000"/>
    <x v="6"/>
    <n v="1"/>
    <x v="0"/>
  </r>
  <r>
    <x v="204"/>
    <n v="47"/>
    <x v="197"/>
    <n v="927375"/>
    <n v="5500"/>
    <x v="7"/>
    <n v="4"/>
    <x v="0"/>
  </r>
  <r>
    <x v="205"/>
    <n v="49"/>
    <x v="198"/>
    <n v="850500"/>
    <n v="65000"/>
    <x v="10"/>
    <n v="4"/>
    <x v="0"/>
  </r>
  <r>
    <x v="206"/>
    <n v="21"/>
    <x v="199"/>
    <n v="1404000"/>
    <n v="280000"/>
    <x v="8"/>
    <n v="5"/>
    <x v="0"/>
  </r>
  <r>
    <x v="207"/>
    <n v="18"/>
    <x v="200"/>
    <n v="578400"/>
    <n v="223000"/>
    <x v="9"/>
    <n v="5"/>
    <x v="0"/>
  </r>
  <r>
    <x v="208"/>
    <n v="47"/>
    <x v="201"/>
    <n v="425458.33333333331"/>
    <n v="102250"/>
    <x v="11"/>
    <n v="6"/>
    <x v="0"/>
  </r>
  <r>
    <x v="209"/>
    <n v="40"/>
    <x v="202"/>
    <n v="864812.5"/>
    <n v="205750"/>
    <x v="1"/>
    <n v="4"/>
    <x v="0"/>
  </r>
  <r>
    <x v="210"/>
    <n v="42"/>
    <x v="203"/>
    <n v="58380"/>
    <n v="14100"/>
    <x v="17"/>
    <n v="5"/>
    <x v="1"/>
  </r>
  <r>
    <x v="211"/>
    <n v="44"/>
    <x v="204"/>
    <n v="843000"/>
    <n v="11000"/>
    <x v="10"/>
    <n v="3"/>
    <x v="0"/>
  </r>
  <r>
    <x v="212"/>
    <n v="20"/>
    <x v="205"/>
    <n v="494937.5"/>
    <n v="140250"/>
    <x v="1"/>
    <n v="4"/>
    <x v="2"/>
  </r>
  <r>
    <x v="213"/>
    <n v="18"/>
    <x v="206"/>
    <n v="336166.66666666669"/>
    <n v="106500"/>
    <x v="10"/>
    <n v="3"/>
    <x v="2"/>
  </r>
  <r>
    <x v="214"/>
    <n v="45"/>
    <x v="207"/>
    <n v="1082400"/>
    <n v="321200"/>
    <x v="4"/>
    <n v="7"/>
    <x v="0"/>
  </r>
  <r>
    <x v="215"/>
    <n v="60"/>
    <x v="208"/>
    <n v="1772500"/>
    <n v="305000"/>
    <x v="5"/>
    <n v="2"/>
    <x v="0"/>
  </r>
  <r>
    <x v="216"/>
    <n v="37"/>
    <x v="209"/>
    <n v="504833.33333333331"/>
    <n v="165500"/>
    <x v="16"/>
    <n v="3"/>
    <x v="2"/>
  </r>
  <r>
    <x v="217"/>
    <n v="18"/>
    <x v="210"/>
    <n v="1080000"/>
    <n v="90000"/>
    <x v="10"/>
    <n v="3"/>
    <x v="0"/>
  </r>
  <r>
    <x v="218"/>
    <n v="18"/>
    <x v="211"/>
    <n v="314150"/>
    <n v="12250"/>
    <x v="0"/>
    <n v="5"/>
    <x v="2"/>
  </r>
  <r>
    <x v="219"/>
    <n v="44"/>
    <x v="212"/>
    <n v="509416.66666666669"/>
    <n v="162750"/>
    <x v="1"/>
    <n v="3"/>
    <x v="2"/>
  </r>
  <r>
    <x v="220"/>
    <n v="25"/>
    <x v="213"/>
    <n v="620625"/>
    <n v="133750"/>
    <x v="5"/>
    <n v="2"/>
    <x v="2"/>
  </r>
  <r>
    <x v="221"/>
    <n v="38"/>
    <x v="214"/>
    <n v="1026428.5714285715"/>
    <n v="65000"/>
    <x v="17"/>
    <n v="7"/>
    <x v="0"/>
  </r>
  <r>
    <x v="222"/>
    <n v="34"/>
    <x v="215"/>
    <n v="692062.5"/>
    <n v="66750"/>
    <x v="5"/>
    <n v="4"/>
    <x v="0"/>
  </r>
  <r>
    <x v="223"/>
    <n v="22"/>
    <x v="216"/>
    <n v="415875"/>
    <n v="83250"/>
    <x v="16"/>
    <n v="2"/>
    <x v="2"/>
  </r>
  <r>
    <x v="224"/>
    <n v="63"/>
    <x v="217"/>
    <n v="760000"/>
    <n v="40000"/>
    <x v="12"/>
    <n v="1"/>
    <x v="2"/>
  </r>
  <r>
    <x v="225"/>
    <n v="25"/>
    <x v="218"/>
    <n v="686400"/>
    <n v="1200"/>
    <x v="5"/>
    <n v="2"/>
    <x v="2"/>
  </r>
  <r>
    <x v="226"/>
    <n v="41"/>
    <x v="219"/>
    <n v="369375"/>
    <n v="161500"/>
    <x v="0"/>
    <n v="4"/>
    <x v="2"/>
  </r>
  <r>
    <x v="227"/>
    <n v="44"/>
    <x v="220"/>
    <n v="376125"/>
    <n v="80500"/>
    <x v="8"/>
    <n v="4"/>
    <x v="2"/>
  </r>
  <r>
    <x v="228"/>
    <n v="18"/>
    <x v="221"/>
    <n v="564750"/>
    <n v="81000"/>
    <x v="10"/>
    <n v="4"/>
    <x v="0"/>
  </r>
  <r>
    <x v="229"/>
    <n v="54"/>
    <x v="222"/>
    <n v="1212700"/>
    <n v="161500"/>
    <x v="3"/>
    <n v="5"/>
    <x v="0"/>
  </r>
  <r>
    <x v="230"/>
    <n v="38"/>
    <x v="223"/>
    <n v="1001666.6666666666"/>
    <n v="45000"/>
    <x v="5"/>
    <n v="3"/>
    <x v="0"/>
  </r>
  <r>
    <x v="231"/>
    <n v="27"/>
    <x v="224"/>
    <n v="182400"/>
    <n v="8800"/>
    <x v="1"/>
    <n v="3"/>
    <x v="2"/>
  </r>
  <r>
    <x v="232"/>
    <n v="40"/>
    <x v="225"/>
    <n v="1647500"/>
    <n v="207500"/>
    <x v="7"/>
    <n v="3"/>
    <x v="0"/>
  </r>
  <r>
    <x v="233"/>
    <n v="18"/>
    <x v="226"/>
    <n v="92166.666666666672"/>
    <n v="18500"/>
    <x v="10"/>
    <n v="3"/>
    <x v="1"/>
  </r>
  <r>
    <x v="234"/>
    <n v="35"/>
    <x v="227"/>
    <n v="238460"/>
    <n v="29700"/>
    <x v="7"/>
    <n v="5"/>
    <x v="2"/>
  </r>
  <r>
    <x v="235"/>
    <n v="33"/>
    <x v="228"/>
    <n v="22800"/>
    <n v="2400"/>
    <x v="16"/>
    <n v="2"/>
    <x v="1"/>
  </r>
  <r>
    <x v="236"/>
    <n v="42"/>
    <x v="229"/>
    <n v="708281.25"/>
    <n v="425750"/>
    <x v="14"/>
    <n v="8"/>
    <x v="0"/>
  </r>
  <r>
    <x v="237"/>
    <n v="24"/>
    <x v="230"/>
    <n v="260162.5"/>
    <n v="5350"/>
    <x v="0"/>
    <n v="4"/>
    <x v="2"/>
  </r>
  <r>
    <x v="238"/>
    <n v="26"/>
    <x v="231"/>
    <n v="1160500"/>
    <n v="153500"/>
    <x v="1"/>
    <n v="3"/>
    <x v="0"/>
  </r>
  <r>
    <x v="239"/>
    <n v="26"/>
    <x v="232"/>
    <n v="774166.66666666663"/>
    <n v="127500"/>
    <x v="16"/>
    <n v="3"/>
    <x v="0"/>
  </r>
  <r>
    <x v="240"/>
    <n v="40"/>
    <x v="233"/>
    <n v="398125"/>
    <n v="2500"/>
    <x v="10"/>
    <n v="4"/>
    <x v="2"/>
  </r>
  <r>
    <x v="241"/>
    <n v="46"/>
    <x v="234"/>
    <n v="719625"/>
    <n v="75750"/>
    <x v="1"/>
    <n v="2"/>
    <x v="2"/>
  </r>
  <r>
    <x v="242"/>
    <n v="36"/>
    <x v="235"/>
    <n v="435900"/>
    <n v="92400"/>
    <x v="10"/>
    <n v="4"/>
    <x v="2"/>
  </r>
  <r>
    <x v="243"/>
    <n v="34"/>
    <x v="236"/>
    <n v="807083.33333333337"/>
    <n v="372500"/>
    <x v="3"/>
    <n v="6"/>
    <x v="0"/>
  </r>
  <r>
    <x v="244"/>
    <n v="18"/>
    <x v="237"/>
    <n v="110000"/>
    <n v="0"/>
    <x v="16"/>
    <n v="2"/>
    <x v="1"/>
  </r>
  <r>
    <x v="245"/>
    <n v="31"/>
    <x v="238"/>
    <n v="461378.57142857142"/>
    <n v="223350"/>
    <x v="17"/>
    <n v="7"/>
    <x v="0"/>
  </r>
  <r>
    <x v="246"/>
    <n v="54"/>
    <x v="239"/>
    <n v="1261666.6666666667"/>
    <n v="0"/>
    <x v="10"/>
    <n v="3"/>
    <x v="0"/>
  </r>
  <r>
    <x v="247"/>
    <n v="28"/>
    <x v="240"/>
    <n v="325392.85714285716"/>
    <n v="162250"/>
    <x v="3"/>
    <n v="7"/>
    <x v="0"/>
  </r>
  <r>
    <x v="248"/>
    <n v="40"/>
    <x v="241"/>
    <n v="774750"/>
    <n v="5500"/>
    <x v="6"/>
    <n v="2"/>
    <x v="2"/>
  </r>
  <r>
    <x v="249"/>
    <n v="25"/>
    <x v="242"/>
    <n v="962166.66666666663"/>
    <n v="83500"/>
    <x v="1"/>
    <n v="3"/>
    <x v="0"/>
  </r>
  <r>
    <x v="250"/>
    <n v="30"/>
    <x v="243"/>
    <n v="749333.33333333337"/>
    <n v="45000"/>
    <x v="3"/>
    <n v="6"/>
    <x v="0"/>
  </r>
  <r>
    <x v="251"/>
    <n v="60"/>
    <x v="244"/>
    <n v="965000"/>
    <n v="70000"/>
    <x v="6"/>
    <n v="2"/>
    <x v="2"/>
  </r>
  <r>
    <x v="252"/>
    <n v="42"/>
    <x v="245"/>
    <n v="1011700"/>
    <n v="261500"/>
    <x v="3"/>
    <n v="5"/>
    <x v="0"/>
  </r>
  <r>
    <x v="253"/>
    <n v="26"/>
    <x v="246"/>
    <n v="573870"/>
    <n v="49650"/>
    <x v="8"/>
    <n v="5"/>
    <x v="0"/>
  </r>
  <r>
    <x v="254"/>
    <n v="24"/>
    <x v="247"/>
    <n v="1755000"/>
    <n v="195000"/>
    <x v="6"/>
    <n v="1"/>
    <x v="2"/>
  </r>
  <r>
    <x v="255"/>
    <n v="33"/>
    <x v="248"/>
    <n v="1051812.5"/>
    <n v="197750"/>
    <x v="0"/>
    <n v="4"/>
    <x v="0"/>
  </r>
  <r>
    <x v="256"/>
    <n v="28"/>
    <x v="249"/>
    <n v="960750"/>
    <n v="213500"/>
    <x v="16"/>
    <n v="2"/>
    <x v="2"/>
  </r>
  <r>
    <x v="257"/>
    <n v="41"/>
    <x v="250"/>
    <n v="57500"/>
    <n v="0"/>
    <x v="5"/>
    <n v="2"/>
    <x v="1"/>
  </r>
  <r>
    <x v="258"/>
    <n v="34"/>
    <x v="251"/>
    <n v="259857.14285714287"/>
    <n v="91000"/>
    <x v="19"/>
    <n v="7"/>
    <x v="2"/>
  </r>
  <r>
    <x v="259"/>
    <n v="21"/>
    <x v="252"/>
    <n v="432500"/>
    <n v="40000"/>
    <x v="16"/>
    <n v="2"/>
    <x v="2"/>
  </r>
  <r>
    <x v="260"/>
    <n v="27"/>
    <x v="253"/>
    <n v="786666.66666666663"/>
    <n v="0"/>
    <x v="5"/>
    <n v="3"/>
    <x v="0"/>
  </r>
  <r>
    <x v="261"/>
    <n v="29"/>
    <x v="254"/>
    <n v="744000"/>
    <n v="325000"/>
    <x v="0"/>
    <n v="4"/>
    <x v="0"/>
  </r>
  <r>
    <x v="262"/>
    <n v="32"/>
    <x v="135"/>
    <n v="35000"/>
    <n v="0"/>
    <x v="12"/>
    <n v="1"/>
    <x v="1"/>
  </r>
  <r>
    <x v="263"/>
    <n v="43"/>
    <x v="255"/>
    <n v="126750"/>
    <n v="16500"/>
    <x v="1"/>
    <n v="2"/>
    <x v="1"/>
  </r>
  <r>
    <x v="264"/>
    <n v="41"/>
    <x v="256"/>
    <n v="599742.85714285716"/>
    <n v="344800"/>
    <x v="11"/>
    <n v="7"/>
    <x v="0"/>
  </r>
  <r>
    <x v="265"/>
    <n v="53"/>
    <x v="257"/>
    <n v="995250"/>
    <n v="4500"/>
    <x v="1"/>
    <n v="2"/>
    <x v="2"/>
  </r>
  <r>
    <x v="266"/>
    <n v="32"/>
    <x v="258"/>
    <n v="1327857.142857143"/>
    <n v="205000"/>
    <x v="18"/>
    <n v="7"/>
    <x v="0"/>
  </r>
  <r>
    <x v="267"/>
    <n v="40"/>
    <x v="259"/>
    <n v="655687.5"/>
    <n v="122250"/>
    <x v="10"/>
    <n v="4"/>
    <x v="0"/>
  </r>
  <r>
    <x v="268"/>
    <n v="34"/>
    <x v="260"/>
    <n v="694250"/>
    <n v="112250"/>
    <x v="7"/>
    <n v="3"/>
    <x v="0"/>
  </r>
  <r>
    <x v="269"/>
    <n v="22"/>
    <x v="261"/>
    <n v="525178.57142857148"/>
    <n v="203750"/>
    <x v="0"/>
    <n v="7"/>
    <x v="0"/>
  </r>
  <r>
    <x v="270"/>
    <n v="32"/>
    <x v="262"/>
    <n v="481666.66666666669"/>
    <n v="65000"/>
    <x v="16"/>
    <n v="3"/>
    <x v="2"/>
  </r>
  <r>
    <x v="271"/>
    <n v="47"/>
    <x v="263"/>
    <n v="619350"/>
    <n v="3600"/>
    <x v="0"/>
    <n v="4"/>
    <x v="0"/>
  </r>
  <r>
    <x v="272"/>
    <n v="55"/>
    <x v="264"/>
    <n v="607000"/>
    <n v="0"/>
    <x v="0"/>
    <n v="5"/>
    <x v="0"/>
  </r>
  <r>
    <x v="273"/>
    <n v="19"/>
    <x v="265"/>
    <n v="713750"/>
    <n v="95000"/>
    <x v="0"/>
    <n v="4"/>
    <x v="0"/>
  </r>
  <r>
    <x v="274"/>
    <n v="35"/>
    <x v="266"/>
    <n v="1196125"/>
    <n v="275500"/>
    <x v="3"/>
    <n v="4"/>
    <x v="0"/>
  </r>
  <r>
    <x v="275"/>
    <n v="35"/>
    <x v="267"/>
    <n v="1267900"/>
    <n v="472500"/>
    <x v="9"/>
    <n v="5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1"/>
    <x v="0"/>
    <x v="0"/>
    <x v="0"/>
    <x v="0"/>
    <x v="0"/>
    <n v="8861000"/>
    <x v="0"/>
  </r>
  <r>
    <n v="2"/>
    <x v="1"/>
    <x v="1"/>
    <x v="1"/>
    <x v="1"/>
    <x v="1"/>
    <n v="8945750"/>
    <x v="1"/>
  </r>
  <r>
    <n v="3"/>
    <x v="2"/>
    <x v="2"/>
    <x v="2"/>
    <x v="2"/>
    <x v="2"/>
    <n v="5637950"/>
    <x v="1"/>
  </r>
  <r>
    <n v="4"/>
    <x v="3"/>
    <x v="3"/>
    <x v="3"/>
    <x v="3"/>
    <x v="3"/>
    <n v="12326500"/>
    <x v="2"/>
  </r>
  <r>
    <n v="5"/>
    <x v="4"/>
    <x v="4"/>
    <x v="4"/>
    <x v="4"/>
    <x v="4"/>
    <n v="11455750"/>
    <x v="1"/>
  </r>
  <r>
    <n v="6"/>
    <x v="5"/>
    <x v="5"/>
    <x v="5"/>
    <x v="5"/>
    <x v="5"/>
    <n v="9567700"/>
    <x v="1"/>
  </r>
  <r>
    <n v="7"/>
    <x v="6"/>
    <x v="5"/>
    <x v="6"/>
    <x v="6"/>
    <x v="1"/>
    <n v="23780250"/>
    <x v="0"/>
  </r>
  <r>
    <n v="8"/>
    <x v="0"/>
    <x v="5"/>
    <x v="7"/>
    <x v="7"/>
    <x v="6"/>
    <n v="15945800"/>
    <x v="1"/>
  </r>
  <r>
    <n v="9"/>
    <x v="7"/>
    <x v="5"/>
    <x v="8"/>
    <x v="8"/>
    <x v="7"/>
    <n v="9998950"/>
    <x v="0"/>
  </r>
  <r>
    <n v="10"/>
    <x v="8"/>
    <x v="6"/>
    <x v="9"/>
    <x v="9"/>
    <x v="8"/>
    <n v="12743300"/>
    <x v="0"/>
  </r>
  <r>
    <n v="11"/>
    <x v="9"/>
    <x v="7"/>
    <x v="10"/>
    <x v="10"/>
    <x v="0"/>
    <n v="4124000"/>
    <x v="1"/>
  </r>
  <r>
    <n v="12"/>
    <x v="10"/>
    <x v="8"/>
    <x v="11"/>
    <x v="11"/>
    <x v="4"/>
    <n v="10432250"/>
    <x v="1"/>
  </r>
  <r>
    <n v="13"/>
    <x v="11"/>
    <x v="9"/>
    <x v="12"/>
    <x v="12"/>
    <x v="9"/>
    <n v="13348300"/>
    <x v="1"/>
  </r>
  <r>
    <n v="14"/>
    <x v="12"/>
    <x v="5"/>
    <x v="13"/>
    <x v="13"/>
    <x v="10"/>
    <n v="14939750"/>
    <x v="1"/>
  </r>
  <r>
    <n v="15"/>
    <x v="13"/>
    <x v="5"/>
    <x v="14"/>
    <x v="14"/>
    <x v="11"/>
    <n v="7610000"/>
    <x v="1"/>
  </r>
  <r>
    <n v="16"/>
    <x v="14"/>
    <x v="10"/>
    <x v="15"/>
    <x v="15"/>
    <x v="12"/>
    <n v="8429150"/>
    <x v="2"/>
  </r>
  <r>
    <n v="17"/>
    <x v="15"/>
    <x v="5"/>
    <x v="16"/>
    <x v="16"/>
    <x v="13"/>
    <n v="13172000"/>
    <x v="1"/>
  </r>
  <r>
    <n v="18"/>
    <x v="16"/>
    <x v="11"/>
    <x v="17"/>
    <x v="17"/>
    <x v="1"/>
    <n v="10839750"/>
    <x v="1"/>
  </r>
  <r>
    <n v="19"/>
    <x v="17"/>
    <x v="12"/>
    <x v="18"/>
    <x v="18"/>
    <x v="14"/>
    <n v="10948400"/>
    <x v="2"/>
  </r>
  <r>
    <n v="20"/>
    <x v="18"/>
    <x v="5"/>
    <x v="19"/>
    <x v="19"/>
    <x v="15"/>
    <n v="12896400"/>
    <x v="1"/>
  </r>
  <r>
    <n v="21"/>
    <x v="13"/>
    <x v="13"/>
    <x v="20"/>
    <x v="20"/>
    <x v="16"/>
    <n v="6345100"/>
    <x v="2"/>
  </r>
  <r>
    <n v="22"/>
    <x v="19"/>
    <x v="14"/>
    <x v="21"/>
    <x v="21"/>
    <x v="17"/>
    <n v="6298800"/>
    <x v="1"/>
  </r>
  <r>
    <n v="23"/>
    <x v="20"/>
    <x v="1"/>
    <x v="22"/>
    <x v="22"/>
    <x v="18"/>
    <n v="6398100"/>
    <x v="1"/>
  </r>
  <r>
    <n v="24"/>
    <x v="21"/>
    <x v="5"/>
    <x v="23"/>
    <x v="23"/>
    <x v="19"/>
    <n v="5793000"/>
    <x v="2"/>
  </r>
  <r>
    <n v="25"/>
    <x v="22"/>
    <x v="7"/>
    <x v="24"/>
    <x v="24"/>
    <x v="20"/>
    <n v="13156300"/>
    <x v="2"/>
  </r>
  <r>
    <n v="26"/>
    <x v="23"/>
    <x v="15"/>
    <x v="25"/>
    <x v="25"/>
    <x v="21"/>
    <n v="4949750"/>
    <x v="0"/>
  </r>
  <r>
    <n v="27"/>
    <x v="24"/>
    <x v="16"/>
    <x v="26"/>
    <x v="26"/>
    <x v="22"/>
    <n v="15717300"/>
    <x v="2"/>
  </r>
  <r>
    <n v="28"/>
    <x v="25"/>
    <x v="17"/>
    <x v="27"/>
    <x v="27"/>
    <x v="23"/>
    <n v="8310000"/>
    <x v="2"/>
  </r>
  <r>
    <n v="29"/>
    <x v="26"/>
    <x v="1"/>
    <x v="28"/>
    <x v="22"/>
    <x v="24"/>
    <n v="4901900"/>
    <x v="1"/>
  </r>
  <r>
    <n v="30"/>
    <x v="27"/>
    <x v="18"/>
    <x v="29"/>
    <x v="28"/>
    <x v="4"/>
    <n v="15317000"/>
    <x v="1"/>
  </r>
  <r>
    <n v="31"/>
    <x v="28"/>
    <x v="1"/>
    <x v="30"/>
    <x v="29"/>
    <x v="11"/>
    <n v="11833750"/>
    <x v="2"/>
  </r>
  <r>
    <n v="32"/>
    <x v="24"/>
    <x v="5"/>
    <x v="31"/>
    <x v="30"/>
    <x v="25"/>
    <n v="4250250"/>
    <x v="2"/>
  </r>
  <r>
    <n v="33"/>
    <x v="29"/>
    <x v="5"/>
    <x v="32"/>
    <x v="31"/>
    <x v="26"/>
    <n v="16642200"/>
    <x v="0"/>
  </r>
  <r>
    <n v="34"/>
    <x v="30"/>
    <x v="19"/>
    <x v="33"/>
    <x v="25"/>
    <x v="27"/>
    <n v="8181750"/>
    <x v="1"/>
  </r>
  <r>
    <n v="35"/>
    <x v="30"/>
    <x v="5"/>
    <x v="34"/>
    <x v="9"/>
    <x v="28"/>
    <n v="5482300"/>
    <x v="1"/>
  </r>
  <r>
    <n v="36"/>
    <x v="31"/>
    <x v="0"/>
    <x v="35"/>
    <x v="32"/>
    <x v="29"/>
    <n v="10314150"/>
    <x v="2"/>
  </r>
  <r>
    <n v="37"/>
    <x v="23"/>
    <x v="20"/>
    <x v="36"/>
    <x v="28"/>
    <x v="11"/>
    <n v="14272250"/>
    <x v="1"/>
  </r>
  <r>
    <n v="38"/>
    <x v="0"/>
    <x v="0"/>
    <x v="37"/>
    <x v="25"/>
    <x v="30"/>
    <n v="1715800"/>
    <x v="0"/>
  </r>
  <r>
    <n v="39"/>
    <x v="32"/>
    <x v="5"/>
    <x v="38"/>
    <x v="33"/>
    <x v="31"/>
    <n v="14270300"/>
    <x v="0"/>
  </r>
  <r>
    <n v="40"/>
    <x v="33"/>
    <x v="3"/>
    <x v="39"/>
    <x v="34"/>
    <x v="32"/>
    <n v="18161750"/>
    <x v="1"/>
  </r>
  <r>
    <n v="41"/>
    <x v="34"/>
    <x v="0"/>
    <x v="40"/>
    <x v="35"/>
    <x v="33"/>
    <n v="16639550"/>
    <x v="2"/>
  </r>
  <r>
    <n v="42"/>
    <x v="35"/>
    <x v="0"/>
    <x v="41"/>
    <x v="36"/>
    <x v="34"/>
    <n v="8962850"/>
    <x v="2"/>
  </r>
  <r>
    <n v="43"/>
    <x v="36"/>
    <x v="5"/>
    <x v="42"/>
    <x v="37"/>
    <x v="11"/>
    <n v="13126500"/>
    <x v="1"/>
  </r>
  <r>
    <n v="44"/>
    <x v="34"/>
    <x v="0"/>
    <x v="43"/>
    <x v="38"/>
    <x v="35"/>
    <n v="14649850"/>
    <x v="0"/>
  </r>
  <r>
    <n v="45"/>
    <x v="37"/>
    <x v="5"/>
    <x v="44"/>
    <x v="39"/>
    <x v="36"/>
    <n v="4779950"/>
    <x v="1"/>
  </r>
  <r>
    <n v="46"/>
    <x v="38"/>
    <x v="9"/>
    <x v="45"/>
    <x v="22"/>
    <x v="37"/>
    <n v="6843500"/>
    <x v="2"/>
  </r>
  <r>
    <n v="47"/>
    <x v="39"/>
    <x v="5"/>
    <x v="46"/>
    <x v="40"/>
    <x v="38"/>
    <n v="9247700"/>
    <x v="1"/>
  </r>
  <r>
    <n v="48"/>
    <x v="40"/>
    <x v="2"/>
    <x v="47"/>
    <x v="22"/>
    <x v="39"/>
    <n v="9780900"/>
    <x v="0"/>
  </r>
  <r>
    <n v="49"/>
    <x v="41"/>
    <x v="14"/>
    <x v="48"/>
    <x v="41"/>
    <x v="40"/>
    <n v="12488250"/>
    <x v="1"/>
  </r>
  <r>
    <n v="50"/>
    <x v="42"/>
    <x v="21"/>
    <x v="49"/>
    <x v="42"/>
    <x v="41"/>
    <n v="11329350"/>
    <x v="1"/>
  </r>
  <r>
    <n v="51"/>
    <x v="43"/>
    <x v="4"/>
    <x v="50"/>
    <x v="22"/>
    <x v="42"/>
    <n v="5924350"/>
    <x v="0"/>
  </r>
  <r>
    <n v="52"/>
    <x v="44"/>
    <x v="20"/>
    <x v="51"/>
    <x v="43"/>
    <x v="43"/>
    <n v="15829550"/>
    <x v="1"/>
  </r>
  <r>
    <n v="53"/>
    <x v="45"/>
    <x v="4"/>
    <x v="52"/>
    <x v="22"/>
    <x v="21"/>
    <n v="14260500"/>
    <x v="1"/>
  </r>
  <r>
    <n v="54"/>
    <x v="46"/>
    <x v="2"/>
    <x v="53"/>
    <x v="44"/>
    <x v="44"/>
    <n v="13422500"/>
    <x v="0"/>
  </r>
  <r>
    <n v="55"/>
    <x v="47"/>
    <x v="3"/>
    <x v="54"/>
    <x v="45"/>
    <x v="45"/>
    <n v="11269500"/>
    <x v="0"/>
  </r>
  <r>
    <n v="56"/>
    <x v="48"/>
    <x v="9"/>
    <x v="55"/>
    <x v="29"/>
    <x v="46"/>
    <n v="11092750"/>
    <x v="1"/>
  </r>
  <r>
    <n v="57"/>
    <x v="49"/>
    <x v="22"/>
    <x v="56"/>
    <x v="19"/>
    <x v="47"/>
    <n v="9334800"/>
    <x v="2"/>
  </r>
  <r>
    <n v="58"/>
    <x v="50"/>
    <x v="19"/>
    <x v="57"/>
    <x v="46"/>
    <x v="48"/>
    <n v="10068200"/>
    <x v="1"/>
  </r>
  <r>
    <n v="59"/>
    <x v="51"/>
    <x v="23"/>
    <x v="56"/>
    <x v="47"/>
    <x v="11"/>
    <n v="7248500"/>
    <x v="1"/>
  </r>
  <r>
    <n v="60"/>
    <x v="52"/>
    <x v="1"/>
    <x v="58"/>
    <x v="48"/>
    <x v="49"/>
    <n v="9424700"/>
    <x v="1"/>
  </r>
  <r>
    <n v="61"/>
    <x v="53"/>
    <x v="24"/>
    <x v="59"/>
    <x v="22"/>
    <x v="50"/>
    <n v="1879250"/>
    <x v="2"/>
  </r>
  <r>
    <n v="62"/>
    <x v="23"/>
    <x v="5"/>
    <x v="60"/>
    <x v="49"/>
    <x v="51"/>
    <n v="11584000"/>
    <x v="2"/>
  </r>
  <r>
    <n v="63"/>
    <x v="54"/>
    <x v="9"/>
    <x v="61"/>
    <x v="50"/>
    <x v="52"/>
    <n v="14117950"/>
    <x v="2"/>
  </r>
  <r>
    <n v="64"/>
    <x v="55"/>
    <x v="25"/>
    <x v="62"/>
    <x v="51"/>
    <x v="53"/>
    <n v="11439900"/>
    <x v="2"/>
  </r>
  <r>
    <n v="65"/>
    <x v="56"/>
    <x v="5"/>
    <x v="63"/>
    <x v="52"/>
    <x v="54"/>
    <n v="12176050"/>
    <x v="1"/>
  </r>
  <r>
    <n v="66"/>
    <x v="31"/>
    <x v="26"/>
    <x v="64"/>
    <x v="30"/>
    <x v="55"/>
    <n v="7367400"/>
    <x v="1"/>
  </r>
  <r>
    <n v="67"/>
    <x v="57"/>
    <x v="2"/>
    <x v="65"/>
    <x v="53"/>
    <x v="11"/>
    <n v="14022500"/>
    <x v="1"/>
  </r>
  <r>
    <n v="68"/>
    <x v="58"/>
    <x v="9"/>
    <x v="66"/>
    <x v="54"/>
    <x v="56"/>
    <n v="12688750"/>
    <x v="1"/>
  </r>
  <r>
    <n v="69"/>
    <x v="42"/>
    <x v="2"/>
    <x v="67"/>
    <x v="55"/>
    <x v="45"/>
    <n v="8905000"/>
    <x v="1"/>
  </r>
  <r>
    <n v="70"/>
    <x v="59"/>
    <x v="27"/>
    <x v="68"/>
    <x v="56"/>
    <x v="11"/>
    <n v="693025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0ECC7-CE55-44AB-81DE-84F68F3F6B9F}" name="TablaDinámica3" cacheId="19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chartFormat="36">
  <location ref="B41:C48" firstHeaderRow="1" firstDataRow="2" firstDataCol="1"/>
  <pivotFields count="24">
    <pivotField showAll="0"/>
    <pivotField numFmtId="14" showAll="0">
      <items count="1001">
        <item x="668"/>
        <item x="957"/>
        <item x="247"/>
        <item x="634"/>
        <item x="342"/>
        <item x="408"/>
        <item x="771"/>
        <item x="148"/>
        <item x="988"/>
        <item x="746"/>
        <item x="718"/>
        <item x="478"/>
        <item x="457"/>
        <item x="376"/>
        <item x="331"/>
        <item x="501"/>
        <item x="264"/>
        <item x="904"/>
        <item x="806"/>
        <item x="585"/>
        <item x="627"/>
        <item x="275"/>
        <item x="752"/>
        <item x="144"/>
        <item x="484"/>
        <item x="57"/>
        <item x="733"/>
        <item x="354"/>
        <item x="318"/>
        <item x="154"/>
        <item x="338"/>
        <item x="235"/>
        <item x="870"/>
        <item x="858"/>
        <item x="518"/>
        <item x="764"/>
        <item x="479"/>
        <item x="446"/>
        <item x="288"/>
        <item x="50"/>
        <item x="639"/>
        <item x="958"/>
        <item x="669"/>
        <item x="868"/>
        <item x="543"/>
        <item x="569"/>
        <item x="443"/>
        <item x="149"/>
        <item x="578"/>
        <item x="931"/>
        <item x="520"/>
        <item x="989"/>
        <item x="485"/>
        <item x="676"/>
        <item x="880"/>
        <item x="563"/>
        <item x="162"/>
        <item x="729"/>
        <item x="823"/>
        <item x="434"/>
        <item x="248"/>
        <item x="687"/>
        <item x="437"/>
        <item x="182"/>
        <item x="323"/>
        <item x="89"/>
        <item x="41"/>
        <item x="172"/>
        <item x="970"/>
        <item x="844"/>
        <item x="419"/>
        <item x="203"/>
        <item x="864"/>
        <item x="305"/>
        <item x="846"/>
        <item x="497"/>
        <item x="339"/>
        <item x="319"/>
        <item x="178"/>
        <item x="223"/>
        <item x="521"/>
        <item x="351"/>
        <item x="836"/>
        <item x="570"/>
        <item x="198"/>
        <item x="213"/>
        <item x="874"/>
        <item x="723"/>
        <item x="649"/>
        <item x="737"/>
        <item x="845"/>
        <item x="681"/>
        <item x="882"/>
        <item x="572"/>
        <item x="46"/>
        <item x="730"/>
        <item x="195"/>
        <item x="425"/>
        <item x="992"/>
        <item x="747"/>
        <item x="403"/>
        <item x="207"/>
        <item x="80"/>
        <item x="85"/>
        <item x="260"/>
        <item x="268"/>
        <item x="945"/>
        <item x="741"/>
        <item x="591"/>
        <item x="979"/>
        <item x="929"/>
        <item x="332"/>
        <item x="129"/>
        <item x="18"/>
        <item x="72"/>
        <item x="371"/>
        <item x="409"/>
        <item x="765"/>
        <item x="239"/>
        <item x="130"/>
        <item x="544"/>
        <item x="586"/>
        <item x="861"/>
        <item x="948"/>
        <item x="545"/>
        <item x="607"/>
        <item x="276"/>
        <item x="28"/>
        <item x="905"/>
        <item x="165"/>
        <item x="34"/>
        <item x="435"/>
        <item x="650"/>
        <item x="302"/>
        <item x="214"/>
        <item x="906"/>
        <item x="899"/>
        <item x="289"/>
        <item x="772"/>
        <item x="847"/>
        <item x="86"/>
        <item x="423"/>
        <item x="414"/>
        <item x="557"/>
        <item x="160"/>
        <item x="286"/>
        <item x="64"/>
        <item x="269"/>
        <item x="995"/>
        <item x="777"/>
        <item x="187"/>
        <item x="281"/>
        <item x="756"/>
        <item x="290"/>
        <item x="373"/>
        <item x="48"/>
        <item x="724"/>
        <item x="793"/>
        <item x="32"/>
        <item x="976"/>
        <item x="92"/>
        <item x="346"/>
        <item x="546"/>
        <item x="815"/>
        <item x="533"/>
        <item x="73"/>
        <item x="360"/>
        <item x="124"/>
        <item x="252"/>
        <item x="430"/>
        <item x="502"/>
        <item x="300"/>
        <item x="277"/>
        <item x="161"/>
        <item x="13"/>
        <item x="761"/>
        <item x="839"/>
        <item x="0"/>
        <item x="180"/>
        <item x="731"/>
        <item x="215"/>
        <item x="118"/>
        <item x="282"/>
        <item x="109"/>
        <item x="460"/>
        <item x="768"/>
        <item x="99"/>
        <item x="651"/>
        <item x="303"/>
        <item x="912"/>
        <item x="865"/>
        <item x="941"/>
        <item x="51"/>
        <item x="900"/>
        <item x="819"/>
        <item x="90"/>
        <item x="604"/>
        <item x="306"/>
        <item x="816"/>
        <item x="436"/>
        <item x="942"/>
        <item x="361"/>
        <item x="971"/>
        <item x="510"/>
        <item x="210"/>
        <item x="575"/>
        <item x="4"/>
        <item x="875"/>
        <item x="830"/>
        <item x="848"/>
        <item x="315"/>
        <item x="558"/>
        <item x="357"/>
        <item x="769"/>
        <item x="581"/>
        <item x="576"/>
        <item x="35"/>
        <item x="892"/>
        <item x="967"/>
        <item x="869"/>
        <item x="480"/>
        <item x="889"/>
        <item x="193"/>
        <item x="81"/>
        <item x="748"/>
        <item x="1"/>
        <item x="611"/>
        <item x="608"/>
        <item x="166"/>
        <item x="391"/>
        <item x="795"/>
        <item x="923"/>
        <item x="420"/>
        <item x="539"/>
        <item x="257"/>
        <item x="493"/>
        <item x="91"/>
        <item x="579"/>
        <item x="377"/>
        <item x="69"/>
        <item x="503"/>
        <item x="893"/>
        <item x="959"/>
        <item x="261"/>
        <item x="106"/>
        <item x="415"/>
        <item x="77"/>
        <item x="358"/>
        <item x="244"/>
        <item x="58"/>
        <item x="254"/>
        <item x="486"/>
        <item x="30"/>
        <item x="36"/>
        <item x="155"/>
        <item x="199"/>
        <item x="762"/>
        <item x="960"/>
        <item x="228"/>
        <item x="656"/>
        <item x="398"/>
        <item x="100"/>
        <item x="547"/>
        <item x="785"/>
        <item x="786"/>
        <item x="125"/>
        <item x="711"/>
        <item x="93"/>
        <item x="548"/>
        <item x="866"/>
        <item x="386"/>
        <item x="504"/>
        <item x="74"/>
        <item x="505"/>
        <item x="612"/>
        <item x="333"/>
        <item x="564"/>
        <item x="7"/>
        <item x="487"/>
        <item x="635"/>
        <item x="374"/>
        <item x="270"/>
        <item x="463"/>
        <item x="249"/>
        <item x="917"/>
        <item x="691"/>
        <item x="301"/>
        <item x="661"/>
        <item x="131"/>
        <item x="362"/>
        <item x="52"/>
        <item x="313"/>
        <item x="37"/>
        <item x="167"/>
        <item x="600"/>
        <item x="169"/>
        <item x="234"/>
        <item x="592"/>
        <item x="107"/>
        <item x="742"/>
        <item x="704"/>
        <item x="464"/>
        <item x="410"/>
        <item x="881"/>
        <item x="883"/>
        <item x="168"/>
        <item x="790"/>
        <item x="454"/>
        <item x="216"/>
        <item x="849"/>
        <item x="42"/>
        <item x="910"/>
        <item x="782"/>
        <item x="367"/>
        <item x="787"/>
        <item x="699"/>
        <item x="688"/>
        <item x="977"/>
        <item x="43"/>
        <item x="465"/>
        <item x="217"/>
        <item x="918"/>
        <item x="295"/>
        <item x="426"/>
        <item x="884"/>
        <item x="421"/>
        <item x="271"/>
        <item x="494"/>
        <item x="413"/>
        <item x="344"/>
        <item x="104"/>
        <item x="112"/>
        <item x="208"/>
        <item x="587"/>
        <item x="743"/>
        <item x="156"/>
        <item x="218"/>
        <item x="44"/>
        <item x="695"/>
        <item x="840"/>
        <item x="571"/>
        <item x="619"/>
        <item x="139"/>
        <item x="802"/>
        <item x="712"/>
        <item x="488"/>
        <item x="511"/>
        <item x="316"/>
        <item x="304"/>
        <item x="8"/>
        <item x="936"/>
        <item x="705"/>
        <item x="343"/>
        <item x="2"/>
        <item x="470"/>
        <item x="657"/>
        <item x="827"/>
        <item x="963"/>
        <item x="871"/>
        <item x="61"/>
        <item x="307"/>
        <item x="588"/>
        <item x="828"/>
        <item x="236"/>
        <item x="662"/>
        <item x="719"/>
        <item x="876"/>
        <item x="237"/>
        <item x="640"/>
        <item x="163"/>
        <item x="983"/>
        <item x="773"/>
        <item x="913"/>
        <item x="283"/>
        <item x="630"/>
        <item x="96"/>
        <item x="438"/>
        <item x="416"/>
        <item x="448"/>
        <item x="620"/>
        <item x="135"/>
        <item x="559"/>
        <item x="31"/>
        <item x="554"/>
        <item x="308"/>
        <item x="833"/>
        <item x="837"/>
        <item x="49"/>
        <item x="734"/>
        <item x="817"/>
        <item x="732"/>
        <item x="593"/>
        <item x="498"/>
        <item x="204"/>
        <item x="984"/>
        <item x="641"/>
        <item x="636"/>
        <item x="368"/>
        <item x="788"/>
        <item x="262"/>
        <item x="364"/>
        <item x="609"/>
        <item x="938"/>
        <item x="850"/>
        <item x="183"/>
        <item x="927"/>
        <item x="841"/>
        <item x="489"/>
        <item x="949"/>
        <item x="291"/>
        <item x="700"/>
        <item x="534"/>
        <item x="461"/>
        <item x="677"/>
        <item x="980"/>
        <item x="613"/>
        <item x="621"/>
        <item x="411"/>
        <item x="219"/>
        <item x="716"/>
        <item x="594"/>
        <item x="240"/>
        <item x="803"/>
        <item x="314"/>
        <item x="365"/>
        <item x="490"/>
        <item x="972"/>
        <item x="646"/>
        <item x="145"/>
        <item x="666"/>
        <item x="862"/>
        <item x="378"/>
        <item x="132"/>
        <item x="522"/>
        <item x="406"/>
        <item x="854"/>
        <item x="19"/>
        <item x="996"/>
        <item x="507"/>
        <item x="188"/>
        <item x="47"/>
        <item x="744"/>
        <item x="427"/>
        <item x="220"/>
        <item x="713"/>
        <item x="753"/>
        <item x="528"/>
        <item x="968"/>
        <item x="757"/>
        <item x="455"/>
        <item x="309"/>
        <item x="950"/>
        <item x="993"/>
        <item x="512"/>
        <item x="94"/>
        <item x="381"/>
        <item x="352"/>
        <item x="355"/>
        <item x="379"/>
        <item x="774"/>
        <item x="119"/>
        <item x="523"/>
        <item x="985"/>
        <item x="541"/>
        <item x="45"/>
        <item x="580"/>
        <item x="725"/>
        <item x="495"/>
        <item x="907"/>
        <item x="317"/>
        <item x="824"/>
        <item x="327"/>
        <item x="919"/>
        <item x="175"/>
        <item x="706"/>
        <item x="961"/>
        <item x="791"/>
        <item x="205"/>
        <item x="422"/>
        <item x="549"/>
        <item x="631"/>
        <item x="229"/>
        <item x="535"/>
        <item x="749"/>
        <item x="328"/>
        <item x="20"/>
        <item x="287"/>
        <item x="114"/>
        <item x="946"/>
        <item x="189"/>
        <item x="890"/>
        <item x="471"/>
        <item x="26"/>
        <item x="820"/>
        <item x="908"/>
        <item x="692"/>
        <item x="190"/>
        <item x="796"/>
        <item x="366"/>
        <item x="701"/>
        <item x="508"/>
        <item x="150"/>
        <item x="577"/>
        <item x="115"/>
        <item x="673"/>
        <item x="509"/>
        <item x="601"/>
        <item x="696"/>
        <item x="990"/>
        <item x="292"/>
        <item x="831"/>
        <item x="78"/>
        <item x="973"/>
        <item x="151"/>
        <item x="120"/>
        <item x="424"/>
        <item x="259"/>
        <item x="38"/>
        <item x="911"/>
        <item x="491"/>
        <item x="708"/>
        <item x="387"/>
        <item x="230"/>
        <item x="783"/>
        <item x="829"/>
        <item x="797"/>
        <item x="59"/>
        <item x="885"/>
        <item x="126"/>
        <item x="663"/>
        <item x="565"/>
        <item x="697"/>
        <item x="428"/>
        <item x="184"/>
        <item x="191"/>
        <item x="779"/>
        <item x="250"/>
        <item x="224"/>
        <item x="101"/>
        <item x="821"/>
        <item x="476"/>
        <item x="622"/>
        <item x="702"/>
        <item x="735"/>
        <item x="238"/>
        <item x="340"/>
        <item x="770"/>
        <item x="329"/>
        <item x="407"/>
        <item x="596"/>
        <item x="914"/>
        <item x="272"/>
        <item x="334"/>
        <item x="466"/>
        <item x="939"/>
        <item x="506"/>
        <item x="404"/>
        <item x="855"/>
        <item x="974"/>
        <item x="962"/>
        <item x="524"/>
        <item x="717"/>
        <item x="664"/>
        <item x="685"/>
        <item x="258"/>
        <item x="678"/>
        <item x="573"/>
        <item x="356"/>
        <item x="943"/>
        <item x="121"/>
        <item x="720"/>
        <item x="472"/>
        <item x="194"/>
        <item x="492"/>
        <item x="667"/>
        <item x="709"/>
        <item x="780"/>
        <item x="335"/>
        <item x="84"/>
        <item x="140"/>
        <item x="293"/>
        <item x="245"/>
        <item x="648"/>
        <item x="200"/>
        <item x="136"/>
        <item x="21"/>
        <item x="605"/>
        <item x="481"/>
        <item x="60"/>
        <item x="728"/>
        <item x="825"/>
        <item x="658"/>
        <item x="467"/>
        <item x="39"/>
        <item x="642"/>
        <item x="670"/>
        <item x="468"/>
        <item x="265"/>
        <item x="781"/>
        <item x="157"/>
        <item x="975"/>
        <item x="838"/>
        <item x="87"/>
        <item x="458"/>
        <item x="529"/>
        <item x="221"/>
        <item x="431"/>
        <item x="369"/>
        <item x="872"/>
        <item x="754"/>
        <item x="5"/>
        <item x="894"/>
        <item x="647"/>
        <item x="920"/>
        <item x="721"/>
        <item x="566"/>
        <item x="582"/>
        <item x="944"/>
        <item x="915"/>
        <item x="632"/>
        <item x="628"/>
        <item x="530"/>
        <item x="320"/>
        <item x="583"/>
        <item x="158"/>
        <item x="231"/>
        <item x="536"/>
        <item x="322"/>
        <item x="726"/>
        <item x="266"/>
        <item x="179"/>
        <item x="981"/>
        <item x="537"/>
        <item x="241"/>
        <item x="951"/>
        <item x="27"/>
        <item x="192"/>
        <item x="22"/>
        <item x="170"/>
        <item x="916"/>
        <item x="273"/>
        <item x="171"/>
        <item x="347"/>
        <item x="952"/>
        <item x="449"/>
        <item x="947"/>
        <item x="851"/>
        <item x="901"/>
        <item x="689"/>
        <item x="477"/>
        <item x="602"/>
        <item x="834"/>
        <item x="842"/>
        <item x="321"/>
        <item x="116"/>
        <item x="450"/>
        <item x="392"/>
        <item x="263"/>
        <item x="986"/>
        <item x="324"/>
        <item x="399"/>
        <item x="686"/>
        <item x="146"/>
        <item x="637"/>
        <item x="809"/>
        <item x="758"/>
        <item x="665"/>
        <item x="921"/>
        <item x="173"/>
        <item x="176"/>
        <item x="722"/>
        <item x="105"/>
        <item x="930"/>
        <item x="886"/>
        <item x="629"/>
        <item x="196"/>
        <item x="141"/>
        <item x="439"/>
        <item x="440"/>
        <item x="707"/>
        <item x="255"/>
        <item x="372"/>
        <item x="638"/>
        <item x="964"/>
        <item x="598"/>
        <item x="79"/>
        <item x="991"/>
        <item x="811"/>
        <item x="382"/>
        <item x="88"/>
        <item x="633"/>
        <item x="23"/>
        <item x="225"/>
        <item x="174"/>
        <item x="388"/>
        <item x="159"/>
        <item x="113"/>
        <item x="610"/>
        <item x="584"/>
        <item x="674"/>
        <item x="137"/>
        <item x="298"/>
        <item x="9"/>
        <item x="750"/>
        <item x="924"/>
        <item x="736"/>
        <item x="766"/>
        <item x="859"/>
        <item x="256"/>
        <item x="122"/>
        <item x="574"/>
        <item x="994"/>
        <item x="152"/>
        <item x="451"/>
        <item x="330"/>
        <item x="513"/>
        <item x="818"/>
        <item x="452"/>
        <item x="835"/>
        <item x="278"/>
        <item x="922"/>
        <item x="555"/>
        <item x="538"/>
        <item x="209"/>
        <item x="614"/>
        <item x="444"/>
        <item x="432"/>
        <item x="745"/>
        <item x="336"/>
        <item x="997"/>
        <item x="550"/>
        <item x="514"/>
        <item x="759"/>
        <item x="955"/>
        <item x="389"/>
        <item x="251"/>
        <item x="348"/>
        <item x="310"/>
        <item x="185"/>
        <item x="940"/>
        <item x="117"/>
        <item x="714"/>
        <item x="14"/>
        <item x="763"/>
        <item x="540"/>
        <item x="345"/>
        <item x="142"/>
        <item x="643"/>
        <item x="456"/>
        <item x="789"/>
        <item x="615"/>
        <item x="417"/>
        <item x="778"/>
        <item x="441"/>
        <item x="54"/>
        <item x="623"/>
        <item x="143"/>
        <item x="599"/>
        <item x="680"/>
        <item x="226"/>
        <item x="393"/>
        <item x="810"/>
        <item x="433"/>
        <item x="10"/>
        <item x="978"/>
        <item x="895"/>
        <item x="775"/>
        <item x="110"/>
        <item x="525"/>
        <item x="469"/>
        <item x="62"/>
        <item x="519"/>
        <item x="383"/>
        <item x="644"/>
        <item x="380"/>
        <item x="133"/>
        <item x="15"/>
        <item x="589"/>
        <item x="526"/>
        <item x="211"/>
        <item x="6"/>
        <item x="760"/>
        <item x="953"/>
        <item x="982"/>
        <item x="29"/>
        <item x="499"/>
        <item x="164"/>
        <item x="515"/>
        <item x="925"/>
        <item x="832"/>
        <item x="560"/>
        <item x="965"/>
        <item x="212"/>
        <item x="496"/>
        <item x="75"/>
        <item x="767"/>
        <item x="659"/>
        <item x="63"/>
        <item x="55"/>
        <item x="429"/>
        <item x="363"/>
        <item x="16"/>
        <item x="932"/>
        <item x="473"/>
        <item x="246"/>
        <item x="462"/>
        <item x="926"/>
        <item x="412"/>
        <item x="812"/>
        <item x="296"/>
        <item x="738"/>
        <item x="325"/>
        <item x="567"/>
        <item x="597"/>
        <item x="703"/>
        <item x="134"/>
        <item x="652"/>
        <item x="891"/>
        <item x="826"/>
        <item x="860"/>
        <item x="813"/>
        <item x="24"/>
        <item x="626"/>
        <item x="909"/>
        <item x="804"/>
        <item x="856"/>
        <item x="698"/>
        <item x="108"/>
        <item x="933"/>
        <item x="56"/>
        <item x="181"/>
        <item x="359"/>
        <item x="294"/>
        <item x="660"/>
        <item x="400"/>
        <item x="867"/>
        <item x="65"/>
        <item x="679"/>
        <item x="401"/>
        <item x="66"/>
        <item x="516"/>
        <item x="956"/>
        <item x="459"/>
        <item x="857"/>
        <item x="127"/>
        <item x="527"/>
        <item x="784"/>
        <item x="715"/>
        <item x="53"/>
        <item x="896"/>
        <item x="794"/>
        <item x="887"/>
        <item x="671"/>
        <item x="798"/>
        <item x="402"/>
        <item x="843"/>
        <item x="561"/>
        <item x="405"/>
        <item x="934"/>
        <item x="25"/>
        <item x="969"/>
        <item x="998"/>
        <item x="624"/>
        <item x="197"/>
        <item x="279"/>
        <item x="3"/>
        <item x="394"/>
        <item x="11"/>
        <item x="645"/>
        <item x="102"/>
        <item x="863"/>
        <item x="153"/>
        <item x="595"/>
        <item x="395"/>
        <item x="799"/>
        <item x="350"/>
        <item x="693"/>
        <item x="897"/>
        <item x="253"/>
        <item x="682"/>
        <item x="67"/>
        <item x="138"/>
        <item x="617"/>
        <item x="70"/>
        <item x="103"/>
        <item x="274"/>
        <item x="97"/>
        <item x="590"/>
        <item x="299"/>
        <item x="82"/>
        <item x="242"/>
        <item x="186"/>
        <item x="807"/>
        <item x="267"/>
        <item x="987"/>
        <item x="898"/>
        <item x="396"/>
        <item x="297"/>
        <item x="232"/>
        <item x="375"/>
        <item x="222"/>
        <item x="442"/>
        <item x="12"/>
        <item x="800"/>
        <item x="877"/>
        <item x="206"/>
        <item x="353"/>
        <item x="95"/>
        <item x="40"/>
        <item x="562"/>
        <item x="280"/>
        <item x="311"/>
        <item x="873"/>
        <item x="822"/>
        <item x="390"/>
        <item x="653"/>
        <item x="808"/>
        <item x="902"/>
        <item x="312"/>
        <item x="683"/>
        <item x="453"/>
        <item x="98"/>
        <item x="852"/>
        <item x="500"/>
        <item x="177"/>
        <item x="937"/>
        <item x="616"/>
        <item x="201"/>
        <item x="447"/>
        <item x="935"/>
        <item x="903"/>
        <item x="202"/>
        <item x="397"/>
        <item x="531"/>
        <item x="542"/>
        <item x="690"/>
        <item x="654"/>
        <item x="710"/>
        <item x="418"/>
        <item x="739"/>
        <item x="384"/>
        <item x="672"/>
        <item x="17"/>
        <item x="33"/>
        <item x="370"/>
        <item x="776"/>
        <item x="684"/>
        <item x="792"/>
        <item x="227"/>
        <item x="928"/>
        <item x="751"/>
        <item x="349"/>
        <item x="888"/>
        <item x="625"/>
        <item x="878"/>
        <item x="694"/>
        <item x="147"/>
        <item x="999"/>
        <item x="128"/>
        <item x="76"/>
        <item x="474"/>
        <item x="284"/>
        <item x="966"/>
        <item x="111"/>
        <item x="814"/>
        <item x="805"/>
        <item x="482"/>
        <item x="801"/>
        <item x="675"/>
        <item x="68"/>
        <item x="445"/>
        <item x="483"/>
        <item x="233"/>
        <item x="71"/>
        <item x="727"/>
        <item x="337"/>
        <item x="568"/>
        <item x="475"/>
        <item x="83"/>
        <item x="552"/>
        <item x="603"/>
        <item x="326"/>
        <item x="655"/>
        <item x="285"/>
        <item x="755"/>
        <item x="740"/>
        <item x="532"/>
        <item x="243"/>
        <item x="341"/>
        <item x="954"/>
        <item x="556"/>
        <item x="553"/>
        <item x="618"/>
        <item x="123"/>
        <item x="853"/>
        <item x="606"/>
        <item x="551"/>
        <item x="517"/>
        <item x="385"/>
        <item x="8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numFmtId="2" showAll="0"/>
    <pivotField showAll="0"/>
    <pivotField showAll="0"/>
    <pivotField dataField="1"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h="1" x="0"/>
        <item h="1" x="1"/>
        <item h="1" x="2"/>
        <item x="3"/>
        <item h="1" x="4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3"/>
  </colFields>
  <colItems count="1">
    <i>
      <x v="3"/>
    </i>
  </colItems>
  <dataFields count="1">
    <dataField name="Fraccion de ventas totales por categoria" fld="19" baseField="0" baseItem="0"/>
  </dataFields>
  <formats count="2">
    <format dxfId="153">
      <pivotArea field="23" type="button" dataOnly="0" labelOnly="1" outline="0" axis="axisCol" fieldPosition="0"/>
    </format>
    <format dxfId="152">
      <pivotArea dataOnly="0" labelOnly="1" outline="0" axis="axisValues" fieldPosition="0"/>
    </format>
  </formats>
  <chartFormats count="27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5" format="28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23" count="1" selected="0">
            <x v="3"/>
          </reference>
        </references>
      </pivotArea>
    </chartFormat>
    <chartFormat chart="5" format="29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23" count="1" selected="0">
            <x v="3"/>
          </reference>
        </references>
      </pivotArea>
    </chartFormat>
    <chartFormat chart="5" format="30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23" count="1" selected="0">
            <x v="3"/>
          </reference>
        </references>
      </pivotArea>
    </chartFormat>
    <chartFormat chart="5" format="31">
      <pivotArea type="data" outline="0" fieldPosition="0">
        <references count="3">
          <reference field="4294967294" count="1" selected="0">
            <x v="0"/>
          </reference>
          <reference field="13" count="1" selected="0">
            <x v="3"/>
          </reference>
          <reference field="23" count="1" selected="0">
            <x v="3"/>
          </reference>
        </references>
      </pivotArea>
    </chartFormat>
    <chartFormat chart="5" format="32">
      <pivotArea type="data" outline="0" fieldPosition="0">
        <references count="3">
          <reference field="4294967294" count="1" selected="0">
            <x v="0"/>
          </reference>
          <reference field="13" count="1" selected="0">
            <x v="4"/>
          </reference>
          <reference field="23" count="1" selected="0">
            <x v="3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58A3D-87F9-4E78-93EC-025F5C418534}" name="TablaDinámica9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R41:V55" firstHeaderRow="1" firstDataRow="2" firstDataCol="1"/>
  <pivotFields count="24">
    <pivotField showAll="0"/>
    <pivotField numFmtId="14" showAll="0">
      <items count="1001">
        <item x="668"/>
        <item x="957"/>
        <item x="247"/>
        <item x="634"/>
        <item x="342"/>
        <item x="408"/>
        <item x="771"/>
        <item x="148"/>
        <item x="988"/>
        <item x="746"/>
        <item x="718"/>
        <item x="478"/>
        <item x="457"/>
        <item x="376"/>
        <item x="331"/>
        <item x="501"/>
        <item x="264"/>
        <item x="904"/>
        <item x="806"/>
        <item x="585"/>
        <item x="627"/>
        <item x="275"/>
        <item x="752"/>
        <item x="144"/>
        <item x="484"/>
        <item x="57"/>
        <item x="733"/>
        <item x="354"/>
        <item x="318"/>
        <item x="154"/>
        <item x="338"/>
        <item x="235"/>
        <item x="870"/>
        <item x="858"/>
        <item x="518"/>
        <item x="764"/>
        <item x="479"/>
        <item x="446"/>
        <item x="288"/>
        <item x="50"/>
        <item x="639"/>
        <item x="958"/>
        <item x="669"/>
        <item x="868"/>
        <item x="543"/>
        <item x="569"/>
        <item x="443"/>
        <item x="149"/>
        <item x="578"/>
        <item x="931"/>
        <item x="520"/>
        <item x="989"/>
        <item x="485"/>
        <item x="676"/>
        <item x="880"/>
        <item x="563"/>
        <item x="162"/>
        <item x="729"/>
        <item x="823"/>
        <item x="434"/>
        <item x="248"/>
        <item x="687"/>
        <item x="437"/>
        <item x="182"/>
        <item x="323"/>
        <item x="89"/>
        <item x="41"/>
        <item x="172"/>
        <item x="970"/>
        <item x="844"/>
        <item x="419"/>
        <item x="203"/>
        <item x="864"/>
        <item x="305"/>
        <item x="846"/>
        <item x="497"/>
        <item x="339"/>
        <item x="319"/>
        <item x="178"/>
        <item x="223"/>
        <item x="521"/>
        <item x="351"/>
        <item x="836"/>
        <item x="570"/>
        <item x="198"/>
        <item x="213"/>
        <item x="874"/>
        <item x="723"/>
        <item x="649"/>
        <item x="737"/>
        <item x="845"/>
        <item x="681"/>
        <item x="882"/>
        <item x="572"/>
        <item x="46"/>
        <item x="730"/>
        <item x="195"/>
        <item x="425"/>
        <item x="992"/>
        <item x="747"/>
        <item x="403"/>
        <item x="207"/>
        <item x="80"/>
        <item x="85"/>
        <item x="260"/>
        <item x="268"/>
        <item x="945"/>
        <item x="741"/>
        <item x="591"/>
        <item x="979"/>
        <item x="929"/>
        <item x="332"/>
        <item x="129"/>
        <item x="18"/>
        <item x="72"/>
        <item x="371"/>
        <item x="409"/>
        <item x="765"/>
        <item x="239"/>
        <item x="130"/>
        <item x="544"/>
        <item x="586"/>
        <item x="861"/>
        <item x="948"/>
        <item x="545"/>
        <item x="607"/>
        <item x="276"/>
        <item x="28"/>
        <item x="905"/>
        <item x="165"/>
        <item x="34"/>
        <item x="435"/>
        <item x="650"/>
        <item x="302"/>
        <item x="214"/>
        <item x="906"/>
        <item x="899"/>
        <item x="289"/>
        <item x="772"/>
        <item x="847"/>
        <item x="86"/>
        <item x="423"/>
        <item x="414"/>
        <item x="557"/>
        <item x="160"/>
        <item x="286"/>
        <item x="64"/>
        <item x="269"/>
        <item x="995"/>
        <item x="777"/>
        <item x="187"/>
        <item x="281"/>
        <item x="756"/>
        <item x="290"/>
        <item x="373"/>
        <item x="48"/>
        <item x="724"/>
        <item x="793"/>
        <item x="32"/>
        <item x="976"/>
        <item x="92"/>
        <item x="346"/>
        <item x="546"/>
        <item x="815"/>
        <item x="533"/>
        <item x="73"/>
        <item x="360"/>
        <item x="124"/>
        <item x="252"/>
        <item x="430"/>
        <item x="502"/>
        <item x="300"/>
        <item x="277"/>
        <item x="161"/>
        <item x="13"/>
        <item x="761"/>
        <item x="839"/>
        <item x="0"/>
        <item x="180"/>
        <item x="731"/>
        <item x="215"/>
        <item x="118"/>
        <item x="282"/>
        <item x="109"/>
        <item x="460"/>
        <item x="768"/>
        <item x="99"/>
        <item x="651"/>
        <item x="303"/>
        <item x="912"/>
        <item x="865"/>
        <item x="941"/>
        <item x="51"/>
        <item x="900"/>
        <item x="819"/>
        <item x="90"/>
        <item x="604"/>
        <item x="306"/>
        <item x="816"/>
        <item x="436"/>
        <item x="942"/>
        <item x="361"/>
        <item x="971"/>
        <item x="510"/>
        <item x="210"/>
        <item x="575"/>
        <item x="4"/>
        <item x="875"/>
        <item x="830"/>
        <item x="848"/>
        <item x="315"/>
        <item x="558"/>
        <item x="357"/>
        <item x="769"/>
        <item x="581"/>
        <item x="576"/>
        <item x="35"/>
        <item x="892"/>
        <item x="967"/>
        <item x="869"/>
        <item x="480"/>
        <item x="889"/>
        <item x="193"/>
        <item x="81"/>
        <item x="748"/>
        <item x="1"/>
        <item x="611"/>
        <item x="608"/>
        <item x="166"/>
        <item x="391"/>
        <item x="795"/>
        <item x="923"/>
        <item x="420"/>
        <item x="539"/>
        <item x="257"/>
        <item x="493"/>
        <item x="91"/>
        <item x="579"/>
        <item x="377"/>
        <item x="69"/>
        <item x="503"/>
        <item x="893"/>
        <item x="959"/>
        <item x="261"/>
        <item x="106"/>
        <item x="415"/>
        <item x="77"/>
        <item x="358"/>
        <item x="244"/>
        <item x="58"/>
        <item x="254"/>
        <item x="486"/>
        <item x="30"/>
        <item x="36"/>
        <item x="155"/>
        <item x="199"/>
        <item x="762"/>
        <item x="960"/>
        <item x="228"/>
        <item x="656"/>
        <item x="398"/>
        <item x="100"/>
        <item x="547"/>
        <item x="785"/>
        <item x="786"/>
        <item x="125"/>
        <item x="711"/>
        <item x="93"/>
        <item x="548"/>
        <item x="866"/>
        <item x="386"/>
        <item x="504"/>
        <item x="74"/>
        <item x="505"/>
        <item x="612"/>
        <item x="333"/>
        <item x="564"/>
        <item x="7"/>
        <item x="487"/>
        <item x="635"/>
        <item x="374"/>
        <item x="270"/>
        <item x="463"/>
        <item x="249"/>
        <item x="917"/>
        <item x="691"/>
        <item x="301"/>
        <item x="661"/>
        <item x="131"/>
        <item x="362"/>
        <item x="52"/>
        <item x="313"/>
        <item x="37"/>
        <item x="167"/>
        <item x="600"/>
        <item x="169"/>
        <item x="234"/>
        <item x="592"/>
        <item x="107"/>
        <item x="742"/>
        <item x="704"/>
        <item x="464"/>
        <item x="410"/>
        <item x="881"/>
        <item x="883"/>
        <item x="168"/>
        <item x="790"/>
        <item x="454"/>
        <item x="216"/>
        <item x="849"/>
        <item x="42"/>
        <item x="910"/>
        <item x="782"/>
        <item x="367"/>
        <item x="787"/>
        <item x="699"/>
        <item x="688"/>
        <item x="977"/>
        <item x="43"/>
        <item x="465"/>
        <item x="217"/>
        <item x="918"/>
        <item x="295"/>
        <item x="426"/>
        <item x="884"/>
        <item x="421"/>
        <item x="271"/>
        <item x="494"/>
        <item x="413"/>
        <item x="344"/>
        <item x="104"/>
        <item x="112"/>
        <item x="208"/>
        <item x="587"/>
        <item x="743"/>
        <item x="156"/>
        <item x="218"/>
        <item x="44"/>
        <item x="695"/>
        <item x="840"/>
        <item x="571"/>
        <item x="619"/>
        <item x="139"/>
        <item x="802"/>
        <item x="712"/>
        <item x="488"/>
        <item x="511"/>
        <item x="316"/>
        <item x="304"/>
        <item x="8"/>
        <item x="936"/>
        <item x="705"/>
        <item x="343"/>
        <item x="2"/>
        <item x="470"/>
        <item x="657"/>
        <item x="827"/>
        <item x="963"/>
        <item x="871"/>
        <item x="61"/>
        <item x="307"/>
        <item x="588"/>
        <item x="828"/>
        <item x="236"/>
        <item x="662"/>
        <item x="719"/>
        <item x="876"/>
        <item x="237"/>
        <item x="640"/>
        <item x="163"/>
        <item x="983"/>
        <item x="773"/>
        <item x="913"/>
        <item x="283"/>
        <item x="630"/>
        <item x="96"/>
        <item x="438"/>
        <item x="416"/>
        <item x="448"/>
        <item x="620"/>
        <item x="135"/>
        <item x="559"/>
        <item x="31"/>
        <item x="554"/>
        <item x="308"/>
        <item x="833"/>
        <item x="837"/>
        <item x="49"/>
        <item x="734"/>
        <item x="817"/>
        <item x="732"/>
        <item x="593"/>
        <item x="498"/>
        <item x="204"/>
        <item x="984"/>
        <item x="641"/>
        <item x="636"/>
        <item x="368"/>
        <item x="788"/>
        <item x="262"/>
        <item x="364"/>
        <item x="609"/>
        <item x="938"/>
        <item x="850"/>
        <item x="183"/>
        <item x="927"/>
        <item x="841"/>
        <item x="489"/>
        <item x="949"/>
        <item x="291"/>
        <item x="700"/>
        <item x="534"/>
        <item x="461"/>
        <item x="677"/>
        <item x="980"/>
        <item x="613"/>
        <item x="621"/>
        <item x="411"/>
        <item x="219"/>
        <item x="716"/>
        <item x="594"/>
        <item x="240"/>
        <item x="803"/>
        <item x="314"/>
        <item x="365"/>
        <item x="490"/>
        <item x="972"/>
        <item x="646"/>
        <item x="145"/>
        <item x="666"/>
        <item x="862"/>
        <item x="378"/>
        <item x="132"/>
        <item x="522"/>
        <item x="406"/>
        <item x="854"/>
        <item x="19"/>
        <item x="996"/>
        <item x="507"/>
        <item x="188"/>
        <item x="47"/>
        <item x="744"/>
        <item x="427"/>
        <item x="220"/>
        <item x="713"/>
        <item x="753"/>
        <item x="528"/>
        <item x="968"/>
        <item x="757"/>
        <item x="455"/>
        <item x="309"/>
        <item x="950"/>
        <item x="993"/>
        <item x="512"/>
        <item x="94"/>
        <item x="381"/>
        <item x="352"/>
        <item x="355"/>
        <item x="379"/>
        <item x="774"/>
        <item x="119"/>
        <item x="523"/>
        <item x="985"/>
        <item x="541"/>
        <item x="45"/>
        <item x="580"/>
        <item x="725"/>
        <item x="495"/>
        <item x="907"/>
        <item x="317"/>
        <item x="824"/>
        <item x="327"/>
        <item x="919"/>
        <item x="175"/>
        <item x="706"/>
        <item x="961"/>
        <item x="791"/>
        <item x="205"/>
        <item x="422"/>
        <item x="549"/>
        <item x="631"/>
        <item x="229"/>
        <item x="535"/>
        <item x="749"/>
        <item x="328"/>
        <item x="20"/>
        <item x="287"/>
        <item x="114"/>
        <item x="946"/>
        <item x="189"/>
        <item x="890"/>
        <item x="471"/>
        <item x="26"/>
        <item x="820"/>
        <item x="908"/>
        <item x="692"/>
        <item x="190"/>
        <item x="796"/>
        <item x="366"/>
        <item x="701"/>
        <item x="508"/>
        <item x="150"/>
        <item x="577"/>
        <item x="115"/>
        <item x="673"/>
        <item x="509"/>
        <item x="601"/>
        <item x="696"/>
        <item x="990"/>
        <item x="292"/>
        <item x="831"/>
        <item x="78"/>
        <item x="973"/>
        <item x="151"/>
        <item x="120"/>
        <item x="424"/>
        <item x="259"/>
        <item x="38"/>
        <item x="911"/>
        <item x="491"/>
        <item x="708"/>
        <item x="387"/>
        <item x="230"/>
        <item x="783"/>
        <item x="829"/>
        <item x="797"/>
        <item x="59"/>
        <item x="885"/>
        <item x="126"/>
        <item x="663"/>
        <item x="565"/>
        <item x="697"/>
        <item x="428"/>
        <item x="184"/>
        <item x="191"/>
        <item x="779"/>
        <item x="250"/>
        <item x="224"/>
        <item x="101"/>
        <item x="821"/>
        <item x="476"/>
        <item x="622"/>
        <item x="702"/>
        <item x="735"/>
        <item x="238"/>
        <item x="340"/>
        <item x="770"/>
        <item x="329"/>
        <item x="407"/>
        <item x="596"/>
        <item x="914"/>
        <item x="272"/>
        <item x="334"/>
        <item x="466"/>
        <item x="939"/>
        <item x="506"/>
        <item x="404"/>
        <item x="855"/>
        <item x="974"/>
        <item x="962"/>
        <item x="524"/>
        <item x="717"/>
        <item x="664"/>
        <item x="685"/>
        <item x="258"/>
        <item x="678"/>
        <item x="573"/>
        <item x="356"/>
        <item x="943"/>
        <item x="121"/>
        <item x="720"/>
        <item x="472"/>
        <item x="194"/>
        <item x="492"/>
        <item x="667"/>
        <item x="709"/>
        <item x="780"/>
        <item x="335"/>
        <item x="84"/>
        <item x="140"/>
        <item x="293"/>
        <item x="245"/>
        <item x="648"/>
        <item x="200"/>
        <item x="136"/>
        <item x="21"/>
        <item x="605"/>
        <item x="481"/>
        <item x="60"/>
        <item x="728"/>
        <item x="825"/>
        <item x="658"/>
        <item x="467"/>
        <item x="39"/>
        <item x="642"/>
        <item x="670"/>
        <item x="468"/>
        <item x="265"/>
        <item x="781"/>
        <item x="157"/>
        <item x="975"/>
        <item x="838"/>
        <item x="87"/>
        <item x="458"/>
        <item x="529"/>
        <item x="221"/>
        <item x="431"/>
        <item x="369"/>
        <item x="872"/>
        <item x="754"/>
        <item x="5"/>
        <item x="894"/>
        <item x="647"/>
        <item x="920"/>
        <item x="721"/>
        <item x="566"/>
        <item x="582"/>
        <item x="944"/>
        <item x="915"/>
        <item x="632"/>
        <item x="628"/>
        <item x="530"/>
        <item x="320"/>
        <item x="583"/>
        <item x="158"/>
        <item x="231"/>
        <item x="536"/>
        <item x="322"/>
        <item x="726"/>
        <item x="266"/>
        <item x="179"/>
        <item x="981"/>
        <item x="537"/>
        <item x="241"/>
        <item x="951"/>
        <item x="27"/>
        <item x="192"/>
        <item x="22"/>
        <item x="170"/>
        <item x="916"/>
        <item x="273"/>
        <item x="171"/>
        <item x="347"/>
        <item x="952"/>
        <item x="449"/>
        <item x="947"/>
        <item x="851"/>
        <item x="901"/>
        <item x="689"/>
        <item x="477"/>
        <item x="602"/>
        <item x="834"/>
        <item x="842"/>
        <item x="321"/>
        <item x="116"/>
        <item x="450"/>
        <item x="392"/>
        <item x="263"/>
        <item x="986"/>
        <item x="324"/>
        <item x="399"/>
        <item x="686"/>
        <item x="146"/>
        <item x="637"/>
        <item x="809"/>
        <item x="758"/>
        <item x="665"/>
        <item x="921"/>
        <item x="173"/>
        <item x="176"/>
        <item x="722"/>
        <item x="105"/>
        <item x="930"/>
        <item x="886"/>
        <item x="629"/>
        <item x="196"/>
        <item x="141"/>
        <item x="439"/>
        <item x="440"/>
        <item x="707"/>
        <item x="255"/>
        <item x="372"/>
        <item x="638"/>
        <item x="964"/>
        <item x="598"/>
        <item x="79"/>
        <item x="991"/>
        <item x="811"/>
        <item x="382"/>
        <item x="88"/>
        <item x="633"/>
        <item x="23"/>
        <item x="225"/>
        <item x="174"/>
        <item x="388"/>
        <item x="159"/>
        <item x="113"/>
        <item x="610"/>
        <item x="584"/>
        <item x="674"/>
        <item x="137"/>
        <item x="298"/>
        <item x="9"/>
        <item x="750"/>
        <item x="924"/>
        <item x="736"/>
        <item x="766"/>
        <item x="859"/>
        <item x="256"/>
        <item x="122"/>
        <item x="574"/>
        <item x="994"/>
        <item x="152"/>
        <item x="451"/>
        <item x="330"/>
        <item x="513"/>
        <item x="818"/>
        <item x="452"/>
        <item x="835"/>
        <item x="278"/>
        <item x="922"/>
        <item x="555"/>
        <item x="538"/>
        <item x="209"/>
        <item x="614"/>
        <item x="444"/>
        <item x="432"/>
        <item x="745"/>
        <item x="336"/>
        <item x="997"/>
        <item x="550"/>
        <item x="514"/>
        <item x="759"/>
        <item x="955"/>
        <item x="389"/>
        <item x="251"/>
        <item x="348"/>
        <item x="310"/>
        <item x="185"/>
        <item x="940"/>
        <item x="117"/>
        <item x="714"/>
        <item x="14"/>
        <item x="763"/>
        <item x="540"/>
        <item x="345"/>
        <item x="142"/>
        <item x="643"/>
        <item x="456"/>
        <item x="789"/>
        <item x="615"/>
        <item x="417"/>
        <item x="778"/>
        <item x="441"/>
        <item x="54"/>
        <item x="623"/>
        <item x="143"/>
        <item x="599"/>
        <item x="680"/>
        <item x="226"/>
        <item x="393"/>
        <item x="810"/>
        <item x="433"/>
        <item x="10"/>
        <item x="978"/>
        <item x="895"/>
        <item x="775"/>
        <item x="110"/>
        <item x="525"/>
        <item x="469"/>
        <item x="62"/>
        <item x="519"/>
        <item x="383"/>
        <item x="644"/>
        <item x="380"/>
        <item x="133"/>
        <item x="15"/>
        <item x="589"/>
        <item x="526"/>
        <item x="211"/>
        <item x="6"/>
        <item x="760"/>
        <item x="953"/>
        <item x="982"/>
        <item x="29"/>
        <item x="499"/>
        <item x="164"/>
        <item x="515"/>
        <item x="925"/>
        <item x="832"/>
        <item x="560"/>
        <item x="965"/>
        <item x="212"/>
        <item x="496"/>
        <item x="75"/>
        <item x="767"/>
        <item x="659"/>
        <item x="63"/>
        <item x="55"/>
        <item x="429"/>
        <item x="363"/>
        <item x="16"/>
        <item x="932"/>
        <item x="473"/>
        <item x="246"/>
        <item x="462"/>
        <item x="926"/>
        <item x="412"/>
        <item x="812"/>
        <item x="296"/>
        <item x="738"/>
        <item x="325"/>
        <item x="567"/>
        <item x="597"/>
        <item x="703"/>
        <item x="134"/>
        <item x="652"/>
        <item x="891"/>
        <item x="826"/>
        <item x="860"/>
        <item x="813"/>
        <item x="24"/>
        <item x="626"/>
        <item x="909"/>
        <item x="804"/>
        <item x="856"/>
        <item x="698"/>
        <item x="108"/>
        <item x="933"/>
        <item x="56"/>
        <item x="181"/>
        <item x="359"/>
        <item x="294"/>
        <item x="660"/>
        <item x="400"/>
        <item x="867"/>
        <item x="65"/>
        <item x="679"/>
        <item x="401"/>
        <item x="66"/>
        <item x="516"/>
        <item x="956"/>
        <item x="459"/>
        <item x="857"/>
        <item x="127"/>
        <item x="527"/>
        <item x="784"/>
        <item x="715"/>
        <item x="53"/>
        <item x="896"/>
        <item x="794"/>
        <item x="887"/>
        <item x="671"/>
        <item x="798"/>
        <item x="402"/>
        <item x="843"/>
        <item x="561"/>
        <item x="405"/>
        <item x="934"/>
        <item x="25"/>
        <item x="969"/>
        <item x="998"/>
        <item x="624"/>
        <item x="197"/>
        <item x="279"/>
        <item x="3"/>
        <item x="394"/>
        <item x="11"/>
        <item x="645"/>
        <item x="102"/>
        <item x="863"/>
        <item x="153"/>
        <item x="595"/>
        <item x="395"/>
        <item x="799"/>
        <item x="350"/>
        <item x="693"/>
        <item x="897"/>
        <item x="253"/>
        <item x="682"/>
        <item x="67"/>
        <item x="138"/>
        <item x="617"/>
        <item x="70"/>
        <item x="103"/>
        <item x="274"/>
        <item x="97"/>
        <item x="590"/>
        <item x="299"/>
        <item x="82"/>
        <item x="242"/>
        <item x="186"/>
        <item x="807"/>
        <item x="267"/>
        <item x="987"/>
        <item x="898"/>
        <item x="396"/>
        <item x="297"/>
        <item x="232"/>
        <item x="375"/>
        <item x="222"/>
        <item x="442"/>
        <item x="12"/>
        <item x="800"/>
        <item x="877"/>
        <item x="206"/>
        <item x="353"/>
        <item x="95"/>
        <item x="40"/>
        <item x="562"/>
        <item x="280"/>
        <item x="311"/>
        <item x="873"/>
        <item x="822"/>
        <item x="390"/>
        <item x="653"/>
        <item x="808"/>
        <item x="902"/>
        <item x="312"/>
        <item x="683"/>
        <item x="453"/>
        <item x="98"/>
        <item x="852"/>
        <item x="500"/>
        <item x="177"/>
        <item x="937"/>
        <item x="616"/>
        <item x="201"/>
        <item x="447"/>
        <item x="935"/>
        <item x="903"/>
        <item x="202"/>
        <item x="397"/>
        <item x="531"/>
        <item x="542"/>
        <item x="690"/>
        <item x="654"/>
        <item x="710"/>
        <item x="418"/>
        <item x="739"/>
        <item x="384"/>
        <item x="672"/>
        <item x="17"/>
        <item x="33"/>
        <item x="370"/>
        <item x="776"/>
        <item x="684"/>
        <item x="792"/>
        <item x="227"/>
        <item x="928"/>
        <item x="751"/>
        <item x="349"/>
        <item x="888"/>
        <item x="625"/>
        <item x="878"/>
        <item x="694"/>
        <item x="147"/>
        <item x="999"/>
        <item x="128"/>
        <item x="76"/>
        <item x="474"/>
        <item x="284"/>
        <item x="966"/>
        <item x="111"/>
        <item x="814"/>
        <item x="805"/>
        <item x="482"/>
        <item x="801"/>
        <item x="675"/>
        <item x="68"/>
        <item x="445"/>
        <item x="483"/>
        <item x="233"/>
        <item x="71"/>
        <item x="727"/>
        <item x="337"/>
        <item x="568"/>
        <item x="475"/>
        <item x="83"/>
        <item x="552"/>
        <item x="603"/>
        <item x="326"/>
        <item x="655"/>
        <item x="285"/>
        <item x="755"/>
        <item x="740"/>
        <item x="532"/>
        <item x="243"/>
        <item x="341"/>
        <item x="954"/>
        <item x="556"/>
        <item x="553"/>
        <item x="618"/>
        <item x="123"/>
        <item x="853"/>
        <item x="606"/>
        <item x="551"/>
        <item x="517"/>
        <item x="385"/>
        <item x="8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dragToRow="0" dragToCol="0" dragToPage="0"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3"/>
  </colFields>
  <colItems count="4">
    <i>
      <x v="1"/>
    </i>
    <i>
      <x v="2"/>
    </i>
    <i>
      <x v="3"/>
    </i>
    <i t="grand">
      <x/>
    </i>
  </colItems>
  <dataFields count="1">
    <dataField name="Evolucion de ventas a travez del año" fld="19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E2E5F-391D-4BC9-853D-CC81DCC353E5}" name="TablaDinámica5" cacheId="19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chartFormat="8">
  <location ref="G41:J79" firstHeaderRow="1" firstDataRow="2" firstDataCol="1"/>
  <pivotFields count="24">
    <pivotField showAll="0"/>
    <pivotField numFmtId="14" showAll="0">
      <items count="1001">
        <item x="668"/>
        <item x="957"/>
        <item x="247"/>
        <item x="634"/>
        <item x="342"/>
        <item x="408"/>
        <item x="771"/>
        <item x="148"/>
        <item x="988"/>
        <item x="746"/>
        <item x="718"/>
        <item x="478"/>
        <item x="457"/>
        <item x="376"/>
        <item x="331"/>
        <item x="501"/>
        <item x="264"/>
        <item x="904"/>
        <item x="806"/>
        <item x="585"/>
        <item x="627"/>
        <item x="275"/>
        <item x="752"/>
        <item x="144"/>
        <item x="484"/>
        <item x="57"/>
        <item x="733"/>
        <item x="354"/>
        <item x="318"/>
        <item x="154"/>
        <item x="338"/>
        <item x="235"/>
        <item x="870"/>
        <item x="858"/>
        <item x="518"/>
        <item x="764"/>
        <item x="479"/>
        <item x="446"/>
        <item x="288"/>
        <item x="50"/>
        <item x="639"/>
        <item x="958"/>
        <item x="669"/>
        <item x="868"/>
        <item x="543"/>
        <item x="569"/>
        <item x="443"/>
        <item x="149"/>
        <item x="578"/>
        <item x="931"/>
        <item x="520"/>
        <item x="989"/>
        <item x="485"/>
        <item x="676"/>
        <item x="880"/>
        <item x="563"/>
        <item x="162"/>
        <item x="729"/>
        <item x="823"/>
        <item x="434"/>
        <item x="248"/>
        <item x="687"/>
        <item x="437"/>
        <item x="182"/>
        <item x="323"/>
        <item x="89"/>
        <item x="41"/>
        <item x="172"/>
        <item x="970"/>
        <item x="844"/>
        <item x="419"/>
        <item x="203"/>
        <item x="864"/>
        <item x="305"/>
        <item x="846"/>
        <item x="497"/>
        <item x="339"/>
        <item x="319"/>
        <item x="178"/>
        <item x="223"/>
        <item x="521"/>
        <item x="351"/>
        <item x="836"/>
        <item x="570"/>
        <item x="198"/>
        <item x="213"/>
        <item x="874"/>
        <item x="723"/>
        <item x="649"/>
        <item x="737"/>
        <item x="845"/>
        <item x="681"/>
        <item x="882"/>
        <item x="572"/>
        <item x="46"/>
        <item x="730"/>
        <item x="195"/>
        <item x="425"/>
        <item x="992"/>
        <item x="747"/>
        <item x="403"/>
        <item x="207"/>
        <item x="80"/>
        <item x="85"/>
        <item x="260"/>
        <item x="268"/>
        <item x="945"/>
        <item x="741"/>
        <item x="591"/>
        <item x="979"/>
        <item x="929"/>
        <item x="332"/>
        <item x="129"/>
        <item x="18"/>
        <item x="72"/>
        <item x="371"/>
        <item x="409"/>
        <item x="765"/>
        <item x="239"/>
        <item x="130"/>
        <item x="544"/>
        <item x="586"/>
        <item x="861"/>
        <item x="948"/>
        <item x="545"/>
        <item x="607"/>
        <item x="276"/>
        <item x="28"/>
        <item x="905"/>
        <item x="165"/>
        <item x="34"/>
        <item x="435"/>
        <item x="650"/>
        <item x="302"/>
        <item x="214"/>
        <item x="906"/>
        <item x="899"/>
        <item x="289"/>
        <item x="772"/>
        <item x="847"/>
        <item x="86"/>
        <item x="423"/>
        <item x="414"/>
        <item x="557"/>
        <item x="160"/>
        <item x="286"/>
        <item x="64"/>
        <item x="269"/>
        <item x="995"/>
        <item x="777"/>
        <item x="187"/>
        <item x="281"/>
        <item x="756"/>
        <item x="290"/>
        <item x="373"/>
        <item x="48"/>
        <item x="724"/>
        <item x="793"/>
        <item x="32"/>
        <item x="976"/>
        <item x="92"/>
        <item x="346"/>
        <item x="546"/>
        <item x="815"/>
        <item x="533"/>
        <item x="73"/>
        <item x="360"/>
        <item x="124"/>
        <item x="252"/>
        <item x="430"/>
        <item x="502"/>
        <item x="300"/>
        <item x="277"/>
        <item x="161"/>
        <item x="13"/>
        <item x="761"/>
        <item x="839"/>
        <item x="0"/>
        <item x="180"/>
        <item x="731"/>
        <item x="215"/>
        <item x="118"/>
        <item x="282"/>
        <item x="109"/>
        <item x="460"/>
        <item x="768"/>
        <item x="99"/>
        <item x="651"/>
        <item x="303"/>
        <item x="912"/>
        <item x="865"/>
        <item x="941"/>
        <item x="51"/>
        <item x="900"/>
        <item x="819"/>
        <item x="90"/>
        <item x="604"/>
        <item x="306"/>
        <item x="816"/>
        <item x="436"/>
        <item x="942"/>
        <item x="361"/>
        <item x="971"/>
        <item x="510"/>
        <item x="210"/>
        <item x="575"/>
        <item x="4"/>
        <item x="875"/>
        <item x="830"/>
        <item x="848"/>
        <item x="315"/>
        <item x="558"/>
        <item x="357"/>
        <item x="769"/>
        <item x="581"/>
        <item x="576"/>
        <item x="35"/>
        <item x="892"/>
        <item x="967"/>
        <item x="869"/>
        <item x="480"/>
        <item x="889"/>
        <item x="193"/>
        <item x="81"/>
        <item x="748"/>
        <item x="1"/>
        <item x="611"/>
        <item x="608"/>
        <item x="166"/>
        <item x="391"/>
        <item x="795"/>
        <item x="923"/>
        <item x="420"/>
        <item x="539"/>
        <item x="257"/>
        <item x="493"/>
        <item x="91"/>
        <item x="579"/>
        <item x="377"/>
        <item x="69"/>
        <item x="503"/>
        <item x="893"/>
        <item x="959"/>
        <item x="261"/>
        <item x="106"/>
        <item x="415"/>
        <item x="77"/>
        <item x="358"/>
        <item x="244"/>
        <item x="58"/>
        <item x="254"/>
        <item x="486"/>
        <item x="30"/>
        <item x="36"/>
        <item x="155"/>
        <item x="199"/>
        <item x="762"/>
        <item x="960"/>
        <item x="228"/>
        <item x="656"/>
        <item x="398"/>
        <item x="100"/>
        <item x="547"/>
        <item x="785"/>
        <item x="786"/>
        <item x="125"/>
        <item x="711"/>
        <item x="93"/>
        <item x="548"/>
        <item x="866"/>
        <item x="386"/>
        <item x="504"/>
        <item x="74"/>
        <item x="505"/>
        <item x="612"/>
        <item x="333"/>
        <item x="564"/>
        <item x="7"/>
        <item x="487"/>
        <item x="635"/>
        <item x="374"/>
        <item x="270"/>
        <item x="463"/>
        <item x="249"/>
        <item x="917"/>
        <item x="691"/>
        <item x="301"/>
        <item x="661"/>
        <item x="131"/>
        <item x="362"/>
        <item x="52"/>
        <item x="313"/>
        <item x="37"/>
        <item x="167"/>
        <item x="600"/>
        <item x="169"/>
        <item x="234"/>
        <item x="592"/>
        <item x="107"/>
        <item x="742"/>
        <item x="704"/>
        <item x="464"/>
        <item x="410"/>
        <item x="881"/>
        <item x="883"/>
        <item x="168"/>
        <item x="790"/>
        <item x="454"/>
        <item x="216"/>
        <item x="849"/>
        <item x="42"/>
        <item x="910"/>
        <item x="782"/>
        <item x="367"/>
        <item x="787"/>
        <item x="699"/>
        <item x="688"/>
        <item x="977"/>
        <item x="43"/>
        <item x="465"/>
        <item x="217"/>
        <item x="918"/>
        <item x="295"/>
        <item x="426"/>
        <item x="884"/>
        <item x="421"/>
        <item x="271"/>
        <item x="494"/>
        <item x="413"/>
        <item x="344"/>
        <item x="104"/>
        <item x="112"/>
        <item x="208"/>
        <item x="587"/>
        <item x="743"/>
        <item x="156"/>
        <item x="218"/>
        <item x="44"/>
        <item x="695"/>
        <item x="840"/>
        <item x="571"/>
        <item x="619"/>
        <item x="139"/>
        <item x="802"/>
        <item x="712"/>
        <item x="488"/>
        <item x="511"/>
        <item x="316"/>
        <item x="304"/>
        <item x="8"/>
        <item x="936"/>
        <item x="705"/>
        <item x="343"/>
        <item x="2"/>
        <item x="470"/>
        <item x="657"/>
        <item x="827"/>
        <item x="963"/>
        <item x="871"/>
        <item x="61"/>
        <item x="307"/>
        <item x="588"/>
        <item x="828"/>
        <item x="236"/>
        <item x="662"/>
        <item x="719"/>
        <item x="876"/>
        <item x="237"/>
        <item x="640"/>
        <item x="163"/>
        <item x="983"/>
        <item x="773"/>
        <item x="913"/>
        <item x="283"/>
        <item x="630"/>
        <item x="96"/>
        <item x="438"/>
        <item x="416"/>
        <item x="448"/>
        <item x="620"/>
        <item x="135"/>
        <item x="559"/>
        <item x="31"/>
        <item x="554"/>
        <item x="308"/>
        <item x="833"/>
        <item x="837"/>
        <item x="49"/>
        <item x="734"/>
        <item x="817"/>
        <item x="732"/>
        <item x="593"/>
        <item x="498"/>
        <item x="204"/>
        <item x="984"/>
        <item x="641"/>
        <item x="636"/>
        <item x="368"/>
        <item x="788"/>
        <item x="262"/>
        <item x="364"/>
        <item x="609"/>
        <item x="938"/>
        <item x="850"/>
        <item x="183"/>
        <item x="927"/>
        <item x="841"/>
        <item x="489"/>
        <item x="949"/>
        <item x="291"/>
        <item x="700"/>
        <item x="534"/>
        <item x="461"/>
        <item x="677"/>
        <item x="980"/>
        <item x="613"/>
        <item x="621"/>
        <item x="411"/>
        <item x="219"/>
        <item x="716"/>
        <item x="594"/>
        <item x="240"/>
        <item x="803"/>
        <item x="314"/>
        <item x="365"/>
        <item x="490"/>
        <item x="972"/>
        <item x="646"/>
        <item x="145"/>
        <item x="666"/>
        <item x="862"/>
        <item x="378"/>
        <item x="132"/>
        <item x="522"/>
        <item x="406"/>
        <item x="854"/>
        <item x="19"/>
        <item x="996"/>
        <item x="507"/>
        <item x="188"/>
        <item x="47"/>
        <item x="744"/>
        <item x="427"/>
        <item x="220"/>
        <item x="713"/>
        <item x="753"/>
        <item x="528"/>
        <item x="968"/>
        <item x="757"/>
        <item x="455"/>
        <item x="309"/>
        <item x="950"/>
        <item x="993"/>
        <item x="512"/>
        <item x="94"/>
        <item x="381"/>
        <item x="352"/>
        <item x="355"/>
        <item x="379"/>
        <item x="774"/>
        <item x="119"/>
        <item x="523"/>
        <item x="985"/>
        <item x="541"/>
        <item x="45"/>
        <item x="580"/>
        <item x="725"/>
        <item x="495"/>
        <item x="907"/>
        <item x="317"/>
        <item x="824"/>
        <item x="327"/>
        <item x="919"/>
        <item x="175"/>
        <item x="706"/>
        <item x="961"/>
        <item x="791"/>
        <item x="205"/>
        <item x="422"/>
        <item x="549"/>
        <item x="631"/>
        <item x="229"/>
        <item x="535"/>
        <item x="749"/>
        <item x="328"/>
        <item x="20"/>
        <item x="287"/>
        <item x="114"/>
        <item x="946"/>
        <item x="189"/>
        <item x="890"/>
        <item x="471"/>
        <item x="26"/>
        <item x="820"/>
        <item x="908"/>
        <item x="692"/>
        <item x="190"/>
        <item x="796"/>
        <item x="366"/>
        <item x="701"/>
        <item x="508"/>
        <item x="150"/>
        <item x="577"/>
        <item x="115"/>
        <item x="673"/>
        <item x="509"/>
        <item x="601"/>
        <item x="696"/>
        <item x="990"/>
        <item x="292"/>
        <item x="831"/>
        <item x="78"/>
        <item x="973"/>
        <item x="151"/>
        <item x="120"/>
        <item x="424"/>
        <item x="259"/>
        <item x="38"/>
        <item x="911"/>
        <item x="491"/>
        <item x="708"/>
        <item x="387"/>
        <item x="230"/>
        <item x="783"/>
        <item x="829"/>
        <item x="797"/>
        <item x="59"/>
        <item x="885"/>
        <item x="126"/>
        <item x="663"/>
        <item x="565"/>
        <item x="697"/>
        <item x="428"/>
        <item x="184"/>
        <item x="191"/>
        <item x="779"/>
        <item x="250"/>
        <item x="224"/>
        <item x="101"/>
        <item x="821"/>
        <item x="476"/>
        <item x="622"/>
        <item x="702"/>
        <item x="735"/>
        <item x="238"/>
        <item x="340"/>
        <item x="770"/>
        <item x="329"/>
        <item x="407"/>
        <item x="596"/>
        <item x="914"/>
        <item x="272"/>
        <item x="334"/>
        <item x="466"/>
        <item x="939"/>
        <item x="506"/>
        <item x="404"/>
        <item x="855"/>
        <item x="974"/>
        <item x="962"/>
        <item x="524"/>
        <item x="717"/>
        <item x="664"/>
        <item x="685"/>
        <item x="258"/>
        <item x="678"/>
        <item x="573"/>
        <item x="356"/>
        <item x="943"/>
        <item x="121"/>
        <item x="720"/>
        <item x="472"/>
        <item x="194"/>
        <item x="492"/>
        <item x="667"/>
        <item x="709"/>
        <item x="780"/>
        <item x="335"/>
        <item x="84"/>
        <item x="140"/>
        <item x="293"/>
        <item x="245"/>
        <item x="648"/>
        <item x="200"/>
        <item x="136"/>
        <item x="21"/>
        <item x="605"/>
        <item x="481"/>
        <item x="60"/>
        <item x="728"/>
        <item x="825"/>
        <item x="658"/>
        <item x="467"/>
        <item x="39"/>
        <item x="642"/>
        <item x="670"/>
        <item x="468"/>
        <item x="265"/>
        <item x="781"/>
        <item x="157"/>
        <item x="975"/>
        <item x="838"/>
        <item x="87"/>
        <item x="458"/>
        <item x="529"/>
        <item x="221"/>
        <item x="431"/>
        <item x="369"/>
        <item x="872"/>
        <item x="754"/>
        <item x="5"/>
        <item x="894"/>
        <item x="647"/>
        <item x="920"/>
        <item x="721"/>
        <item x="566"/>
        <item x="582"/>
        <item x="944"/>
        <item x="915"/>
        <item x="632"/>
        <item x="628"/>
        <item x="530"/>
        <item x="320"/>
        <item x="583"/>
        <item x="158"/>
        <item x="231"/>
        <item x="536"/>
        <item x="322"/>
        <item x="726"/>
        <item x="266"/>
        <item x="179"/>
        <item x="981"/>
        <item x="537"/>
        <item x="241"/>
        <item x="951"/>
        <item x="27"/>
        <item x="192"/>
        <item x="22"/>
        <item x="170"/>
        <item x="916"/>
        <item x="273"/>
        <item x="171"/>
        <item x="347"/>
        <item x="952"/>
        <item x="449"/>
        <item x="947"/>
        <item x="851"/>
        <item x="901"/>
        <item x="689"/>
        <item x="477"/>
        <item x="602"/>
        <item x="834"/>
        <item x="842"/>
        <item x="321"/>
        <item x="116"/>
        <item x="450"/>
        <item x="392"/>
        <item x="263"/>
        <item x="986"/>
        <item x="324"/>
        <item x="399"/>
        <item x="686"/>
        <item x="146"/>
        <item x="637"/>
        <item x="809"/>
        <item x="758"/>
        <item x="665"/>
        <item x="921"/>
        <item x="173"/>
        <item x="176"/>
        <item x="722"/>
        <item x="105"/>
        <item x="930"/>
        <item x="886"/>
        <item x="629"/>
        <item x="196"/>
        <item x="141"/>
        <item x="439"/>
        <item x="440"/>
        <item x="707"/>
        <item x="255"/>
        <item x="372"/>
        <item x="638"/>
        <item x="964"/>
        <item x="598"/>
        <item x="79"/>
        <item x="991"/>
        <item x="811"/>
        <item x="382"/>
        <item x="88"/>
        <item x="633"/>
        <item x="23"/>
        <item x="225"/>
        <item x="174"/>
        <item x="388"/>
        <item x="159"/>
        <item x="113"/>
        <item x="610"/>
        <item x="584"/>
        <item x="674"/>
        <item x="137"/>
        <item x="298"/>
        <item x="9"/>
        <item x="750"/>
        <item x="924"/>
        <item x="736"/>
        <item x="766"/>
        <item x="859"/>
        <item x="256"/>
        <item x="122"/>
        <item x="574"/>
        <item x="994"/>
        <item x="152"/>
        <item x="451"/>
        <item x="330"/>
        <item x="513"/>
        <item x="818"/>
        <item x="452"/>
        <item x="835"/>
        <item x="278"/>
        <item x="922"/>
        <item x="555"/>
        <item x="538"/>
        <item x="209"/>
        <item x="614"/>
        <item x="444"/>
        <item x="432"/>
        <item x="745"/>
        <item x="336"/>
        <item x="997"/>
        <item x="550"/>
        <item x="514"/>
        <item x="759"/>
        <item x="955"/>
        <item x="389"/>
        <item x="251"/>
        <item x="348"/>
        <item x="310"/>
        <item x="185"/>
        <item x="940"/>
        <item x="117"/>
        <item x="714"/>
        <item x="14"/>
        <item x="763"/>
        <item x="540"/>
        <item x="345"/>
        <item x="142"/>
        <item x="643"/>
        <item x="456"/>
        <item x="789"/>
        <item x="615"/>
        <item x="417"/>
        <item x="778"/>
        <item x="441"/>
        <item x="54"/>
        <item x="623"/>
        <item x="143"/>
        <item x="599"/>
        <item x="680"/>
        <item x="226"/>
        <item x="393"/>
        <item x="810"/>
        <item x="433"/>
        <item x="10"/>
        <item x="978"/>
        <item x="895"/>
        <item x="775"/>
        <item x="110"/>
        <item x="525"/>
        <item x="469"/>
        <item x="62"/>
        <item x="519"/>
        <item x="383"/>
        <item x="644"/>
        <item x="380"/>
        <item x="133"/>
        <item x="15"/>
        <item x="589"/>
        <item x="526"/>
        <item x="211"/>
        <item x="6"/>
        <item x="760"/>
        <item x="953"/>
        <item x="982"/>
        <item x="29"/>
        <item x="499"/>
        <item x="164"/>
        <item x="515"/>
        <item x="925"/>
        <item x="832"/>
        <item x="560"/>
        <item x="965"/>
        <item x="212"/>
        <item x="496"/>
        <item x="75"/>
        <item x="767"/>
        <item x="659"/>
        <item x="63"/>
        <item x="55"/>
        <item x="429"/>
        <item x="363"/>
        <item x="16"/>
        <item x="932"/>
        <item x="473"/>
        <item x="246"/>
        <item x="462"/>
        <item x="926"/>
        <item x="412"/>
        <item x="812"/>
        <item x="296"/>
        <item x="738"/>
        <item x="325"/>
        <item x="567"/>
        <item x="597"/>
        <item x="703"/>
        <item x="134"/>
        <item x="652"/>
        <item x="891"/>
        <item x="826"/>
        <item x="860"/>
        <item x="813"/>
        <item x="24"/>
        <item x="626"/>
        <item x="909"/>
        <item x="804"/>
        <item x="856"/>
        <item x="698"/>
        <item x="108"/>
        <item x="933"/>
        <item x="56"/>
        <item x="181"/>
        <item x="359"/>
        <item x="294"/>
        <item x="660"/>
        <item x="400"/>
        <item x="867"/>
        <item x="65"/>
        <item x="679"/>
        <item x="401"/>
        <item x="66"/>
        <item x="516"/>
        <item x="956"/>
        <item x="459"/>
        <item x="857"/>
        <item x="127"/>
        <item x="527"/>
        <item x="784"/>
        <item x="715"/>
        <item x="53"/>
        <item x="896"/>
        <item x="794"/>
        <item x="887"/>
        <item x="671"/>
        <item x="798"/>
        <item x="402"/>
        <item x="843"/>
        <item x="561"/>
        <item x="405"/>
        <item x="934"/>
        <item x="25"/>
        <item x="969"/>
        <item x="998"/>
        <item x="624"/>
        <item x="197"/>
        <item x="279"/>
        <item x="3"/>
        <item x="394"/>
        <item x="11"/>
        <item x="645"/>
        <item x="102"/>
        <item x="863"/>
        <item x="153"/>
        <item x="595"/>
        <item x="395"/>
        <item x="799"/>
        <item x="350"/>
        <item x="693"/>
        <item x="897"/>
        <item x="253"/>
        <item x="682"/>
        <item x="67"/>
        <item x="138"/>
        <item x="617"/>
        <item x="70"/>
        <item x="103"/>
        <item x="274"/>
        <item x="97"/>
        <item x="590"/>
        <item x="299"/>
        <item x="82"/>
        <item x="242"/>
        <item x="186"/>
        <item x="807"/>
        <item x="267"/>
        <item x="987"/>
        <item x="898"/>
        <item x="396"/>
        <item x="297"/>
        <item x="232"/>
        <item x="375"/>
        <item x="222"/>
        <item x="442"/>
        <item x="12"/>
        <item x="800"/>
        <item x="877"/>
        <item x="206"/>
        <item x="353"/>
        <item x="95"/>
        <item x="40"/>
        <item x="562"/>
        <item x="280"/>
        <item x="311"/>
        <item x="873"/>
        <item x="822"/>
        <item x="390"/>
        <item x="653"/>
        <item x="808"/>
        <item x="902"/>
        <item x="312"/>
        <item x="683"/>
        <item x="453"/>
        <item x="98"/>
        <item x="852"/>
        <item x="500"/>
        <item x="177"/>
        <item x="937"/>
        <item x="616"/>
        <item x="201"/>
        <item x="447"/>
        <item x="935"/>
        <item x="903"/>
        <item x="202"/>
        <item x="397"/>
        <item x="531"/>
        <item x="542"/>
        <item x="690"/>
        <item x="654"/>
        <item x="710"/>
        <item x="418"/>
        <item x="739"/>
        <item x="384"/>
        <item x="672"/>
        <item x="17"/>
        <item x="33"/>
        <item x="370"/>
        <item x="776"/>
        <item x="684"/>
        <item x="792"/>
        <item x="227"/>
        <item x="928"/>
        <item x="751"/>
        <item x="349"/>
        <item x="888"/>
        <item x="625"/>
        <item x="878"/>
        <item x="694"/>
        <item x="147"/>
        <item x="999"/>
        <item x="128"/>
        <item x="76"/>
        <item x="474"/>
        <item x="284"/>
        <item x="966"/>
        <item x="111"/>
        <item x="814"/>
        <item x="805"/>
        <item x="482"/>
        <item x="801"/>
        <item x="675"/>
        <item x="68"/>
        <item x="445"/>
        <item x="483"/>
        <item x="233"/>
        <item x="71"/>
        <item x="727"/>
        <item x="337"/>
        <item x="568"/>
        <item x="475"/>
        <item x="83"/>
        <item x="552"/>
        <item x="603"/>
        <item x="326"/>
        <item x="655"/>
        <item x="285"/>
        <item x="755"/>
        <item x="740"/>
        <item x="532"/>
        <item x="243"/>
        <item x="341"/>
        <item x="954"/>
        <item x="556"/>
        <item x="553"/>
        <item x="618"/>
        <item x="123"/>
        <item x="853"/>
        <item x="606"/>
        <item x="551"/>
        <item x="517"/>
        <item x="385"/>
        <item x="8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3"/>
    <field x="21"/>
  </rowFields>
  <rowItems count="3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11"/>
  </colFields>
  <colItems count="3">
    <i>
      <x/>
    </i>
    <i>
      <x v="1"/>
    </i>
    <i>
      <x v="2"/>
    </i>
  </colItems>
  <dataFields count="1">
    <dataField name="Ventas totales por canal de compra" fld="19" baseField="0" baseItem="0"/>
  </dataFields>
  <chartFormats count="9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87880-D32A-4145-9E3D-1EA890B85475}" name="TablaDinámica7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L41:P51" firstHeaderRow="1" firstDataRow="2" firstDataCol="1"/>
  <pivotFields count="24">
    <pivotField showAll="0" defaultSubtotal="0"/>
    <pivotField numFmtId="14" showAll="0" defaultSubtotal="0">
      <items count="1000">
        <item x="668"/>
        <item x="957"/>
        <item x="247"/>
        <item x="634"/>
        <item x="342"/>
        <item x="408"/>
        <item x="771"/>
        <item x="148"/>
        <item x="988"/>
        <item x="746"/>
        <item x="718"/>
        <item x="478"/>
        <item x="457"/>
        <item x="376"/>
        <item x="331"/>
        <item x="501"/>
        <item x="264"/>
        <item x="904"/>
        <item x="806"/>
        <item x="585"/>
        <item x="627"/>
        <item x="275"/>
        <item x="752"/>
        <item x="144"/>
        <item x="484"/>
        <item x="57"/>
        <item x="733"/>
        <item x="354"/>
        <item x="318"/>
        <item x="154"/>
        <item x="338"/>
        <item x="235"/>
        <item x="870"/>
        <item x="858"/>
        <item x="518"/>
        <item x="764"/>
        <item x="479"/>
        <item x="446"/>
        <item x="288"/>
        <item x="50"/>
        <item x="639"/>
        <item x="958"/>
        <item x="669"/>
        <item x="868"/>
        <item x="543"/>
        <item x="569"/>
        <item x="443"/>
        <item x="149"/>
        <item x="578"/>
        <item x="931"/>
        <item x="520"/>
        <item x="989"/>
        <item x="485"/>
        <item x="676"/>
        <item x="880"/>
        <item x="563"/>
        <item x="162"/>
        <item x="729"/>
        <item x="823"/>
        <item x="434"/>
        <item x="248"/>
        <item x="687"/>
        <item x="437"/>
        <item x="182"/>
        <item x="323"/>
        <item x="89"/>
        <item x="41"/>
        <item x="172"/>
        <item x="970"/>
        <item x="844"/>
        <item x="419"/>
        <item x="203"/>
        <item x="864"/>
        <item x="305"/>
        <item x="846"/>
        <item x="497"/>
        <item x="339"/>
        <item x="319"/>
        <item x="178"/>
        <item x="223"/>
        <item x="521"/>
        <item x="351"/>
        <item x="836"/>
        <item x="570"/>
        <item x="198"/>
        <item x="213"/>
        <item x="874"/>
        <item x="723"/>
        <item x="649"/>
        <item x="737"/>
        <item x="845"/>
        <item x="681"/>
        <item x="882"/>
        <item x="572"/>
        <item x="46"/>
        <item x="730"/>
        <item x="195"/>
        <item x="425"/>
        <item x="992"/>
        <item x="747"/>
        <item x="403"/>
        <item x="207"/>
        <item x="80"/>
        <item x="85"/>
        <item x="260"/>
        <item x="268"/>
        <item x="945"/>
        <item x="741"/>
        <item x="591"/>
        <item x="979"/>
        <item x="929"/>
        <item x="332"/>
        <item x="129"/>
        <item x="18"/>
        <item x="72"/>
        <item x="371"/>
        <item x="409"/>
        <item x="765"/>
        <item x="239"/>
        <item x="130"/>
        <item x="544"/>
        <item x="586"/>
        <item x="861"/>
        <item x="948"/>
        <item x="545"/>
        <item x="607"/>
        <item x="276"/>
        <item x="28"/>
        <item x="905"/>
        <item x="165"/>
        <item x="34"/>
        <item x="435"/>
        <item x="650"/>
        <item x="302"/>
        <item x="214"/>
        <item x="906"/>
        <item x="899"/>
        <item x="289"/>
        <item x="772"/>
        <item x="847"/>
        <item x="86"/>
        <item x="423"/>
        <item x="414"/>
        <item x="557"/>
        <item x="160"/>
        <item x="286"/>
        <item x="64"/>
        <item x="269"/>
        <item x="995"/>
        <item x="777"/>
        <item x="187"/>
        <item x="281"/>
        <item x="756"/>
        <item x="290"/>
        <item x="373"/>
        <item x="48"/>
        <item x="724"/>
        <item x="793"/>
        <item x="32"/>
        <item x="976"/>
        <item x="92"/>
        <item x="346"/>
        <item x="546"/>
        <item x="815"/>
        <item x="533"/>
        <item x="73"/>
        <item x="360"/>
        <item x="124"/>
        <item x="252"/>
        <item x="430"/>
        <item x="502"/>
        <item x="300"/>
        <item x="277"/>
        <item x="161"/>
        <item x="13"/>
        <item x="761"/>
        <item x="839"/>
        <item x="0"/>
        <item x="180"/>
        <item x="731"/>
        <item x="215"/>
        <item x="118"/>
        <item x="282"/>
        <item x="109"/>
        <item x="460"/>
        <item x="768"/>
        <item x="99"/>
        <item x="651"/>
        <item x="303"/>
        <item x="912"/>
        <item x="865"/>
        <item x="941"/>
        <item x="51"/>
        <item x="900"/>
        <item x="819"/>
        <item x="90"/>
        <item x="604"/>
        <item x="306"/>
        <item x="816"/>
        <item x="436"/>
        <item x="942"/>
        <item x="361"/>
        <item x="971"/>
        <item x="510"/>
        <item x="210"/>
        <item x="575"/>
        <item x="4"/>
        <item x="875"/>
        <item x="830"/>
        <item x="848"/>
        <item x="315"/>
        <item x="558"/>
        <item x="357"/>
        <item x="769"/>
        <item x="581"/>
        <item x="576"/>
        <item x="35"/>
        <item x="892"/>
        <item x="967"/>
        <item x="869"/>
        <item x="480"/>
        <item x="889"/>
        <item x="193"/>
        <item x="81"/>
        <item x="748"/>
        <item x="1"/>
        <item x="611"/>
        <item x="608"/>
        <item x="166"/>
        <item x="391"/>
        <item x="795"/>
        <item x="923"/>
        <item x="420"/>
        <item x="539"/>
        <item x="257"/>
        <item x="493"/>
        <item x="91"/>
        <item x="579"/>
        <item x="377"/>
        <item x="69"/>
        <item x="503"/>
        <item x="893"/>
        <item x="959"/>
        <item x="261"/>
        <item x="106"/>
        <item x="415"/>
        <item x="77"/>
        <item x="358"/>
        <item x="244"/>
        <item x="58"/>
        <item x="254"/>
        <item x="486"/>
        <item x="30"/>
        <item x="36"/>
        <item x="155"/>
        <item x="199"/>
        <item x="762"/>
        <item x="960"/>
        <item x="228"/>
        <item x="656"/>
        <item x="398"/>
        <item x="100"/>
        <item x="547"/>
        <item x="785"/>
        <item x="786"/>
        <item x="125"/>
        <item x="711"/>
        <item x="93"/>
        <item x="548"/>
        <item x="866"/>
        <item x="386"/>
        <item x="504"/>
        <item x="74"/>
        <item x="505"/>
        <item x="612"/>
        <item x="333"/>
        <item x="564"/>
        <item x="7"/>
        <item x="487"/>
        <item x="635"/>
        <item x="374"/>
        <item x="270"/>
        <item x="463"/>
        <item x="249"/>
        <item x="917"/>
        <item x="691"/>
        <item x="301"/>
        <item x="661"/>
        <item x="131"/>
        <item x="362"/>
        <item x="52"/>
        <item x="313"/>
        <item x="37"/>
        <item x="167"/>
        <item x="600"/>
        <item x="169"/>
        <item x="234"/>
        <item x="592"/>
        <item x="107"/>
        <item x="742"/>
        <item x="704"/>
        <item x="464"/>
        <item x="410"/>
        <item x="881"/>
        <item x="883"/>
        <item x="168"/>
        <item x="790"/>
        <item x="454"/>
        <item x="216"/>
        <item x="849"/>
        <item x="42"/>
        <item x="910"/>
        <item x="782"/>
        <item x="367"/>
        <item x="787"/>
        <item x="699"/>
        <item x="688"/>
        <item x="977"/>
        <item x="43"/>
        <item x="465"/>
        <item x="217"/>
        <item x="918"/>
        <item x="295"/>
        <item x="426"/>
        <item x="884"/>
        <item x="421"/>
        <item x="271"/>
        <item x="494"/>
        <item x="413"/>
        <item x="344"/>
        <item x="104"/>
        <item x="112"/>
        <item x="208"/>
        <item x="587"/>
        <item x="743"/>
        <item x="156"/>
        <item x="218"/>
        <item x="44"/>
        <item x="695"/>
        <item x="840"/>
        <item x="571"/>
        <item x="619"/>
        <item x="139"/>
        <item x="802"/>
        <item x="712"/>
        <item x="488"/>
        <item x="511"/>
        <item x="316"/>
        <item x="304"/>
        <item x="8"/>
        <item x="936"/>
        <item x="705"/>
        <item x="343"/>
        <item x="2"/>
        <item x="470"/>
        <item x="657"/>
        <item x="827"/>
        <item x="963"/>
        <item x="871"/>
        <item x="61"/>
        <item x="307"/>
        <item x="588"/>
        <item x="828"/>
        <item x="236"/>
        <item x="662"/>
        <item x="719"/>
        <item x="876"/>
        <item x="237"/>
        <item x="640"/>
        <item x="163"/>
        <item x="983"/>
        <item x="773"/>
        <item x="913"/>
        <item x="283"/>
        <item x="630"/>
        <item x="96"/>
        <item x="438"/>
        <item x="416"/>
        <item x="448"/>
        <item x="620"/>
        <item x="135"/>
        <item x="559"/>
        <item x="31"/>
        <item x="554"/>
        <item x="308"/>
        <item x="833"/>
        <item x="837"/>
        <item x="49"/>
        <item x="734"/>
        <item x="817"/>
        <item x="732"/>
        <item x="593"/>
        <item x="498"/>
        <item x="204"/>
        <item x="984"/>
        <item x="641"/>
        <item x="636"/>
        <item x="368"/>
        <item x="788"/>
        <item x="262"/>
        <item x="364"/>
        <item x="609"/>
        <item x="938"/>
        <item x="850"/>
        <item x="183"/>
        <item x="927"/>
        <item x="841"/>
        <item x="489"/>
        <item x="949"/>
        <item x="291"/>
        <item x="700"/>
        <item x="534"/>
        <item x="461"/>
        <item x="677"/>
        <item x="980"/>
        <item x="613"/>
        <item x="621"/>
        <item x="411"/>
        <item x="219"/>
        <item x="716"/>
        <item x="594"/>
        <item x="240"/>
        <item x="803"/>
        <item x="314"/>
        <item x="365"/>
        <item x="490"/>
        <item x="972"/>
        <item x="646"/>
        <item x="145"/>
        <item x="666"/>
        <item x="862"/>
        <item x="378"/>
        <item x="132"/>
        <item x="522"/>
        <item x="406"/>
        <item x="854"/>
        <item x="19"/>
        <item x="996"/>
        <item x="507"/>
        <item x="188"/>
        <item x="47"/>
        <item x="744"/>
        <item x="427"/>
        <item x="220"/>
        <item x="713"/>
        <item x="753"/>
        <item x="528"/>
        <item x="968"/>
        <item x="757"/>
        <item x="455"/>
        <item x="309"/>
        <item x="950"/>
        <item x="993"/>
        <item x="512"/>
        <item x="94"/>
        <item x="381"/>
        <item x="352"/>
        <item x="355"/>
        <item x="379"/>
        <item x="774"/>
        <item x="119"/>
        <item x="523"/>
        <item x="985"/>
        <item x="541"/>
        <item x="45"/>
        <item x="580"/>
        <item x="725"/>
        <item x="495"/>
        <item x="907"/>
        <item x="317"/>
        <item x="824"/>
        <item x="327"/>
        <item x="919"/>
        <item x="175"/>
        <item x="706"/>
        <item x="961"/>
        <item x="791"/>
        <item x="205"/>
        <item x="422"/>
        <item x="549"/>
        <item x="631"/>
        <item x="229"/>
        <item x="535"/>
        <item x="749"/>
        <item x="328"/>
        <item x="20"/>
        <item x="287"/>
        <item x="114"/>
        <item x="946"/>
        <item x="189"/>
        <item x="890"/>
        <item x="471"/>
        <item x="26"/>
        <item x="820"/>
        <item x="908"/>
        <item x="692"/>
        <item x="190"/>
        <item x="796"/>
        <item x="366"/>
        <item x="701"/>
        <item x="508"/>
        <item x="150"/>
        <item x="577"/>
        <item x="115"/>
        <item x="673"/>
        <item x="509"/>
        <item x="601"/>
        <item x="696"/>
        <item x="990"/>
        <item x="292"/>
        <item x="831"/>
        <item x="78"/>
        <item x="973"/>
        <item x="151"/>
        <item x="120"/>
        <item x="424"/>
        <item x="259"/>
        <item x="38"/>
        <item x="911"/>
        <item x="491"/>
        <item x="708"/>
        <item x="387"/>
        <item x="230"/>
        <item x="783"/>
        <item x="829"/>
        <item x="797"/>
        <item x="59"/>
        <item x="885"/>
        <item x="126"/>
        <item x="663"/>
        <item x="565"/>
        <item x="697"/>
        <item x="428"/>
        <item x="184"/>
        <item x="191"/>
        <item x="779"/>
        <item x="250"/>
        <item x="224"/>
        <item x="101"/>
        <item x="821"/>
        <item x="476"/>
        <item x="622"/>
        <item x="702"/>
        <item x="735"/>
        <item x="238"/>
        <item x="340"/>
        <item x="770"/>
        <item x="329"/>
        <item x="407"/>
        <item x="596"/>
        <item x="914"/>
        <item x="272"/>
        <item x="334"/>
        <item x="466"/>
        <item x="939"/>
        <item x="506"/>
        <item x="404"/>
        <item x="855"/>
        <item x="974"/>
        <item x="962"/>
        <item x="524"/>
        <item x="717"/>
        <item x="664"/>
        <item x="685"/>
        <item x="258"/>
        <item x="678"/>
        <item x="573"/>
        <item x="356"/>
        <item x="943"/>
        <item x="121"/>
        <item x="720"/>
        <item x="472"/>
        <item x="194"/>
        <item x="492"/>
        <item x="667"/>
        <item x="709"/>
        <item x="780"/>
        <item x="335"/>
        <item x="84"/>
        <item x="140"/>
        <item x="293"/>
        <item x="245"/>
        <item x="648"/>
        <item x="200"/>
        <item x="136"/>
        <item x="21"/>
        <item x="605"/>
        <item x="481"/>
        <item x="60"/>
        <item x="728"/>
        <item x="825"/>
        <item x="658"/>
        <item x="467"/>
        <item x="39"/>
        <item x="642"/>
        <item x="670"/>
        <item x="468"/>
        <item x="265"/>
        <item x="781"/>
        <item x="157"/>
        <item x="975"/>
        <item x="838"/>
        <item x="87"/>
        <item x="458"/>
        <item x="529"/>
        <item x="221"/>
        <item x="431"/>
        <item x="369"/>
        <item x="872"/>
        <item x="754"/>
        <item x="5"/>
        <item x="894"/>
        <item x="647"/>
        <item x="920"/>
        <item x="721"/>
        <item x="566"/>
        <item x="582"/>
        <item x="944"/>
        <item x="915"/>
        <item x="632"/>
        <item x="628"/>
        <item x="530"/>
        <item x="320"/>
        <item x="583"/>
        <item x="158"/>
        <item x="231"/>
        <item x="536"/>
        <item x="322"/>
        <item x="726"/>
        <item x="266"/>
        <item x="179"/>
        <item x="981"/>
        <item x="537"/>
        <item x="241"/>
        <item x="951"/>
        <item x="27"/>
        <item x="192"/>
        <item x="22"/>
        <item x="170"/>
        <item x="916"/>
        <item x="273"/>
        <item x="171"/>
        <item x="347"/>
        <item x="952"/>
        <item x="449"/>
        <item x="947"/>
        <item x="851"/>
        <item x="901"/>
        <item x="689"/>
        <item x="477"/>
        <item x="602"/>
        <item x="834"/>
        <item x="842"/>
        <item x="321"/>
        <item x="116"/>
        <item x="450"/>
        <item x="392"/>
        <item x="263"/>
        <item x="986"/>
        <item x="324"/>
        <item x="399"/>
        <item x="686"/>
        <item x="146"/>
        <item x="637"/>
        <item x="809"/>
        <item x="758"/>
        <item x="665"/>
        <item x="921"/>
        <item x="173"/>
        <item x="176"/>
        <item x="722"/>
        <item x="105"/>
        <item x="930"/>
        <item x="886"/>
        <item x="629"/>
        <item x="196"/>
        <item x="141"/>
        <item x="439"/>
        <item x="440"/>
        <item x="707"/>
        <item x="255"/>
        <item x="372"/>
        <item x="638"/>
        <item x="964"/>
        <item x="598"/>
        <item x="79"/>
        <item x="991"/>
        <item x="811"/>
        <item x="382"/>
        <item x="88"/>
        <item x="633"/>
        <item x="23"/>
        <item x="225"/>
        <item x="174"/>
        <item x="388"/>
        <item x="159"/>
        <item x="113"/>
        <item x="610"/>
        <item x="584"/>
        <item x="674"/>
        <item x="137"/>
        <item x="298"/>
        <item x="9"/>
        <item x="750"/>
        <item x="924"/>
        <item x="736"/>
        <item x="766"/>
        <item x="859"/>
        <item x="256"/>
        <item x="122"/>
        <item x="574"/>
        <item x="994"/>
        <item x="152"/>
        <item x="451"/>
        <item x="330"/>
        <item x="513"/>
        <item x="818"/>
        <item x="452"/>
        <item x="835"/>
        <item x="278"/>
        <item x="922"/>
        <item x="555"/>
        <item x="538"/>
        <item x="209"/>
        <item x="614"/>
        <item x="444"/>
        <item x="432"/>
        <item x="745"/>
        <item x="336"/>
        <item x="997"/>
        <item x="550"/>
        <item x="514"/>
        <item x="759"/>
        <item x="955"/>
        <item x="389"/>
        <item x="251"/>
        <item x="348"/>
        <item x="310"/>
        <item x="185"/>
        <item x="940"/>
        <item x="117"/>
        <item x="714"/>
        <item x="14"/>
        <item x="763"/>
        <item x="540"/>
        <item x="345"/>
        <item x="142"/>
        <item x="643"/>
        <item x="456"/>
        <item x="789"/>
        <item x="615"/>
        <item x="417"/>
        <item x="778"/>
        <item x="441"/>
        <item x="54"/>
        <item x="623"/>
        <item x="143"/>
        <item x="599"/>
        <item x="680"/>
        <item x="226"/>
        <item x="393"/>
        <item x="810"/>
        <item x="433"/>
        <item x="10"/>
        <item x="978"/>
        <item x="895"/>
        <item x="775"/>
        <item x="110"/>
        <item x="525"/>
        <item x="469"/>
        <item x="62"/>
        <item x="519"/>
        <item x="383"/>
        <item x="644"/>
        <item x="380"/>
        <item x="133"/>
        <item x="15"/>
        <item x="589"/>
        <item x="526"/>
        <item x="211"/>
        <item x="6"/>
        <item x="760"/>
        <item x="953"/>
        <item x="982"/>
        <item x="29"/>
        <item x="499"/>
        <item x="164"/>
        <item x="515"/>
        <item x="925"/>
        <item x="832"/>
        <item x="560"/>
        <item x="965"/>
        <item x="212"/>
        <item x="496"/>
        <item x="75"/>
        <item x="767"/>
        <item x="659"/>
        <item x="63"/>
        <item x="55"/>
        <item x="429"/>
        <item x="363"/>
        <item x="16"/>
        <item x="932"/>
        <item x="473"/>
        <item x="246"/>
        <item x="462"/>
        <item x="926"/>
        <item x="412"/>
        <item x="812"/>
        <item x="296"/>
        <item x="738"/>
        <item x="325"/>
        <item x="567"/>
        <item x="597"/>
        <item x="703"/>
        <item x="134"/>
        <item x="652"/>
        <item x="891"/>
        <item x="826"/>
        <item x="860"/>
        <item x="813"/>
        <item x="24"/>
        <item x="626"/>
        <item x="909"/>
        <item x="804"/>
        <item x="856"/>
        <item x="698"/>
        <item x="108"/>
        <item x="933"/>
        <item x="56"/>
        <item x="181"/>
        <item x="359"/>
        <item x="294"/>
        <item x="660"/>
        <item x="400"/>
        <item x="867"/>
        <item x="65"/>
        <item x="679"/>
        <item x="401"/>
        <item x="66"/>
        <item x="516"/>
        <item x="956"/>
        <item x="459"/>
        <item x="857"/>
        <item x="127"/>
        <item x="527"/>
        <item x="784"/>
        <item x="715"/>
        <item x="53"/>
        <item x="896"/>
        <item x="794"/>
        <item x="887"/>
        <item x="671"/>
        <item x="798"/>
        <item x="402"/>
        <item x="843"/>
        <item x="561"/>
        <item x="405"/>
        <item x="934"/>
        <item x="25"/>
        <item x="969"/>
        <item x="998"/>
        <item x="624"/>
        <item x="197"/>
        <item x="279"/>
        <item x="3"/>
        <item x="394"/>
        <item x="11"/>
        <item x="645"/>
        <item x="102"/>
        <item x="863"/>
        <item x="153"/>
        <item x="595"/>
        <item x="395"/>
        <item x="799"/>
        <item x="350"/>
        <item x="693"/>
        <item x="897"/>
        <item x="253"/>
        <item x="682"/>
        <item x="67"/>
        <item x="138"/>
        <item x="617"/>
        <item x="70"/>
        <item x="103"/>
        <item x="274"/>
        <item x="97"/>
        <item x="590"/>
        <item x="299"/>
        <item x="82"/>
        <item x="242"/>
        <item x="186"/>
        <item x="807"/>
        <item x="267"/>
        <item x="987"/>
        <item x="898"/>
        <item x="396"/>
        <item x="297"/>
        <item x="232"/>
        <item x="375"/>
        <item x="222"/>
        <item x="442"/>
        <item x="12"/>
        <item x="800"/>
        <item x="877"/>
        <item x="206"/>
        <item x="353"/>
        <item x="95"/>
        <item x="40"/>
        <item x="562"/>
        <item x="280"/>
        <item x="311"/>
        <item x="873"/>
        <item x="822"/>
        <item x="390"/>
        <item x="653"/>
        <item x="808"/>
        <item x="902"/>
        <item x="312"/>
        <item x="683"/>
        <item x="453"/>
        <item x="98"/>
        <item x="852"/>
        <item x="500"/>
        <item x="177"/>
        <item x="937"/>
        <item x="616"/>
        <item x="201"/>
        <item x="447"/>
        <item x="935"/>
        <item x="903"/>
        <item x="202"/>
        <item x="397"/>
        <item x="531"/>
        <item x="542"/>
        <item x="690"/>
        <item x="654"/>
        <item x="710"/>
        <item x="418"/>
        <item x="739"/>
        <item x="384"/>
        <item x="672"/>
        <item x="17"/>
        <item x="33"/>
        <item x="370"/>
        <item x="776"/>
        <item x="684"/>
        <item x="792"/>
        <item x="227"/>
        <item x="928"/>
        <item x="751"/>
        <item x="349"/>
        <item x="888"/>
        <item x="625"/>
        <item x="878"/>
        <item x="694"/>
        <item x="147"/>
        <item x="999"/>
        <item x="128"/>
        <item x="76"/>
        <item x="474"/>
        <item x="284"/>
        <item x="966"/>
        <item x="111"/>
        <item x="814"/>
        <item x="805"/>
        <item x="482"/>
        <item x="801"/>
        <item x="675"/>
        <item x="68"/>
        <item x="445"/>
        <item x="483"/>
        <item x="233"/>
        <item x="71"/>
        <item x="727"/>
        <item x="337"/>
        <item x="568"/>
        <item x="475"/>
        <item x="83"/>
        <item x="552"/>
        <item x="603"/>
        <item x="326"/>
        <item x="655"/>
        <item x="285"/>
        <item x="755"/>
        <item x="740"/>
        <item x="532"/>
        <item x="243"/>
        <item x="341"/>
        <item x="954"/>
        <item x="556"/>
        <item x="553"/>
        <item x="618"/>
        <item x="123"/>
        <item x="853"/>
        <item x="606"/>
        <item x="551"/>
        <item x="517"/>
        <item x="385"/>
        <item x="87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8">
        <item x="6"/>
        <item x="2"/>
        <item x="0"/>
        <item x="5"/>
        <item x="4"/>
        <item x="7"/>
        <item x="1"/>
        <item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numFmtId="2" showAll="0" defaultSubtotal="0"/>
    <pivotField showAll="0" defaultSubtotal="0"/>
    <pivotField showAll="0" defaultSubtotal="0"/>
    <pivotField dataField="1" showAll="0" defaultSubtotal="0"/>
    <pivotField dragToRow="0" dragToCol="0" dragToPage="0" showAll="0" defaultSubtota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5">
        <item sd="0" x="0"/>
        <item x="1"/>
        <item x="2"/>
        <item x="3"/>
        <item sd="0" x="4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3"/>
  </colFields>
  <colItems count="4">
    <i>
      <x v="1"/>
    </i>
    <i>
      <x v="2"/>
    </i>
    <i>
      <x v="3"/>
    </i>
    <i t="grand">
      <x/>
    </i>
  </colItems>
  <dataFields count="1">
    <dataField name="Ventas totales por region" fld="19" baseField="0" baseItem="0"/>
  </dataFields>
  <formats count="1">
    <format dxfId="10">
      <pivotArea field="10" grandCol="1" collapsedLevelsAreSubtotals="1" axis="axisRow" fieldPosition="0">
        <references count="1">
          <reference field="10" count="0"/>
        </references>
      </pivotArea>
    </format>
  </formats>
  <chartFormats count="24"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5" format="4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4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4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4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5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5" format="5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5" format="5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5" format="5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5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5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5" format="56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5" format="57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0FE20-0E3E-4388-B3D9-2738D8B3398C}" name="TablaDinámica4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B21:F31" firstHeaderRow="0" firstDataRow="1" firstDataCol="1"/>
  <pivotFields count="8">
    <pivotField axis="axisRow" showAll="0" measureFilter="1" sortType="descending">
      <items count="277"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5" multipleItemSelectionAllowed="1" showAll="0" sortType="descending">
      <items count="269">
        <item x="150"/>
        <item x="188"/>
        <item x="258"/>
        <item x="61"/>
        <item x="169"/>
        <item x="95"/>
        <item x="86"/>
        <item x="130"/>
        <item x="207"/>
        <item x="34"/>
        <item x="214"/>
        <item x="116"/>
        <item x="199"/>
        <item x="184"/>
        <item x="54"/>
        <item x="176"/>
        <item x="4"/>
        <item x="2"/>
        <item x="124"/>
        <item x="138"/>
        <item x="267"/>
        <item x="127"/>
        <item x="112"/>
        <item x="82"/>
        <item x="222"/>
        <item x="35"/>
        <item x="79"/>
        <item x="229"/>
        <item x="148"/>
        <item x="96"/>
        <item x="172"/>
        <item x="133"/>
        <item x="137"/>
        <item x="19"/>
        <item x="245"/>
        <item x="69"/>
        <item x="225"/>
        <item x="87"/>
        <item x="151"/>
        <item x="236"/>
        <item x="266"/>
        <item x="173"/>
        <item x="243"/>
        <item x="64"/>
        <item x="0"/>
        <item x="99"/>
        <item x="129"/>
        <item x="101"/>
        <item x="181"/>
        <item x="248"/>
        <item x="256"/>
        <item x="122"/>
        <item x="186"/>
        <item x="18"/>
        <item x="125"/>
        <item x="29"/>
        <item x="36"/>
        <item x="106"/>
        <item x="134"/>
        <item x="126"/>
        <item x="109"/>
        <item x="57"/>
        <item x="177"/>
        <item x="153"/>
        <item x="102"/>
        <item x="103"/>
        <item x="239"/>
        <item x="179"/>
        <item x="190"/>
        <item x="191"/>
        <item x="197"/>
        <item x="261"/>
        <item x="85"/>
        <item x="152"/>
        <item x="105"/>
        <item x="60"/>
        <item x="38"/>
        <item x="110"/>
        <item x="208"/>
        <item x="119"/>
        <item x="231"/>
        <item x="20"/>
        <item x="76"/>
        <item x="202"/>
        <item x="198"/>
        <item x="83"/>
        <item x="164"/>
        <item x="81"/>
        <item x="66"/>
        <item x="136"/>
        <item x="140"/>
        <item x="77"/>
        <item x="210"/>
        <item x="238"/>
        <item x="108"/>
        <item x="1"/>
        <item x="121"/>
        <item x="264"/>
        <item x="72"/>
        <item x="223"/>
        <item x="254"/>
        <item x="192"/>
        <item x="28"/>
        <item x="200"/>
        <item x="242"/>
        <item x="111"/>
        <item x="246"/>
        <item x="265"/>
        <item x="73"/>
        <item x="51"/>
        <item x="215"/>
        <item x="17"/>
        <item x="145"/>
        <item x="45"/>
        <item x="3"/>
        <item x="259"/>
        <item x="62"/>
        <item x="158"/>
        <item x="201"/>
        <item x="204"/>
        <item x="131"/>
        <item x="263"/>
        <item x="14"/>
        <item x="33"/>
        <item x="42"/>
        <item x="41"/>
        <item x="165"/>
        <item x="93"/>
        <item x="183"/>
        <item x="187"/>
        <item x="253"/>
        <item x="80"/>
        <item x="232"/>
        <item x="75"/>
        <item x="113"/>
        <item x="196"/>
        <item x="240"/>
        <item x="13"/>
        <item x="221"/>
        <item x="68"/>
        <item x="74"/>
        <item x="50"/>
        <item x="7"/>
        <item x="16"/>
        <item x="11"/>
        <item x="166"/>
        <item x="128"/>
        <item x="91"/>
        <item x="182"/>
        <item x="10"/>
        <item x="149"/>
        <item x="21"/>
        <item x="260"/>
        <item x="156"/>
        <item x="163"/>
        <item x="141"/>
        <item x="118"/>
        <item x="146"/>
        <item x="257"/>
        <item x="205"/>
        <item x="195"/>
        <item x="244"/>
        <item x="171"/>
        <item x="249"/>
        <item x="147"/>
        <item x="142"/>
        <item x="251"/>
        <item x="247"/>
        <item x="235"/>
        <item x="39"/>
        <item x="67"/>
        <item x="27"/>
        <item x="233"/>
        <item x="211"/>
        <item x="189"/>
        <item x="241"/>
        <item x="6"/>
        <item x="26"/>
        <item x="212"/>
        <item x="159"/>
        <item x="209"/>
        <item x="220"/>
        <item x="53"/>
        <item x="174"/>
        <item x="219"/>
        <item x="32"/>
        <item x="194"/>
        <item x="262"/>
        <item x="144"/>
        <item x="234"/>
        <item x="44"/>
        <item x="218"/>
        <item x="58"/>
        <item x="56"/>
        <item x="185"/>
        <item x="8"/>
        <item x="63"/>
        <item x="139"/>
        <item x="25"/>
        <item x="78"/>
        <item x="9"/>
        <item x="213"/>
        <item x="88"/>
        <item x="227"/>
        <item x="30"/>
        <item x="161"/>
        <item x="98"/>
        <item x="230"/>
        <item x="206"/>
        <item x="94"/>
        <item x="143"/>
        <item x="55"/>
        <item x="15"/>
        <item x="252"/>
        <item x="37"/>
        <item x="170"/>
        <item x="162"/>
        <item x="175"/>
        <item x="216"/>
        <item x="84"/>
        <item x="193"/>
        <item x="104"/>
        <item x="217"/>
        <item x="48"/>
        <item x="120"/>
        <item x="155"/>
        <item x="90"/>
        <item x="40"/>
        <item x="100"/>
        <item x="65"/>
        <item x="224"/>
        <item x="59"/>
        <item x="49"/>
        <item x="203"/>
        <item x="226"/>
        <item x="255"/>
        <item x="22"/>
        <item x="123"/>
        <item x="237"/>
        <item x="47"/>
        <item x="5"/>
        <item x="154"/>
        <item x="12"/>
        <item x="31"/>
        <item x="24"/>
        <item x="115"/>
        <item x="160"/>
        <item x="117"/>
        <item x="132"/>
        <item x="43"/>
        <item x="23"/>
        <item x="167"/>
        <item x="250"/>
        <item x="157"/>
        <item x="92"/>
        <item x="46"/>
        <item x="180"/>
        <item x="107"/>
        <item x="71"/>
        <item x="114"/>
        <item x="178"/>
        <item x="168"/>
        <item x="228"/>
        <item x="70"/>
        <item x="97"/>
        <item x="135"/>
        <item x="52"/>
        <item x="89"/>
        <item t="default"/>
      </items>
    </pivotField>
    <pivotField dataField="1" numFmtId="165" showAll="0"/>
    <pivotField dataField="1" numFmtId="165" showAll="0"/>
    <pivotField showAll="0"/>
    <pivotField dataField="1" showAll="0"/>
    <pivotField showAll="0"/>
  </pivotFields>
  <rowFields count="1">
    <field x="0"/>
  </rowFields>
  <rowItems count="10">
    <i>
      <x v="121"/>
    </i>
    <i>
      <x v="80"/>
    </i>
    <i>
      <x v="9"/>
    </i>
    <i>
      <x v="213"/>
    </i>
    <i>
      <x v="102"/>
    </i>
    <i>
      <x v="179"/>
    </i>
    <i>
      <x v="188"/>
    </i>
    <i>
      <x v="142"/>
    </i>
    <i>
      <x v="61"/>
    </i>
    <i>
      <x v="240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comprado" fld="2" baseField="0" baseItem="0" numFmtId="165"/>
    <dataField name=" Compras por cliente" fld="6" baseField="0" baseItem="0"/>
    <dataField name="Valor promedio por compra" fld="3" baseField="0" baseItem="0" numFmtId="165"/>
    <dataField name="Promedio de Total descuentos" fld="4" subtotal="average" baseField="0" baseItem="121" numFmtId="165"/>
  </dataFields>
  <formats count="26">
    <format dxfId="99">
      <pivotArea field="0" type="button" dataOnly="0" labelOnly="1" outline="0" axis="axisRow" fieldPosition="0"/>
    </format>
    <format dxfId="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7">
      <pivotArea field="0" type="button" dataOnly="0" labelOnly="1" outline="0" axis="axisRow" fieldPosition="0"/>
    </format>
    <format dxfId="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5">
      <pivotArea field="0" type="button" dataOnly="0" labelOnly="1" outline="0" axis="axisRow" fieldPosition="0"/>
    </format>
    <format dxfId="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3">
      <pivotArea type="all" dataOnly="0" outline="0" fieldPosition="0"/>
    </format>
    <format dxfId="92">
      <pivotArea field="0" type="button" dataOnly="0" labelOnly="1" outline="0" axis="axisRow" fieldPosition="0"/>
    </format>
    <format dxfId="9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0">
      <pivotArea field="0" type="button" dataOnly="0" labelOnly="1" outline="0" axis="axisRow" fieldPosition="0"/>
    </format>
    <format dxfId="8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8">
      <pivotArea field="0" type="button" dataOnly="0" labelOnly="1" outline="0" axis="axisRow" fieldPosition="0"/>
    </format>
    <format dxfId="8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dataOnly="0" labelOnly="1" fieldPosition="0">
        <references count="1">
          <reference field="0" count="10">
            <x v="9"/>
            <x v="61"/>
            <x v="80"/>
            <x v="102"/>
            <x v="121"/>
            <x v="142"/>
            <x v="179"/>
            <x v="188"/>
            <x v="213"/>
            <x v="240"/>
          </reference>
        </references>
      </pivotArea>
    </format>
    <format dxfId="8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0">
      <pivotArea field="0" type="button" dataOnly="0" labelOnly="1" outline="0" axis="axisRow" fieldPosition="0"/>
    </format>
    <format dxfId="7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0" type="button" dataOnly="0" labelOnly="1" outline="0" axis="axisRow" fieldPosition="0"/>
    </format>
    <format dxfId="75">
      <pivotArea dataOnly="0" labelOnly="1" fieldPosition="0">
        <references count="1">
          <reference field="0" count="10">
            <x v="9"/>
            <x v="61"/>
            <x v="80"/>
            <x v="102"/>
            <x v="121"/>
            <x v="142"/>
            <x v="179"/>
            <x v="188"/>
            <x v="213"/>
            <x v="240"/>
          </reference>
        </references>
      </pivotArea>
    </format>
    <format dxfId="7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2" showRowHeaders="1" showColHeaders="1" showRowStripes="1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1C5AA-45B2-4CA9-90F7-3BAEB93C8621}" name="TablaDinámica2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L35:M38" firstHeaderRow="1" firstDataRow="1" firstDataCol="1"/>
  <pivotFields count="8">
    <pivotField dataField="1" showAll="0">
      <items count="2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t="default"/>
      </items>
    </pivotField>
    <pivotField showAll="0"/>
    <pivotField numFmtId="165" showAll="0"/>
    <pivotField numFmtId="165" showAll="0"/>
    <pivotField numFmtId="165" showAll="0"/>
    <pivotField showAll="0">
      <items count="21">
        <item x="12"/>
        <item x="13"/>
        <item x="6"/>
        <item x="16"/>
        <item x="5"/>
        <item x="1"/>
        <item x="10"/>
        <item x="7"/>
        <item x="0"/>
        <item x="8"/>
        <item x="3"/>
        <item x="9"/>
        <item x="11"/>
        <item x="17"/>
        <item x="4"/>
        <item x="14"/>
        <item x="18"/>
        <item x="2"/>
        <item x="19"/>
        <item x="15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Cuenta de Nombres" fld="0" subtotal="count" baseField="0" baseItem="0"/>
  </dataFields>
  <formats count="16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7" type="button" dataOnly="0" labelOnly="1" outline="0" axis="axisRow" fieldPosition="0"/>
    </format>
    <format dxfId="112">
      <pivotArea dataOnly="0" labelOnly="1" fieldPosition="0">
        <references count="1">
          <reference field="7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9">
      <pivotArea collapsedLevelsAreSubtotals="1" fieldPosition="0">
        <references count="1">
          <reference field="7" count="0"/>
        </references>
      </pivotArea>
    </format>
    <format dxfId="108">
      <pivotArea field="7" type="button" dataOnly="0" labelOnly="1" outline="0" axis="axisRow" fieldPosition="0"/>
    </format>
    <format dxfId="107">
      <pivotArea dataOnly="0" labelOnly="1" fieldPosition="0">
        <references count="1">
          <reference field="7" count="0"/>
        </references>
      </pivotArea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7" type="button" dataOnly="0" labelOnly="1" outline="0" axis="axisRow" fieldPosition="0"/>
    </format>
    <format dxfId="102">
      <pivotArea dataOnly="0" labelOnly="1" fieldPosition="0">
        <references count="1">
          <reference field="7" count="0"/>
        </references>
      </pivotArea>
    </format>
    <format dxfId="101">
      <pivotArea dataOnly="0" labelOnly="1" outline="0" axis="axisValues" fieldPosition="0"/>
    </format>
    <format dxfId="100">
      <pivotArea dataOnly="0" labelOnly="1" outline="0" axis="axisValues" fieldPosition="0"/>
    </format>
  </formats>
  <pivotTableStyleInfo name="PivotStyleLight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BAB77-93F6-44F5-BB9C-5E775DE6A9EA}" name="TotalPorCliente" cacheId="19" applyNumberFormats="0" applyBorderFormats="0" applyFontFormats="0" applyPatternFormats="0" applyAlignmentFormats="0" applyWidthHeightFormats="1" dataCaption="Valores" updatedVersion="8" minRefreshableVersion="3" useAutoFormatting="1" colGrandTotals="0" itemPrintTitles="1" mergeItem="1" createdVersion="8" indent="0" outline="1" outlineData="1" multipleFieldFilters="0" chartFormat="4" rowHeaderCaption="Nombres">
  <location ref="B35:H312" firstHeaderRow="0" firstDataRow="1" firstDataCol="1"/>
  <pivotFields count="24">
    <pivotField dataField="1" showAll="0"/>
    <pivotField numFmtId="14" showAll="0">
      <items count="1001">
        <item x="668"/>
        <item x="957"/>
        <item x="247"/>
        <item x="634"/>
        <item x="342"/>
        <item x="408"/>
        <item x="771"/>
        <item x="148"/>
        <item x="988"/>
        <item x="746"/>
        <item x="718"/>
        <item x="478"/>
        <item x="457"/>
        <item x="376"/>
        <item x="331"/>
        <item x="501"/>
        <item x="264"/>
        <item x="904"/>
        <item x="806"/>
        <item x="585"/>
        <item x="627"/>
        <item x="275"/>
        <item x="752"/>
        <item x="144"/>
        <item x="484"/>
        <item x="57"/>
        <item x="733"/>
        <item x="354"/>
        <item x="318"/>
        <item x="154"/>
        <item x="338"/>
        <item x="235"/>
        <item x="870"/>
        <item x="858"/>
        <item x="518"/>
        <item x="764"/>
        <item x="479"/>
        <item x="446"/>
        <item x="288"/>
        <item x="50"/>
        <item x="639"/>
        <item x="958"/>
        <item x="669"/>
        <item x="868"/>
        <item x="543"/>
        <item x="569"/>
        <item x="443"/>
        <item x="149"/>
        <item x="578"/>
        <item x="931"/>
        <item x="520"/>
        <item x="989"/>
        <item x="485"/>
        <item x="676"/>
        <item x="880"/>
        <item x="563"/>
        <item x="162"/>
        <item x="729"/>
        <item x="823"/>
        <item x="434"/>
        <item x="248"/>
        <item x="687"/>
        <item x="437"/>
        <item x="182"/>
        <item x="323"/>
        <item x="89"/>
        <item x="41"/>
        <item x="172"/>
        <item x="970"/>
        <item x="844"/>
        <item x="419"/>
        <item x="203"/>
        <item x="864"/>
        <item x="305"/>
        <item x="846"/>
        <item x="497"/>
        <item x="339"/>
        <item x="319"/>
        <item x="178"/>
        <item x="223"/>
        <item x="521"/>
        <item x="351"/>
        <item x="836"/>
        <item x="570"/>
        <item x="198"/>
        <item x="213"/>
        <item x="874"/>
        <item x="723"/>
        <item x="649"/>
        <item x="737"/>
        <item x="845"/>
        <item x="681"/>
        <item x="882"/>
        <item x="572"/>
        <item x="46"/>
        <item x="730"/>
        <item x="195"/>
        <item x="425"/>
        <item x="992"/>
        <item x="747"/>
        <item x="403"/>
        <item x="207"/>
        <item x="80"/>
        <item x="85"/>
        <item x="260"/>
        <item x="268"/>
        <item x="945"/>
        <item x="741"/>
        <item x="591"/>
        <item x="979"/>
        <item x="929"/>
        <item x="332"/>
        <item x="129"/>
        <item x="18"/>
        <item x="72"/>
        <item x="371"/>
        <item x="409"/>
        <item x="765"/>
        <item x="239"/>
        <item x="130"/>
        <item x="544"/>
        <item x="586"/>
        <item x="861"/>
        <item x="948"/>
        <item x="545"/>
        <item x="607"/>
        <item x="276"/>
        <item x="28"/>
        <item x="905"/>
        <item x="165"/>
        <item x="34"/>
        <item x="435"/>
        <item x="650"/>
        <item x="302"/>
        <item x="214"/>
        <item x="906"/>
        <item x="899"/>
        <item x="289"/>
        <item x="772"/>
        <item x="847"/>
        <item x="86"/>
        <item x="423"/>
        <item x="414"/>
        <item x="557"/>
        <item x="160"/>
        <item x="286"/>
        <item x="64"/>
        <item x="269"/>
        <item x="995"/>
        <item x="777"/>
        <item x="187"/>
        <item x="281"/>
        <item x="756"/>
        <item x="290"/>
        <item x="373"/>
        <item x="48"/>
        <item x="724"/>
        <item x="793"/>
        <item x="32"/>
        <item x="976"/>
        <item x="92"/>
        <item x="346"/>
        <item x="546"/>
        <item x="815"/>
        <item x="533"/>
        <item x="73"/>
        <item x="360"/>
        <item x="124"/>
        <item x="252"/>
        <item x="430"/>
        <item x="502"/>
        <item x="300"/>
        <item x="277"/>
        <item x="161"/>
        <item x="13"/>
        <item x="761"/>
        <item x="839"/>
        <item x="0"/>
        <item x="180"/>
        <item x="731"/>
        <item x="215"/>
        <item x="118"/>
        <item x="282"/>
        <item x="109"/>
        <item x="460"/>
        <item x="768"/>
        <item x="99"/>
        <item x="651"/>
        <item x="303"/>
        <item x="912"/>
        <item x="865"/>
        <item x="941"/>
        <item x="51"/>
        <item x="900"/>
        <item x="819"/>
        <item x="90"/>
        <item x="604"/>
        <item x="306"/>
        <item x="816"/>
        <item x="436"/>
        <item x="942"/>
        <item x="361"/>
        <item x="971"/>
        <item x="510"/>
        <item x="210"/>
        <item x="575"/>
        <item x="4"/>
        <item x="875"/>
        <item x="830"/>
        <item x="848"/>
        <item x="315"/>
        <item x="558"/>
        <item x="357"/>
        <item x="769"/>
        <item x="581"/>
        <item x="576"/>
        <item x="35"/>
        <item x="892"/>
        <item x="967"/>
        <item x="869"/>
        <item x="480"/>
        <item x="889"/>
        <item x="193"/>
        <item x="81"/>
        <item x="748"/>
        <item x="1"/>
        <item x="611"/>
        <item x="608"/>
        <item x="166"/>
        <item x="391"/>
        <item x="795"/>
        <item x="923"/>
        <item x="420"/>
        <item x="539"/>
        <item x="257"/>
        <item x="493"/>
        <item x="91"/>
        <item x="579"/>
        <item x="377"/>
        <item x="69"/>
        <item x="503"/>
        <item x="893"/>
        <item x="959"/>
        <item x="261"/>
        <item x="106"/>
        <item x="415"/>
        <item x="77"/>
        <item x="358"/>
        <item x="244"/>
        <item x="58"/>
        <item x="254"/>
        <item x="486"/>
        <item x="30"/>
        <item x="36"/>
        <item x="155"/>
        <item x="199"/>
        <item x="762"/>
        <item x="960"/>
        <item x="228"/>
        <item x="656"/>
        <item x="398"/>
        <item x="100"/>
        <item x="547"/>
        <item x="785"/>
        <item x="786"/>
        <item x="125"/>
        <item x="711"/>
        <item x="93"/>
        <item x="548"/>
        <item x="866"/>
        <item x="386"/>
        <item x="504"/>
        <item x="74"/>
        <item x="505"/>
        <item x="612"/>
        <item x="333"/>
        <item x="564"/>
        <item x="7"/>
        <item x="487"/>
        <item x="635"/>
        <item x="374"/>
        <item x="270"/>
        <item x="463"/>
        <item x="249"/>
        <item x="917"/>
        <item x="691"/>
        <item x="301"/>
        <item x="661"/>
        <item x="131"/>
        <item x="362"/>
        <item x="52"/>
        <item x="313"/>
        <item x="37"/>
        <item x="167"/>
        <item x="600"/>
        <item x="169"/>
        <item x="234"/>
        <item x="592"/>
        <item x="107"/>
        <item x="742"/>
        <item x="704"/>
        <item x="464"/>
        <item x="410"/>
        <item x="881"/>
        <item x="883"/>
        <item x="168"/>
        <item x="790"/>
        <item x="454"/>
        <item x="216"/>
        <item x="849"/>
        <item x="42"/>
        <item x="910"/>
        <item x="782"/>
        <item x="367"/>
        <item x="787"/>
        <item x="699"/>
        <item x="688"/>
        <item x="977"/>
        <item x="43"/>
        <item x="465"/>
        <item x="217"/>
        <item x="918"/>
        <item x="295"/>
        <item x="426"/>
        <item x="884"/>
        <item x="421"/>
        <item x="271"/>
        <item x="494"/>
        <item x="413"/>
        <item x="344"/>
        <item x="104"/>
        <item x="112"/>
        <item x="208"/>
        <item x="587"/>
        <item x="743"/>
        <item x="156"/>
        <item x="218"/>
        <item x="44"/>
        <item x="695"/>
        <item x="840"/>
        <item x="571"/>
        <item x="619"/>
        <item x="139"/>
        <item x="802"/>
        <item x="712"/>
        <item x="488"/>
        <item x="511"/>
        <item x="316"/>
        <item x="304"/>
        <item x="8"/>
        <item x="936"/>
        <item x="705"/>
        <item x="343"/>
        <item x="2"/>
        <item x="470"/>
        <item x="657"/>
        <item x="827"/>
        <item x="963"/>
        <item x="871"/>
        <item x="61"/>
        <item x="307"/>
        <item x="588"/>
        <item x="828"/>
        <item x="236"/>
        <item x="662"/>
        <item x="719"/>
        <item x="876"/>
        <item x="237"/>
        <item x="640"/>
        <item x="163"/>
        <item x="983"/>
        <item x="773"/>
        <item x="913"/>
        <item x="283"/>
        <item x="630"/>
        <item x="96"/>
        <item x="438"/>
        <item x="416"/>
        <item x="448"/>
        <item x="620"/>
        <item x="135"/>
        <item x="559"/>
        <item x="31"/>
        <item x="554"/>
        <item x="308"/>
        <item x="833"/>
        <item x="837"/>
        <item x="49"/>
        <item x="734"/>
        <item x="817"/>
        <item x="732"/>
        <item x="593"/>
        <item x="498"/>
        <item x="204"/>
        <item x="984"/>
        <item x="641"/>
        <item x="636"/>
        <item x="368"/>
        <item x="788"/>
        <item x="262"/>
        <item x="364"/>
        <item x="609"/>
        <item x="938"/>
        <item x="850"/>
        <item x="183"/>
        <item x="927"/>
        <item x="841"/>
        <item x="489"/>
        <item x="949"/>
        <item x="291"/>
        <item x="700"/>
        <item x="534"/>
        <item x="461"/>
        <item x="677"/>
        <item x="980"/>
        <item x="613"/>
        <item x="621"/>
        <item x="411"/>
        <item x="219"/>
        <item x="716"/>
        <item x="594"/>
        <item x="240"/>
        <item x="803"/>
        <item x="314"/>
        <item x="365"/>
        <item x="490"/>
        <item x="972"/>
        <item x="646"/>
        <item x="145"/>
        <item x="666"/>
        <item x="862"/>
        <item x="378"/>
        <item x="132"/>
        <item x="522"/>
        <item x="406"/>
        <item x="854"/>
        <item x="19"/>
        <item x="996"/>
        <item x="507"/>
        <item x="188"/>
        <item x="47"/>
        <item x="744"/>
        <item x="427"/>
        <item x="220"/>
        <item x="713"/>
        <item x="753"/>
        <item x="528"/>
        <item x="968"/>
        <item x="757"/>
        <item x="455"/>
        <item x="309"/>
        <item x="950"/>
        <item x="993"/>
        <item x="512"/>
        <item x="94"/>
        <item x="381"/>
        <item x="352"/>
        <item x="355"/>
        <item x="379"/>
        <item x="774"/>
        <item x="119"/>
        <item x="523"/>
        <item x="985"/>
        <item x="541"/>
        <item x="45"/>
        <item x="580"/>
        <item x="725"/>
        <item x="495"/>
        <item x="907"/>
        <item x="317"/>
        <item x="824"/>
        <item x="327"/>
        <item x="919"/>
        <item x="175"/>
        <item x="706"/>
        <item x="961"/>
        <item x="791"/>
        <item x="205"/>
        <item x="422"/>
        <item x="549"/>
        <item x="631"/>
        <item x="229"/>
        <item x="535"/>
        <item x="749"/>
        <item x="328"/>
        <item x="20"/>
        <item x="287"/>
        <item x="114"/>
        <item x="946"/>
        <item x="189"/>
        <item x="890"/>
        <item x="471"/>
        <item x="26"/>
        <item x="820"/>
        <item x="908"/>
        <item x="692"/>
        <item x="190"/>
        <item x="796"/>
        <item x="366"/>
        <item x="701"/>
        <item x="508"/>
        <item x="150"/>
        <item x="577"/>
        <item x="115"/>
        <item x="673"/>
        <item x="509"/>
        <item x="601"/>
        <item x="696"/>
        <item x="990"/>
        <item x="292"/>
        <item x="831"/>
        <item x="78"/>
        <item x="973"/>
        <item x="151"/>
        <item x="120"/>
        <item x="424"/>
        <item x="259"/>
        <item x="38"/>
        <item x="911"/>
        <item x="491"/>
        <item x="708"/>
        <item x="387"/>
        <item x="230"/>
        <item x="783"/>
        <item x="829"/>
        <item x="797"/>
        <item x="59"/>
        <item x="885"/>
        <item x="126"/>
        <item x="663"/>
        <item x="565"/>
        <item x="697"/>
        <item x="428"/>
        <item x="184"/>
        <item x="191"/>
        <item x="779"/>
        <item x="250"/>
        <item x="224"/>
        <item x="101"/>
        <item x="821"/>
        <item x="476"/>
        <item x="622"/>
        <item x="702"/>
        <item x="735"/>
        <item x="238"/>
        <item x="340"/>
        <item x="770"/>
        <item x="329"/>
        <item x="407"/>
        <item x="596"/>
        <item x="914"/>
        <item x="272"/>
        <item x="334"/>
        <item x="466"/>
        <item x="939"/>
        <item x="506"/>
        <item x="404"/>
        <item x="855"/>
        <item x="974"/>
        <item x="962"/>
        <item x="524"/>
        <item x="717"/>
        <item x="664"/>
        <item x="685"/>
        <item x="258"/>
        <item x="678"/>
        <item x="573"/>
        <item x="356"/>
        <item x="943"/>
        <item x="121"/>
        <item x="720"/>
        <item x="472"/>
        <item x="194"/>
        <item x="492"/>
        <item x="667"/>
        <item x="709"/>
        <item x="780"/>
        <item x="335"/>
        <item x="84"/>
        <item x="140"/>
        <item x="293"/>
        <item x="245"/>
        <item x="648"/>
        <item x="200"/>
        <item x="136"/>
        <item x="21"/>
        <item x="605"/>
        <item x="481"/>
        <item x="60"/>
        <item x="728"/>
        <item x="825"/>
        <item x="658"/>
        <item x="467"/>
        <item x="39"/>
        <item x="642"/>
        <item x="670"/>
        <item x="468"/>
        <item x="265"/>
        <item x="781"/>
        <item x="157"/>
        <item x="975"/>
        <item x="838"/>
        <item x="87"/>
        <item x="458"/>
        <item x="529"/>
        <item x="221"/>
        <item x="431"/>
        <item x="369"/>
        <item x="872"/>
        <item x="754"/>
        <item x="5"/>
        <item x="894"/>
        <item x="647"/>
        <item x="920"/>
        <item x="721"/>
        <item x="566"/>
        <item x="582"/>
        <item x="944"/>
        <item x="915"/>
        <item x="632"/>
        <item x="628"/>
        <item x="530"/>
        <item x="320"/>
        <item x="583"/>
        <item x="158"/>
        <item x="231"/>
        <item x="536"/>
        <item x="322"/>
        <item x="726"/>
        <item x="266"/>
        <item x="179"/>
        <item x="981"/>
        <item x="537"/>
        <item x="241"/>
        <item x="951"/>
        <item x="27"/>
        <item x="192"/>
        <item x="22"/>
        <item x="170"/>
        <item x="916"/>
        <item x="273"/>
        <item x="171"/>
        <item x="347"/>
        <item x="952"/>
        <item x="449"/>
        <item x="947"/>
        <item x="851"/>
        <item x="901"/>
        <item x="689"/>
        <item x="477"/>
        <item x="602"/>
        <item x="834"/>
        <item x="842"/>
        <item x="321"/>
        <item x="116"/>
        <item x="450"/>
        <item x="392"/>
        <item x="263"/>
        <item x="986"/>
        <item x="324"/>
        <item x="399"/>
        <item x="686"/>
        <item x="146"/>
        <item x="637"/>
        <item x="809"/>
        <item x="758"/>
        <item x="665"/>
        <item x="921"/>
        <item x="173"/>
        <item x="176"/>
        <item x="722"/>
        <item x="105"/>
        <item x="930"/>
        <item x="886"/>
        <item x="629"/>
        <item x="196"/>
        <item x="141"/>
        <item x="439"/>
        <item x="440"/>
        <item x="707"/>
        <item x="255"/>
        <item x="372"/>
        <item x="638"/>
        <item x="964"/>
        <item x="598"/>
        <item x="79"/>
        <item x="991"/>
        <item x="811"/>
        <item x="382"/>
        <item x="88"/>
        <item x="633"/>
        <item x="23"/>
        <item x="225"/>
        <item x="174"/>
        <item x="388"/>
        <item x="159"/>
        <item x="113"/>
        <item x="610"/>
        <item x="584"/>
        <item x="674"/>
        <item x="137"/>
        <item x="298"/>
        <item x="9"/>
        <item x="750"/>
        <item x="924"/>
        <item x="736"/>
        <item x="766"/>
        <item x="859"/>
        <item x="256"/>
        <item x="122"/>
        <item x="574"/>
        <item x="994"/>
        <item x="152"/>
        <item x="451"/>
        <item x="330"/>
        <item x="513"/>
        <item x="818"/>
        <item x="452"/>
        <item x="835"/>
        <item x="278"/>
        <item x="922"/>
        <item x="555"/>
        <item x="538"/>
        <item x="209"/>
        <item x="614"/>
        <item x="444"/>
        <item x="432"/>
        <item x="745"/>
        <item x="336"/>
        <item x="997"/>
        <item x="550"/>
        <item x="514"/>
        <item x="759"/>
        <item x="955"/>
        <item x="389"/>
        <item x="251"/>
        <item x="348"/>
        <item x="310"/>
        <item x="185"/>
        <item x="940"/>
        <item x="117"/>
        <item x="714"/>
        <item x="14"/>
        <item x="763"/>
        <item x="540"/>
        <item x="345"/>
        <item x="142"/>
        <item x="643"/>
        <item x="456"/>
        <item x="789"/>
        <item x="615"/>
        <item x="417"/>
        <item x="778"/>
        <item x="441"/>
        <item x="54"/>
        <item x="623"/>
        <item x="143"/>
        <item x="599"/>
        <item x="680"/>
        <item x="226"/>
        <item x="393"/>
        <item x="810"/>
        <item x="433"/>
        <item x="10"/>
        <item x="978"/>
        <item x="895"/>
        <item x="775"/>
        <item x="110"/>
        <item x="525"/>
        <item x="469"/>
        <item x="62"/>
        <item x="519"/>
        <item x="383"/>
        <item x="644"/>
        <item x="380"/>
        <item x="133"/>
        <item x="15"/>
        <item x="589"/>
        <item x="526"/>
        <item x="211"/>
        <item x="6"/>
        <item x="760"/>
        <item x="953"/>
        <item x="982"/>
        <item x="29"/>
        <item x="499"/>
        <item x="164"/>
        <item x="515"/>
        <item x="925"/>
        <item x="832"/>
        <item x="560"/>
        <item x="965"/>
        <item x="212"/>
        <item x="496"/>
        <item x="75"/>
        <item x="767"/>
        <item x="659"/>
        <item x="63"/>
        <item x="55"/>
        <item x="429"/>
        <item x="363"/>
        <item x="16"/>
        <item x="932"/>
        <item x="473"/>
        <item x="246"/>
        <item x="462"/>
        <item x="926"/>
        <item x="412"/>
        <item x="812"/>
        <item x="296"/>
        <item x="738"/>
        <item x="325"/>
        <item x="567"/>
        <item x="597"/>
        <item x="703"/>
        <item x="134"/>
        <item x="652"/>
        <item x="891"/>
        <item x="826"/>
        <item x="860"/>
        <item x="813"/>
        <item x="24"/>
        <item x="626"/>
        <item x="909"/>
        <item x="804"/>
        <item x="856"/>
        <item x="698"/>
        <item x="108"/>
        <item x="933"/>
        <item x="56"/>
        <item x="181"/>
        <item x="359"/>
        <item x="294"/>
        <item x="660"/>
        <item x="400"/>
        <item x="867"/>
        <item x="65"/>
        <item x="679"/>
        <item x="401"/>
        <item x="66"/>
        <item x="516"/>
        <item x="956"/>
        <item x="459"/>
        <item x="857"/>
        <item x="127"/>
        <item x="527"/>
        <item x="784"/>
        <item x="715"/>
        <item x="53"/>
        <item x="896"/>
        <item x="794"/>
        <item x="887"/>
        <item x="671"/>
        <item x="798"/>
        <item x="402"/>
        <item x="843"/>
        <item x="561"/>
        <item x="405"/>
        <item x="934"/>
        <item x="25"/>
        <item x="969"/>
        <item x="998"/>
        <item x="624"/>
        <item x="197"/>
        <item x="279"/>
        <item x="3"/>
        <item x="394"/>
        <item x="11"/>
        <item x="645"/>
        <item x="102"/>
        <item x="863"/>
        <item x="153"/>
        <item x="595"/>
        <item x="395"/>
        <item x="799"/>
        <item x="350"/>
        <item x="693"/>
        <item x="897"/>
        <item x="253"/>
        <item x="682"/>
        <item x="67"/>
        <item x="138"/>
        <item x="617"/>
        <item x="70"/>
        <item x="103"/>
        <item x="274"/>
        <item x="97"/>
        <item x="590"/>
        <item x="299"/>
        <item x="82"/>
        <item x="242"/>
        <item x="186"/>
        <item x="807"/>
        <item x="267"/>
        <item x="987"/>
        <item x="898"/>
        <item x="396"/>
        <item x="297"/>
        <item x="232"/>
        <item x="375"/>
        <item x="222"/>
        <item x="442"/>
        <item x="12"/>
        <item x="800"/>
        <item x="877"/>
        <item x="206"/>
        <item x="353"/>
        <item x="95"/>
        <item x="40"/>
        <item x="562"/>
        <item x="280"/>
        <item x="311"/>
        <item x="873"/>
        <item x="822"/>
        <item x="390"/>
        <item x="653"/>
        <item x="808"/>
        <item x="902"/>
        <item x="312"/>
        <item x="683"/>
        <item x="453"/>
        <item x="98"/>
        <item x="852"/>
        <item x="500"/>
        <item x="177"/>
        <item x="937"/>
        <item x="616"/>
        <item x="201"/>
        <item x="447"/>
        <item x="935"/>
        <item x="903"/>
        <item x="202"/>
        <item x="397"/>
        <item x="531"/>
        <item x="542"/>
        <item x="690"/>
        <item x="654"/>
        <item x="710"/>
        <item x="418"/>
        <item x="739"/>
        <item x="384"/>
        <item x="672"/>
        <item x="17"/>
        <item x="33"/>
        <item x="370"/>
        <item x="776"/>
        <item x="684"/>
        <item x="792"/>
        <item x="227"/>
        <item x="928"/>
        <item x="751"/>
        <item x="349"/>
        <item x="888"/>
        <item x="625"/>
        <item x="878"/>
        <item x="694"/>
        <item x="147"/>
        <item x="999"/>
        <item x="128"/>
        <item x="76"/>
        <item x="474"/>
        <item x="284"/>
        <item x="966"/>
        <item x="111"/>
        <item x="814"/>
        <item x="805"/>
        <item x="482"/>
        <item x="801"/>
        <item x="675"/>
        <item x="68"/>
        <item x="445"/>
        <item x="483"/>
        <item x="233"/>
        <item x="71"/>
        <item x="727"/>
        <item x="337"/>
        <item x="568"/>
        <item x="475"/>
        <item x="83"/>
        <item x="552"/>
        <item x="603"/>
        <item x="326"/>
        <item x="655"/>
        <item x="285"/>
        <item x="755"/>
        <item x="740"/>
        <item x="532"/>
        <item x="243"/>
        <item x="341"/>
        <item x="954"/>
        <item x="556"/>
        <item x="553"/>
        <item x="618"/>
        <item x="123"/>
        <item x="853"/>
        <item x="606"/>
        <item x="551"/>
        <item x="517"/>
        <item x="385"/>
        <item x="879"/>
        <item t="default"/>
      </items>
    </pivotField>
    <pivotField showAll="0"/>
    <pivotField showAll="0"/>
    <pivotField showAll="0"/>
    <pivotField axis="axisRow" showAll="0">
      <items count="2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2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Edad cliente" fld="8" subtotal="average" baseField="5" baseItem="5"/>
    <dataField name="Valor total comprado" fld="19" baseField="0" baseItem="0" numFmtId="165"/>
    <dataField name="Promedio por compra" fld="19" subtotal="average" baseField="5" baseItem="9" numFmtId="165"/>
    <dataField name="Total descuentos" fld="18" baseField="0" baseItem="0" numFmtId="165"/>
    <dataField name="Total de articulos comprados" fld="15" baseField="0" baseItem="0"/>
    <dataField name="Compras por cliente" fld="0" subtotal="count" baseField="5" baseItem="0"/>
  </dataFields>
  <formats count="36">
    <format dxfId="151">
      <pivotArea field="5" type="button" dataOnly="0" labelOnly="1" outline="0" axis="axisRow" fieldPosition="0"/>
    </format>
    <format dxfId="150">
      <pivotArea dataOnly="0" labelOnly="1" outline="0" fieldPosition="0">
        <references count="1">
          <reference field="4294967294" count="4">
            <x v="1"/>
            <x v="3"/>
            <x v="4"/>
            <x v="5"/>
          </reference>
        </references>
      </pivotArea>
    </format>
    <format dxfId="149">
      <pivotArea dataOnly="0" labelOnly="1" outline="0" fieldPosition="0">
        <references count="1">
          <reference field="4294967294" count="4">
            <x v="1"/>
            <x v="3"/>
            <x v="4"/>
            <x v="5"/>
          </reference>
        </references>
      </pivotArea>
    </format>
    <format dxfId="148">
      <pivotArea collapsedLevelsAreSubtotals="1" fieldPosition="0">
        <references count="1">
          <reference field="5" count="1">
            <x v="19"/>
          </reference>
        </references>
      </pivotArea>
    </format>
    <format dxfId="147">
      <pivotArea dataOnly="0" labelOnly="1" fieldPosition="0">
        <references count="1">
          <reference field="5" count="1">
            <x v="19"/>
          </reference>
        </references>
      </pivotArea>
    </format>
    <format dxfId="1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5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  <format dxfId="14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3">
      <pivotArea outline="0" collapsedLevelsAreSubtotals="1" fieldPosition="0">
        <references count="1">
          <reference field="4294967294" count="2" selected="0">
            <x v="1"/>
            <x v="3"/>
          </reference>
        </references>
      </pivotArea>
    </format>
    <format dxfId="142">
      <pivotArea dataOnly="0" labelOnly="1" outline="0" fieldPosition="0">
        <references count="1">
          <reference field="4294967294" count="2">
            <x v="1"/>
            <x v="3"/>
          </reference>
        </references>
      </pivotArea>
    </format>
    <format dxfId="1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9">
      <pivotArea field="5" type="button" dataOnly="0" labelOnly="1" outline="0" axis="axisRow" fieldPosition="0"/>
    </format>
    <format dxfId="1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5" type="button" dataOnly="0" labelOnly="1" outline="0" axis="axisRow" fieldPosition="0"/>
    </format>
    <format dxfId="134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3">
      <pivotArea dataOnly="0" labelOnly="1" fieldPosition="0">
        <references count="1">
          <reference field="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32">
      <pivotArea dataOnly="0" labelOnly="1" fieldPosition="0">
        <references count="1">
          <reference field="5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31">
      <pivotArea dataOnly="0" labelOnly="1" fieldPosition="0">
        <references count="1">
          <reference field="5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30">
      <pivotArea dataOnly="0" labelOnly="1" fieldPosition="0">
        <references count="1">
          <reference field="5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29">
      <pivotArea dataOnly="0" labelOnly="1" fieldPosition="0">
        <references count="1">
          <reference field="5" count="26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</reference>
        </references>
      </pivotArea>
    </format>
    <format dxfId="128">
      <pivotArea dataOnly="0" labelOnly="1" grandRow="1" outline="0" fieldPosition="0"/>
    </format>
    <format dxfId="12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5" type="button" dataOnly="0" labelOnly="1" outline="0" axis="axisRow" fieldPosition="0"/>
    </format>
    <format dxfId="123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2">
      <pivotArea dataOnly="0" labelOnly="1" fieldPosition="0">
        <references count="1">
          <reference field="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21">
      <pivotArea dataOnly="0" labelOnly="1" fieldPosition="0">
        <references count="1">
          <reference field="5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20">
      <pivotArea dataOnly="0" labelOnly="1" fieldPosition="0">
        <references count="1">
          <reference field="5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19">
      <pivotArea dataOnly="0" labelOnly="1" fieldPosition="0">
        <references count="1">
          <reference field="5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18">
      <pivotArea dataOnly="0" labelOnly="1" fieldPosition="0">
        <references count="1">
          <reference field="5" count="26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</reference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0C089-BABB-4EA2-AC39-FF3CE6BF2EE7}" name="TablaDinámica6" cacheId="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O35:S39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Recuento de Genero" fld="1" subtotal="count" baseField="0" baseItem="0"/>
  </dataFields>
  <formats count="1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2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1">
          <reference field="2" count="0"/>
        </references>
      </pivotArea>
    </format>
    <format dxfId="9">
      <pivotArea dataOnly="0" labelOnly="1" grandCol="1" outline="0" fieldPosition="0"/>
    </format>
  </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2" showRowHeaders="1" showColHeaders="1" showRowStripes="1" showColStripes="0" showLastColumn="1"/>
  <rowHierarchiesUsage count="1">
    <rowHierarchyUsage hierarchyUsage="7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ientes!$B$33:$J$309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D550C-3DC9-4FFF-B167-0401BD1150B8}" name="TablaDinámica1" cacheId="19" applyNumberFormats="0" applyBorderFormats="0" applyFontFormats="0" applyPatternFormats="0" applyAlignmentFormats="0" applyWidthHeightFormats="1" dataCaption="Valores" grandTotalCaption="Total " updatedVersion="8" minRefreshableVersion="3" useAutoFormatting="1" itemPrintTitles="1" createdVersion="8" indent="0" outline="1" outlineData="1" multipleFieldFilters="0" rowHeaderCaption="ID de vendedor">
  <location ref="B21:H93" firstHeaderRow="1" firstDataRow="2" firstDataCol="1"/>
  <pivotFields count="24">
    <pivotField showAll="0"/>
    <pivotField numFmtId="14" showAll="0">
      <items count="1001">
        <item x="668"/>
        <item x="957"/>
        <item x="247"/>
        <item x="634"/>
        <item x="342"/>
        <item x="408"/>
        <item x="771"/>
        <item x="148"/>
        <item x="988"/>
        <item x="746"/>
        <item x="718"/>
        <item x="478"/>
        <item x="457"/>
        <item x="376"/>
        <item x="331"/>
        <item x="501"/>
        <item x="264"/>
        <item x="904"/>
        <item x="806"/>
        <item x="585"/>
        <item x="627"/>
        <item x="275"/>
        <item x="752"/>
        <item x="144"/>
        <item x="484"/>
        <item x="57"/>
        <item x="733"/>
        <item x="354"/>
        <item x="318"/>
        <item x="154"/>
        <item x="338"/>
        <item x="235"/>
        <item x="870"/>
        <item x="858"/>
        <item x="518"/>
        <item x="764"/>
        <item x="479"/>
        <item x="446"/>
        <item x="288"/>
        <item x="50"/>
        <item x="639"/>
        <item x="958"/>
        <item x="669"/>
        <item x="868"/>
        <item x="543"/>
        <item x="569"/>
        <item x="443"/>
        <item x="149"/>
        <item x="578"/>
        <item x="931"/>
        <item x="520"/>
        <item x="989"/>
        <item x="485"/>
        <item x="676"/>
        <item x="880"/>
        <item x="563"/>
        <item x="162"/>
        <item x="729"/>
        <item x="823"/>
        <item x="434"/>
        <item x="248"/>
        <item x="687"/>
        <item x="437"/>
        <item x="182"/>
        <item x="323"/>
        <item x="89"/>
        <item x="41"/>
        <item x="172"/>
        <item x="970"/>
        <item x="844"/>
        <item x="419"/>
        <item x="203"/>
        <item x="864"/>
        <item x="305"/>
        <item x="846"/>
        <item x="497"/>
        <item x="339"/>
        <item x="319"/>
        <item x="178"/>
        <item x="223"/>
        <item x="521"/>
        <item x="351"/>
        <item x="836"/>
        <item x="570"/>
        <item x="198"/>
        <item x="213"/>
        <item x="874"/>
        <item x="723"/>
        <item x="649"/>
        <item x="737"/>
        <item x="845"/>
        <item x="681"/>
        <item x="882"/>
        <item x="572"/>
        <item x="46"/>
        <item x="730"/>
        <item x="195"/>
        <item x="425"/>
        <item x="992"/>
        <item x="747"/>
        <item x="403"/>
        <item x="207"/>
        <item x="80"/>
        <item x="85"/>
        <item x="260"/>
        <item x="268"/>
        <item x="945"/>
        <item x="741"/>
        <item x="591"/>
        <item x="979"/>
        <item x="929"/>
        <item x="332"/>
        <item x="129"/>
        <item x="18"/>
        <item x="72"/>
        <item x="371"/>
        <item x="409"/>
        <item x="765"/>
        <item x="239"/>
        <item x="130"/>
        <item x="544"/>
        <item x="586"/>
        <item x="861"/>
        <item x="948"/>
        <item x="545"/>
        <item x="607"/>
        <item x="276"/>
        <item x="28"/>
        <item x="905"/>
        <item x="165"/>
        <item x="34"/>
        <item x="435"/>
        <item x="650"/>
        <item x="302"/>
        <item x="214"/>
        <item x="906"/>
        <item x="899"/>
        <item x="289"/>
        <item x="772"/>
        <item x="847"/>
        <item x="86"/>
        <item x="423"/>
        <item x="414"/>
        <item x="557"/>
        <item x="160"/>
        <item x="286"/>
        <item x="64"/>
        <item x="269"/>
        <item x="995"/>
        <item x="777"/>
        <item x="187"/>
        <item x="281"/>
        <item x="756"/>
        <item x="290"/>
        <item x="373"/>
        <item x="48"/>
        <item x="724"/>
        <item x="793"/>
        <item x="32"/>
        <item x="976"/>
        <item x="92"/>
        <item x="346"/>
        <item x="546"/>
        <item x="815"/>
        <item x="533"/>
        <item x="73"/>
        <item x="360"/>
        <item x="124"/>
        <item x="252"/>
        <item x="430"/>
        <item x="502"/>
        <item x="300"/>
        <item x="277"/>
        <item x="161"/>
        <item x="13"/>
        <item x="761"/>
        <item x="839"/>
        <item x="0"/>
        <item x="180"/>
        <item x="731"/>
        <item x="215"/>
        <item x="118"/>
        <item x="282"/>
        <item x="109"/>
        <item x="460"/>
        <item x="768"/>
        <item x="99"/>
        <item x="651"/>
        <item x="303"/>
        <item x="912"/>
        <item x="865"/>
        <item x="941"/>
        <item x="51"/>
        <item x="900"/>
        <item x="819"/>
        <item x="90"/>
        <item x="604"/>
        <item x="306"/>
        <item x="816"/>
        <item x="436"/>
        <item x="942"/>
        <item x="361"/>
        <item x="971"/>
        <item x="510"/>
        <item x="210"/>
        <item x="575"/>
        <item x="4"/>
        <item x="875"/>
        <item x="830"/>
        <item x="848"/>
        <item x="315"/>
        <item x="558"/>
        <item x="357"/>
        <item x="769"/>
        <item x="581"/>
        <item x="576"/>
        <item x="35"/>
        <item x="892"/>
        <item x="967"/>
        <item x="869"/>
        <item x="480"/>
        <item x="889"/>
        <item x="193"/>
        <item x="81"/>
        <item x="748"/>
        <item x="1"/>
        <item x="611"/>
        <item x="608"/>
        <item x="166"/>
        <item x="391"/>
        <item x="795"/>
        <item x="923"/>
        <item x="420"/>
        <item x="539"/>
        <item x="257"/>
        <item x="493"/>
        <item x="91"/>
        <item x="579"/>
        <item x="377"/>
        <item x="69"/>
        <item x="503"/>
        <item x="893"/>
        <item x="959"/>
        <item x="261"/>
        <item x="106"/>
        <item x="415"/>
        <item x="77"/>
        <item x="358"/>
        <item x="244"/>
        <item x="58"/>
        <item x="254"/>
        <item x="486"/>
        <item x="30"/>
        <item x="36"/>
        <item x="155"/>
        <item x="199"/>
        <item x="762"/>
        <item x="960"/>
        <item x="228"/>
        <item x="656"/>
        <item x="398"/>
        <item x="100"/>
        <item x="547"/>
        <item x="785"/>
        <item x="786"/>
        <item x="125"/>
        <item x="711"/>
        <item x="93"/>
        <item x="548"/>
        <item x="866"/>
        <item x="386"/>
        <item x="504"/>
        <item x="74"/>
        <item x="505"/>
        <item x="612"/>
        <item x="333"/>
        <item x="564"/>
        <item x="7"/>
        <item x="487"/>
        <item x="635"/>
        <item x="374"/>
        <item x="270"/>
        <item x="463"/>
        <item x="249"/>
        <item x="917"/>
        <item x="691"/>
        <item x="301"/>
        <item x="661"/>
        <item x="131"/>
        <item x="362"/>
        <item x="52"/>
        <item x="313"/>
        <item x="37"/>
        <item x="167"/>
        <item x="600"/>
        <item x="169"/>
        <item x="234"/>
        <item x="592"/>
        <item x="107"/>
        <item x="742"/>
        <item x="704"/>
        <item x="464"/>
        <item x="410"/>
        <item x="881"/>
        <item x="883"/>
        <item x="168"/>
        <item x="790"/>
        <item x="454"/>
        <item x="216"/>
        <item x="849"/>
        <item x="42"/>
        <item x="910"/>
        <item x="782"/>
        <item x="367"/>
        <item x="787"/>
        <item x="699"/>
        <item x="688"/>
        <item x="977"/>
        <item x="43"/>
        <item x="465"/>
        <item x="217"/>
        <item x="918"/>
        <item x="295"/>
        <item x="426"/>
        <item x="884"/>
        <item x="421"/>
        <item x="271"/>
        <item x="494"/>
        <item x="413"/>
        <item x="344"/>
        <item x="104"/>
        <item x="112"/>
        <item x="208"/>
        <item x="587"/>
        <item x="743"/>
        <item x="156"/>
        <item x="218"/>
        <item x="44"/>
        <item x="695"/>
        <item x="840"/>
        <item x="571"/>
        <item x="619"/>
        <item x="139"/>
        <item x="802"/>
        <item x="712"/>
        <item x="488"/>
        <item x="511"/>
        <item x="316"/>
        <item x="304"/>
        <item x="8"/>
        <item x="936"/>
        <item x="705"/>
        <item x="343"/>
        <item x="2"/>
        <item x="470"/>
        <item x="657"/>
        <item x="827"/>
        <item x="963"/>
        <item x="871"/>
        <item x="61"/>
        <item x="307"/>
        <item x="588"/>
        <item x="828"/>
        <item x="236"/>
        <item x="662"/>
        <item x="719"/>
        <item x="876"/>
        <item x="237"/>
        <item x="640"/>
        <item x="163"/>
        <item x="983"/>
        <item x="773"/>
        <item x="913"/>
        <item x="283"/>
        <item x="630"/>
        <item x="96"/>
        <item x="438"/>
        <item x="416"/>
        <item x="448"/>
        <item x="620"/>
        <item x="135"/>
        <item x="559"/>
        <item x="31"/>
        <item x="554"/>
        <item x="308"/>
        <item x="833"/>
        <item x="837"/>
        <item x="49"/>
        <item x="734"/>
        <item x="817"/>
        <item x="732"/>
        <item x="593"/>
        <item x="498"/>
        <item x="204"/>
        <item x="984"/>
        <item x="641"/>
        <item x="636"/>
        <item x="368"/>
        <item x="788"/>
        <item x="262"/>
        <item x="364"/>
        <item x="609"/>
        <item x="938"/>
        <item x="850"/>
        <item x="183"/>
        <item x="927"/>
        <item x="841"/>
        <item x="489"/>
        <item x="949"/>
        <item x="291"/>
        <item x="700"/>
        <item x="534"/>
        <item x="461"/>
        <item x="677"/>
        <item x="980"/>
        <item x="613"/>
        <item x="621"/>
        <item x="411"/>
        <item x="219"/>
        <item x="716"/>
        <item x="594"/>
        <item x="240"/>
        <item x="803"/>
        <item x="314"/>
        <item x="365"/>
        <item x="490"/>
        <item x="972"/>
        <item x="646"/>
        <item x="145"/>
        <item x="666"/>
        <item x="862"/>
        <item x="378"/>
        <item x="132"/>
        <item x="522"/>
        <item x="406"/>
        <item x="854"/>
        <item x="19"/>
        <item x="996"/>
        <item x="507"/>
        <item x="188"/>
        <item x="47"/>
        <item x="744"/>
        <item x="427"/>
        <item x="220"/>
        <item x="713"/>
        <item x="753"/>
        <item x="528"/>
        <item x="968"/>
        <item x="757"/>
        <item x="455"/>
        <item x="309"/>
        <item x="950"/>
        <item x="993"/>
        <item x="512"/>
        <item x="94"/>
        <item x="381"/>
        <item x="352"/>
        <item x="355"/>
        <item x="379"/>
        <item x="774"/>
        <item x="119"/>
        <item x="523"/>
        <item x="985"/>
        <item x="541"/>
        <item x="45"/>
        <item x="580"/>
        <item x="725"/>
        <item x="495"/>
        <item x="907"/>
        <item x="317"/>
        <item x="824"/>
        <item x="327"/>
        <item x="919"/>
        <item x="175"/>
        <item x="706"/>
        <item x="961"/>
        <item x="791"/>
        <item x="205"/>
        <item x="422"/>
        <item x="549"/>
        <item x="631"/>
        <item x="229"/>
        <item x="535"/>
        <item x="749"/>
        <item x="328"/>
        <item x="20"/>
        <item x="287"/>
        <item x="114"/>
        <item x="946"/>
        <item x="189"/>
        <item x="890"/>
        <item x="471"/>
        <item x="26"/>
        <item x="820"/>
        <item x="908"/>
        <item x="692"/>
        <item x="190"/>
        <item x="796"/>
        <item x="366"/>
        <item x="701"/>
        <item x="508"/>
        <item x="150"/>
        <item x="577"/>
        <item x="115"/>
        <item x="673"/>
        <item x="509"/>
        <item x="601"/>
        <item x="696"/>
        <item x="990"/>
        <item x="292"/>
        <item x="831"/>
        <item x="78"/>
        <item x="973"/>
        <item x="151"/>
        <item x="120"/>
        <item x="424"/>
        <item x="259"/>
        <item x="38"/>
        <item x="911"/>
        <item x="491"/>
        <item x="708"/>
        <item x="387"/>
        <item x="230"/>
        <item x="783"/>
        <item x="829"/>
        <item x="797"/>
        <item x="59"/>
        <item x="885"/>
        <item x="126"/>
        <item x="663"/>
        <item x="565"/>
        <item x="697"/>
        <item x="428"/>
        <item x="184"/>
        <item x="191"/>
        <item x="779"/>
        <item x="250"/>
        <item x="224"/>
        <item x="101"/>
        <item x="821"/>
        <item x="476"/>
        <item x="622"/>
        <item x="702"/>
        <item x="735"/>
        <item x="238"/>
        <item x="340"/>
        <item x="770"/>
        <item x="329"/>
        <item x="407"/>
        <item x="596"/>
        <item x="914"/>
        <item x="272"/>
        <item x="334"/>
        <item x="466"/>
        <item x="939"/>
        <item x="506"/>
        <item x="404"/>
        <item x="855"/>
        <item x="974"/>
        <item x="962"/>
        <item x="524"/>
        <item x="717"/>
        <item x="664"/>
        <item x="685"/>
        <item x="258"/>
        <item x="678"/>
        <item x="573"/>
        <item x="356"/>
        <item x="943"/>
        <item x="121"/>
        <item x="720"/>
        <item x="472"/>
        <item x="194"/>
        <item x="492"/>
        <item x="667"/>
        <item x="709"/>
        <item x="780"/>
        <item x="335"/>
        <item x="84"/>
        <item x="140"/>
        <item x="293"/>
        <item x="245"/>
        <item x="648"/>
        <item x="200"/>
        <item x="136"/>
        <item x="21"/>
        <item x="605"/>
        <item x="481"/>
        <item x="60"/>
        <item x="728"/>
        <item x="825"/>
        <item x="658"/>
        <item x="467"/>
        <item x="39"/>
        <item x="642"/>
        <item x="670"/>
        <item x="468"/>
        <item x="265"/>
        <item x="781"/>
        <item x="157"/>
        <item x="975"/>
        <item x="838"/>
        <item x="87"/>
        <item x="458"/>
        <item x="529"/>
        <item x="221"/>
        <item x="431"/>
        <item x="369"/>
        <item x="872"/>
        <item x="754"/>
        <item x="5"/>
        <item x="894"/>
        <item x="647"/>
        <item x="920"/>
        <item x="721"/>
        <item x="566"/>
        <item x="582"/>
        <item x="944"/>
        <item x="915"/>
        <item x="632"/>
        <item x="628"/>
        <item x="530"/>
        <item x="320"/>
        <item x="583"/>
        <item x="158"/>
        <item x="231"/>
        <item x="536"/>
        <item x="322"/>
        <item x="726"/>
        <item x="266"/>
        <item x="179"/>
        <item x="981"/>
        <item x="537"/>
        <item x="241"/>
        <item x="951"/>
        <item x="27"/>
        <item x="192"/>
        <item x="22"/>
        <item x="170"/>
        <item x="916"/>
        <item x="273"/>
        <item x="171"/>
        <item x="347"/>
        <item x="952"/>
        <item x="449"/>
        <item x="947"/>
        <item x="851"/>
        <item x="901"/>
        <item x="689"/>
        <item x="477"/>
        <item x="602"/>
        <item x="834"/>
        <item x="842"/>
        <item x="321"/>
        <item x="116"/>
        <item x="450"/>
        <item x="392"/>
        <item x="263"/>
        <item x="986"/>
        <item x="324"/>
        <item x="399"/>
        <item x="686"/>
        <item x="146"/>
        <item x="637"/>
        <item x="809"/>
        <item x="758"/>
        <item x="665"/>
        <item x="921"/>
        <item x="173"/>
        <item x="176"/>
        <item x="722"/>
        <item x="105"/>
        <item x="930"/>
        <item x="886"/>
        <item x="629"/>
        <item x="196"/>
        <item x="141"/>
        <item x="439"/>
        <item x="440"/>
        <item x="707"/>
        <item x="255"/>
        <item x="372"/>
        <item x="638"/>
        <item x="964"/>
        <item x="598"/>
        <item x="79"/>
        <item x="991"/>
        <item x="811"/>
        <item x="382"/>
        <item x="88"/>
        <item x="633"/>
        <item x="23"/>
        <item x="225"/>
        <item x="174"/>
        <item x="388"/>
        <item x="159"/>
        <item x="113"/>
        <item x="610"/>
        <item x="584"/>
        <item x="674"/>
        <item x="137"/>
        <item x="298"/>
        <item x="9"/>
        <item x="750"/>
        <item x="924"/>
        <item x="736"/>
        <item x="766"/>
        <item x="859"/>
        <item x="256"/>
        <item x="122"/>
        <item x="574"/>
        <item x="994"/>
        <item x="152"/>
        <item x="451"/>
        <item x="330"/>
        <item x="513"/>
        <item x="818"/>
        <item x="452"/>
        <item x="835"/>
        <item x="278"/>
        <item x="922"/>
        <item x="555"/>
        <item x="538"/>
        <item x="209"/>
        <item x="614"/>
        <item x="444"/>
        <item x="432"/>
        <item x="745"/>
        <item x="336"/>
        <item x="997"/>
        <item x="550"/>
        <item x="514"/>
        <item x="759"/>
        <item x="955"/>
        <item x="389"/>
        <item x="251"/>
        <item x="348"/>
        <item x="310"/>
        <item x="185"/>
        <item x="940"/>
        <item x="117"/>
        <item x="714"/>
        <item x="14"/>
        <item x="763"/>
        <item x="540"/>
        <item x="345"/>
        <item x="142"/>
        <item x="643"/>
        <item x="456"/>
        <item x="789"/>
        <item x="615"/>
        <item x="417"/>
        <item x="778"/>
        <item x="441"/>
        <item x="54"/>
        <item x="623"/>
        <item x="143"/>
        <item x="599"/>
        <item x="680"/>
        <item x="226"/>
        <item x="393"/>
        <item x="810"/>
        <item x="433"/>
        <item x="10"/>
        <item x="978"/>
        <item x="895"/>
        <item x="775"/>
        <item x="110"/>
        <item x="525"/>
        <item x="469"/>
        <item x="62"/>
        <item x="519"/>
        <item x="383"/>
        <item x="644"/>
        <item x="380"/>
        <item x="133"/>
        <item x="15"/>
        <item x="589"/>
        <item x="526"/>
        <item x="211"/>
        <item x="6"/>
        <item x="760"/>
        <item x="953"/>
        <item x="982"/>
        <item x="29"/>
        <item x="499"/>
        <item x="164"/>
        <item x="515"/>
        <item x="925"/>
        <item x="832"/>
        <item x="560"/>
        <item x="965"/>
        <item x="212"/>
        <item x="496"/>
        <item x="75"/>
        <item x="767"/>
        <item x="659"/>
        <item x="63"/>
        <item x="55"/>
        <item x="429"/>
        <item x="363"/>
        <item x="16"/>
        <item x="932"/>
        <item x="473"/>
        <item x="246"/>
        <item x="462"/>
        <item x="926"/>
        <item x="412"/>
        <item x="812"/>
        <item x="296"/>
        <item x="738"/>
        <item x="325"/>
        <item x="567"/>
        <item x="597"/>
        <item x="703"/>
        <item x="134"/>
        <item x="652"/>
        <item x="891"/>
        <item x="826"/>
        <item x="860"/>
        <item x="813"/>
        <item x="24"/>
        <item x="626"/>
        <item x="909"/>
        <item x="804"/>
        <item x="856"/>
        <item x="698"/>
        <item x="108"/>
        <item x="933"/>
        <item x="56"/>
        <item x="181"/>
        <item x="359"/>
        <item x="294"/>
        <item x="660"/>
        <item x="400"/>
        <item x="867"/>
        <item x="65"/>
        <item x="679"/>
        <item x="401"/>
        <item x="66"/>
        <item x="516"/>
        <item x="956"/>
        <item x="459"/>
        <item x="857"/>
        <item x="127"/>
        <item x="527"/>
        <item x="784"/>
        <item x="715"/>
        <item x="53"/>
        <item x="896"/>
        <item x="794"/>
        <item x="887"/>
        <item x="671"/>
        <item x="798"/>
        <item x="402"/>
        <item x="843"/>
        <item x="561"/>
        <item x="405"/>
        <item x="934"/>
        <item x="25"/>
        <item x="969"/>
        <item x="998"/>
        <item x="624"/>
        <item x="197"/>
        <item x="279"/>
        <item x="3"/>
        <item x="394"/>
        <item x="11"/>
        <item x="645"/>
        <item x="102"/>
        <item x="863"/>
        <item x="153"/>
        <item x="595"/>
        <item x="395"/>
        <item x="799"/>
        <item x="350"/>
        <item x="693"/>
        <item x="897"/>
        <item x="253"/>
        <item x="682"/>
        <item x="67"/>
        <item x="138"/>
        <item x="617"/>
        <item x="70"/>
        <item x="103"/>
        <item x="274"/>
        <item x="97"/>
        <item x="590"/>
        <item x="299"/>
        <item x="82"/>
        <item x="242"/>
        <item x="186"/>
        <item x="807"/>
        <item x="267"/>
        <item x="987"/>
        <item x="898"/>
        <item x="396"/>
        <item x="297"/>
        <item x="232"/>
        <item x="375"/>
        <item x="222"/>
        <item x="442"/>
        <item x="12"/>
        <item x="800"/>
        <item x="877"/>
        <item x="206"/>
        <item x="353"/>
        <item x="95"/>
        <item x="40"/>
        <item x="562"/>
        <item x="280"/>
        <item x="311"/>
        <item x="873"/>
        <item x="822"/>
        <item x="390"/>
        <item x="653"/>
        <item x="808"/>
        <item x="902"/>
        <item x="312"/>
        <item x="683"/>
        <item x="453"/>
        <item x="98"/>
        <item x="852"/>
        <item x="500"/>
        <item x="177"/>
        <item x="937"/>
        <item x="616"/>
        <item x="201"/>
        <item x="447"/>
        <item x="935"/>
        <item x="903"/>
        <item x="202"/>
        <item x="397"/>
        <item x="531"/>
        <item x="542"/>
        <item x="690"/>
        <item x="654"/>
        <item x="710"/>
        <item x="418"/>
        <item x="739"/>
        <item x="384"/>
        <item x="672"/>
        <item x="17"/>
        <item x="33"/>
        <item x="370"/>
        <item x="776"/>
        <item x="684"/>
        <item x="792"/>
        <item x="227"/>
        <item x="928"/>
        <item x="751"/>
        <item x="349"/>
        <item x="888"/>
        <item x="625"/>
        <item x="878"/>
        <item x="694"/>
        <item x="147"/>
        <item x="999"/>
        <item x="128"/>
        <item x="76"/>
        <item x="474"/>
        <item x="284"/>
        <item x="966"/>
        <item x="111"/>
        <item x="814"/>
        <item x="805"/>
        <item x="482"/>
        <item x="801"/>
        <item x="675"/>
        <item x="68"/>
        <item x="445"/>
        <item x="483"/>
        <item x="233"/>
        <item x="71"/>
        <item x="727"/>
        <item x="337"/>
        <item x="568"/>
        <item x="475"/>
        <item x="83"/>
        <item x="552"/>
        <item x="603"/>
        <item x="326"/>
        <item x="655"/>
        <item x="285"/>
        <item x="755"/>
        <item x="740"/>
        <item x="532"/>
        <item x="243"/>
        <item x="341"/>
        <item x="954"/>
        <item x="556"/>
        <item x="553"/>
        <item x="618"/>
        <item x="123"/>
        <item x="853"/>
        <item x="606"/>
        <item x="551"/>
        <item x="517"/>
        <item x="385"/>
        <item x="879"/>
        <item t="default"/>
      </items>
    </pivotField>
    <pivotField axis="axisRow" showAll="0">
      <items count="71">
        <item x="68"/>
        <item x="29"/>
        <item x="69"/>
        <item x="37"/>
        <item x="23"/>
        <item x="36"/>
        <item x="8"/>
        <item x="13"/>
        <item x="49"/>
        <item x="16"/>
        <item x="11"/>
        <item x="3"/>
        <item x="41"/>
        <item x="54"/>
        <item x="48"/>
        <item x="61"/>
        <item x="66"/>
        <item x="57"/>
        <item x="43"/>
        <item x="28"/>
        <item x="35"/>
        <item x="51"/>
        <item x="64"/>
        <item x="42"/>
        <item x="34"/>
        <item x="63"/>
        <item x="24"/>
        <item x="22"/>
        <item x="40"/>
        <item x="46"/>
        <item x="27"/>
        <item x="32"/>
        <item x="58"/>
        <item x="56"/>
        <item x="60"/>
        <item x="53"/>
        <item x="5"/>
        <item x="15"/>
        <item x="38"/>
        <item x="25"/>
        <item x="33"/>
        <item x="12"/>
        <item x="62"/>
        <item x="47"/>
        <item x="44"/>
        <item x="0"/>
        <item x="18"/>
        <item x="4"/>
        <item x="26"/>
        <item x="10"/>
        <item x="21"/>
        <item x="6"/>
        <item x="30"/>
        <item x="67"/>
        <item x="14"/>
        <item x="50"/>
        <item x="7"/>
        <item x="9"/>
        <item x="39"/>
        <item x="45"/>
        <item x="31"/>
        <item x="19"/>
        <item x="1"/>
        <item x="65"/>
        <item x="17"/>
        <item x="2"/>
        <item x="59"/>
        <item x="55"/>
        <item x="52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numFmtId="2" showAll="0"/>
    <pivotField showAll="0"/>
    <pivotField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Total_ventas" fld="19" baseField="0" baseItem="0"/>
  </dataFields>
  <formats count="26">
    <format dxfId="73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2">
      <pivotArea dataOnly="0" labelOnly="1" fieldPosition="0">
        <references count="1">
          <reference field="2" count="2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71">
      <pivotArea field="2" type="button" dataOnly="0" labelOnly="1" outline="0" axis="axisRow" fieldPosition="0"/>
    </format>
    <format dxfId="70">
      <pivotArea dataOnly="0" labelOnly="1" fieldPosition="0">
        <references count="1">
          <reference field="13" count="0"/>
        </references>
      </pivotArea>
    </format>
    <format dxfId="69">
      <pivotArea dataOnly="0" labelOnly="1" grandCol="1" outline="0" fieldPosition="0"/>
    </format>
    <format dxfId="68">
      <pivotArea type="origin" dataOnly="0" labelOnly="1" outline="0" fieldPosition="0"/>
    </format>
    <format dxfId="67">
      <pivotArea field="13" type="button" dataOnly="0" labelOnly="1" outline="0" axis="axisCol" fieldPosition="0"/>
    </format>
    <format dxfId="66">
      <pivotArea type="topRight" dataOnly="0" labelOnly="1" outline="0" fieldPosition="0"/>
    </format>
    <format dxfId="65">
      <pivotArea field="2" type="button" dataOnly="0" labelOnly="1" outline="0" axis="axisRow" fieldPosition="0"/>
    </format>
    <format dxfId="64">
      <pivotArea dataOnly="0" labelOnly="1" fieldPosition="0">
        <references count="1">
          <reference field="13" count="0"/>
        </references>
      </pivotArea>
    </format>
    <format dxfId="63">
      <pivotArea dataOnly="0" labelOnly="1" grandCol="1" outline="0" fieldPosition="0"/>
    </format>
    <format dxfId="62">
      <pivotArea collapsedLevelsAreSubtotals="1" fieldPosition="0">
        <references count="1">
          <reference field="2" count="1">
            <x v="18"/>
          </reference>
        </references>
      </pivotArea>
    </format>
    <format dxfId="61">
      <pivotArea dataOnly="0" labelOnly="1" fieldPosition="0">
        <references count="1">
          <reference field="2" count="1">
            <x v="18"/>
          </reference>
        </references>
      </pivotArea>
    </format>
    <format dxfId="60">
      <pivotArea collapsedLevelsAreSubtotals="1" fieldPosition="0">
        <references count="1">
          <reference field="2" count="1">
            <x v="19"/>
          </reference>
        </references>
      </pivotArea>
    </format>
    <format dxfId="59">
      <pivotArea dataOnly="0" labelOnly="1" fieldPosition="0">
        <references count="1">
          <reference field="2" count="1">
            <x v="19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type="origin" dataOnly="0" labelOnly="1" outline="0" fieldPosition="0"/>
    </format>
    <format dxfId="55">
      <pivotArea field="13" type="button" dataOnly="0" labelOnly="1" outline="0" axis="axisCol" fieldPosition="0"/>
    </format>
    <format dxfId="54">
      <pivotArea type="topRight" dataOnly="0" labelOnly="1" outline="0" fieldPosition="0"/>
    </format>
    <format dxfId="53">
      <pivotArea field="2" type="button" dataOnly="0" labelOnly="1" outline="0" axis="axisRow" fieldPosition="0"/>
    </format>
    <format dxfId="52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1">
      <pivotArea dataOnly="0" labelOnly="1" fieldPosition="0">
        <references count="1">
          <reference field="2" count="2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1">
          <reference field="13" count="0"/>
        </references>
      </pivotArea>
    </format>
    <format dxfId="48">
      <pivotArea dataOnly="0" labelOnly="1" grandCol="1" outline="0" fieldPosition="0"/>
    </format>
  </formats>
  <pivotTableStyleInfo name="PivotStyleLight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9A7F9-9336-481B-B0B8-0477B46ED9A1}" name="TablaDinámica3" cacheId="3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2">
  <location ref="K27:P30" firstHeaderRow="0" firstDataRow="1" firstDataCol="1"/>
  <pivotFields count="8">
    <pivotField subtotalTop="0" showAll="0" defaultSubtotal="0"/>
    <pivotField dataField="1" subtotalTop="0" showAll="0" defaultSubtotal="0">
      <items count="60">
        <item x="9"/>
        <item x="27"/>
        <item x="40"/>
        <item x="24"/>
        <item x="57"/>
        <item x="19"/>
        <item x="16"/>
        <item x="29"/>
        <item x="51"/>
        <item x="33"/>
        <item x="20"/>
        <item x="0"/>
        <item x="2"/>
        <item x="22"/>
        <item x="53"/>
        <item x="34"/>
        <item x="31"/>
        <item x="38"/>
        <item x="26"/>
        <item x="30"/>
        <item x="4"/>
        <item x="42"/>
        <item x="10"/>
        <item x="14"/>
        <item x="11"/>
        <item x="45"/>
        <item x="32"/>
        <item x="37"/>
        <item x="55"/>
        <item x="6"/>
        <item x="43"/>
        <item x="18"/>
        <item x="59"/>
        <item x="54"/>
        <item x="5"/>
        <item x="36"/>
        <item x="21"/>
        <item x="46"/>
        <item x="35"/>
        <item x="12"/>
        <item x="47"/>
        <item x="48"/>
        <item x="49"/>
        <item x="52"/>
        <item x="25"/>
        <item x="15"/>
        <item x="39"/>
        <item x="56"/>
        <item x="1"/>
        <item x="41"/>
        <item x="28"/>
        <item x="13"/>
        <item x="3"/>
        <item x="17"/>
        <item x="7"/>
        <item x="58"/>
        <item x="8"/>
        <item x="44"/>
        <item x="50"/>
        <item x="23"/>
      </items>
    </pivotField>
    <pivotField dataField="1" subtotalTop="0" showAll="0" defaultSubtotal="0">
      <items count="28">
        <item x="14"/>
        <item x="3"/>
        <item x="9"/>
        <item x="0"/>
        <item x="19"/>
        <item x="20"/>
        <item x="2"/>
        <item x="4"/>
        <item x="10"/>
        <item x="15"/>
        <item x="1"/>
        <item x="17"/>
        <item x="25"/>
        <item x="6"/>
        <item x="11"/>
        <item x="27"/>
        <item x="22"/>
        <item x="7"/>
        <item x="23"/>
        <item x="13"/>
        <item x="16"/>
        <item x="26"/>
        <item x="12"/>
        <item x="24"/>
        <item x="18"/>
        <item x="8"/>
        <item x="21"/>
        <item x="5"/>
      </items>
    </pivotField>
    <pivotField dataField="1" subtotalTop="0" showAll="0" defaultSubtotal="0">
      <items count="69">
        <item x="15"/>
        <item x="59"/>
        <item x="31"/>
        <item x="23"/>
        <item x="44"/>
        <item x="68"/>
        <item x="20"/>
        <item x="14"/>
        <item x="11"/>
        <item x="54"/>
        <item x="25"/>
        <item x="10"/>
        <item x="27"/>
        <item x="67"/>
        <item x="5"/>
        <item x="34"/>
        <item x="46"/>
        <item x="56"/>
        <item x="21"/>
        <item x="64"/>
        <item x="28"/>
        <item x="57"/>
        <item x="2"/>
        <item x="1"/>
        <item x="49"/>
        <item x="50"/>
        <item x="38"/>
        <item x="41"/>
        <item x="8"/>
        <item x="22"/>
        <item x="4"/>
        <item x="24"/>
        <item x="33"/>
        <item x="45"/>
        <item x="58"/>
        <item x="51"/>
        <item x="66"/>
        <item x="32"/>
        <item x="60"/>
        <item x="12"/>
        <item x="65"/>
        <item x="63"/>
        <item x="55"/>
        <item x="3"/>
        <item x="0"/>
        <item x="18"/>
        <item x="42"/>
        <item x="43"/>
        <item x="30"/>
        <item x="19"/>
        <item x="17"/>
        <item x="48"/>
        <item x="62"/>
        <item x="13"/>
        <item x="53"/>
        <item x="47"/>
        <item x="35"/>
        <item x="7"/>
        <item x="40"/>
        <item x="26"/>
        <item x="61"/>
        <item x="9"/>
        <item x="16"/>
        <item x="6"/>
        <item x="36"/>
        <item x="39"/>
        <item x="52"/>
        <item x="29"/>
        <item x="37"/>
      </items>
    </pivotField>
    <pivotField dataField="1" subtotalTop="0" showAll="0" defaultSubtotal="0">
      <items count="57">
        <item x="16"/>
        <item x="32"/>
        <item x="10"/>
        <item x="2"/>
        <item x="28"/>
        <item x="0"/>
        <item x="9"/>
        <item x="25"/>
        <item x="21"/>
        <item x="17"/>
        <item x="48"/>
        <item x="51"/>
        <item x="30"/>
        <item x="39"/>
        <item x="47"/>
        <item x="18"/>
        <item x="36"/>
        <item x="1"/>
        <item x="29"/>
        <item x="50"/>
        <item x="23"/>
        <item x="41"/>
        <item x="20"/>
        <item x="8"/>
        <item x="44"/>
        <item x="34"/>
        <item x="3"/>
        <item x="27"/>
        <item x="19"/>
        <item x="56"/>
        <item x="49"/>
        <item x="46"/>
        <item x="52"/>
        <item x="40"/>
        <item x="14"/>
        <item x="4"/>
        <item x="26"/>
        <item x="55"/>
        <item x="37"/>
        <item x="42"/>
        <item x="5"/>
        <item x="54"/>
        <item x="12"/>
        <item x="13"/>
        <item x="7"/>
        <item x="24"/>
        <item x="38"/>
        <item x="35"/>
        <item x="53"/>
        <item x="15"/>
        <item x="11"/>
        <item x="45"/>
        <item x="33"/>
        <item x="43"/>
        <item x="31"/>
        <item x="6"/>
        <item x="22"/>
      </items>
    </pivotField>
    <pivotField dataField="1" subtotalTop="0" showAll="0" defaultSubtotal="0">
      <items count="57">
        <item x="27"/>
        <item x="54"/>
        <item x="51"/>
        <item x="21"/>
        <item x="1"/>
        <item x="35"/>
        <item x="30"/>
        <item x="33"/>
        <item x="56"/>
        <item x="45"/>
        <item x="17"/>
        <item x="16"/>
        <item x="40"/>
        <item x="8"/>
        <item x="32"/>
        <item x="18"/>
        <item x="12"/>
        <item x="5"/>
        <item x="44"/>
        <item x="0"/>
        <item x="20"/>
        <item x="4"/>
        <item x="7"/>
        <item x="13"/>
        <item x="10"/>
        <item x="2"/>
        <item x="50"/>
        <item x="23"/>
        <item x="29"/>
        <item x="36"/>
        <item x="41"/>
        <item x="24"/>
        <item x="6"/>
        <item x="46"/>
        <item x="52"/>
        <item x="43"/>
        <item x="38"/>
        <item x="47"/>
        <item x="15"/>
        <item x="26"/>
        <item x="14"/>
        <item x="48"/>
        <item x="37"/>
        <item x="34"/>
        <item x="55"/>
        <item x="31"/>
        <item x="28"/>
        <item x="53"/>
        <item x="25"/>
        <item x="22"/>
        <item x="19"/>
        <item x="49"/>
        <item x="42"/>
        <item x="3"/>
        <item x="39"/>
        <item x="9"/>
        <item x="11"/>
      </items>
    </pivotField>
    <pivotField subtotalTop="0" showAll="0" defaultSubtotal="0"/>
    <pivotField axis="axisRow" subtotalTop="0" showAll="0" defaultSubtotal="0">
      <items count="3">
        <item x="1"/>
        <item x="2"/>
        <item x="0"/>
      </items>
    </pivotField>
  </pivotFields>
  <rowFields count="1">
    <field x="7"/>
  </rowFields>
  <rowItems count="3">
    <i>
      <x/>
    </i>
    <i>
      <x v="1"/>
    </i>
    <i>
      <x v="2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Belleza" fld="1" baseField="0" baseItem="0"/>
    <dataField name="Total Calzado" fld="2" baseField="0" baseItem="0"/>
    <dataField name="Total Electrohogar" fld="3" baseField="0" baseItem="0"/>
    <dataField name="Total Tecnología" fld="4" baseField="0" baseItem="0"/>
    <dataField name="Total Vestuari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D5F3B7-FFAD-4112-8356-EEFBE436ACBB}" name="TablaDinámica2" cacheId="3" dataPosition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5">
  <location ref="K22:M25" firstHeaderRow="0" firstDataRow="1" firstDataCol="1"/>
  <pivotFields count="8">
    <pivotField showAll="0"/>
    <pivotField showAll="0"/>
    <pivotField showAll="0"/>
    <pivotField showAll="0"/>
    <pivotField showAll="0"/>
    <pivotField showAll="0"/>
    <pivotField dataField="1" showAll="0"/>
    <pivotField axis="axisRow" dataField="1" showAll="0">
      <items count="4">
        <item x="1"/>
        <item x="2"/>
        <item x="0"/>
        <item t="default"/>
      </items>
    </pivotField>
  </pivotFields>
  <rowFields count="1">
    <field x="7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antidad por nivel" fld="7" subtotal="count" baseField="0" baseItem="0"/>
    <dataField name="total de ventas por nivel" fld="6" baseField="0" baseItem="0"/>
  </dataField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9BE01-A3A9-4CD7-8CBE-C37FDEC4D6A7}" name="TablaDinámica5" cacheId="19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C46:H50" firstHeaderRow="1" firstDataRow="2" firstDataCol="1"/>
  <pivotFields count="24">
    <pivotField showAll="0"/>
    <pivotField numFmtId="14" showAll="0">
      <items count="1001">
        <item x="668"/>
        <item x="957"/>
        <item x="247"/>
        <item x="634"/>
        <item x="342"/>
        <item x="408"/>
        <item x="771"/>
        <item x="148"/>
        <item x="988"/>
        <item x="746"/>
        <item x="718"/>
        <item x="478"/>
        <item x="457"/>
        <item x="376"/>
        <item x="331"/>
        <item x="501"/>
        <item x="264"/>
        <item x="904"/>
        <item x="806"/>
        <item x="585"/>
        <item x="627"/>
        <item x="275"/>
        <item x="752"/>
        <item x="144"/>
        <item x="484"/>
        <item x="57"/>
        <item x="733"/>
        <item x="354"/>
        <item x="318"/>
        <item x="154"/>
        <item x="338"/>
        <item x="235"/>
        <item x="870"/>
        <item x="858"/>
        <item x="518"/>
        <item x="764"/>
        <item x="479"/>
        <item x="446"/>
        <item x="288"/>
        <item x="50"/>
        <item x="639"/>
        <item x="958"/>
        <item x="669"/>
        <item x="868"/>
        <item x="543"/>
        <item x="569"/>
        <item x="443"/>
        <item x="149"/>
        <item x="578"/>
        <item x="931"/>
        <item x="520"/>
        <item x="989"/>
        <item x="485"/>
        <item x="676"/>
        <item x="880"/>
        <item x="563"/>
        <item x="162"/>
        <item x="729"/>
        <item x="823"/>
        <item x="434"/>
        <item x="248"/>
        <item x="687"/>
        <item x="437"/>
        <item x="182"/>
        <item x="323"/>
        <item x="89"/>
        <item x="41"/>
        <item x="172"/>
        <item x="970"/>
        <item x="844"/>
        <item x="419"/>
        <item x="203"/>
        <item x="864"/>
        <item x="305"/>
        <item x="846"/>
        <item x="497"/>
        <item x="339"/>
        <item x="319"/>
        <item x="178"/>
        <item x="223"/>
        <item x="521"/>
        <item x="351"/>
        <item x="836"/>
        <item x="570"/>
        <item x="198"/>
        <item x="213"/>
        <item x="874"/>
        <item x="723"/>
        <item x="649"/>
        <item x="737"/>
        <item x="845"/>
        <item x="681"/>
        <item x="882"/>
        <item x="572"/>
        <item x="46"/>
        <item x="730"/>
        <item x="195"/>
        <item x="425"/>
        <item x="992"/>
        <item x="747"/>
        <item x="403"/>
        <item x="207"/>
        <item x="80"/>
        <item x="85"/>
        <item x="260"/>
        <item x="268"/>
        <item x="945"/>
        <item x="741"/>
        <item x="591"/>
        <item x="979"/>
        <item x="929"/>
        <item x="332"/>
        <item x="129"/>
        <item x="18"/>
        <item x="72"/>
        <item x="371"/>
        <item x="409"/>
        <item x="765"/>
        <item x="239"/>
        <item x="130"/>
        <item x="544"/>
        <item x="586"/>
        <item x="861"/>
        <item x="948"/>
        <item x="545"/>
        <item x="607"/>
        <item x="276"/>
        <item x="28"/>
        <item x="905"/>
        <item x="165"/>
        <item x="34"/>
        <item x="435"/>
        <item x="650"/>
        <item x="302"/>
        <item x="214"/>
        <item x="906"/>
        <item x="899"/>
        <item x="289"/>
        <item x="772"/>
        <item x="847"/>
        <item x="86"/>
        <item x="423"/>
        <item x="414"/>
        <item x="557"/>
        <item x="160"/>
        <item x="286"/>
        <item x="64"/>
        <item x="269"/>
        <item x="995"/>
        <item x="777"/>
        <item x="187"/>
        <item x="281"/>
        <item x="756"/>
        <item x="290"/>
        <item x="373"/>
        <item x="48"/>
        <item x="724"/>
        <item x="793"/>
        <item x="32"/>
        <item x="976"/>
        <item x="92"/>
        <item x="346"/>
        <item x="546"/>
        <item x="815"/>
        <item x="533"/>
        <item x="73"/>
        <item x="360"/>
        <item x="124"/>
        <item x="252"/>
        <item x="430"/>
        <item x="502"/>
        <item x="300"/>
        <item x="277"/>
        <item x="161"/>
        <item x="13"/>
        <item x="761"/>
        <item x="839"/>
        <item x="0"/>
        <item x="180"/>
        <item x="731"/>
        <item x="215"/>
        <item x="118"/>
        <item x="282"/>
        <item x="109"/>
        <item x="460"/>
        <item x="768"/>
        <item x="99"/>
        <item x="651"/>
        <item x="303"/>
        <item x="912"/>
        <item x="865"/>
        <item x="941"/>
        <item x="51"/>
        <item x="900"/>
        <item x="819"/>
        <item x="90"/>
        <item x="604"/>
        <item x="306"/>
        <item x="816"/>
        <item x="436"/>
        <item x="942"/>
        <item x="361"/>
        <item x="971"/>
        <item x="510"/>
        <item x="210"/>
        <item x="575"/>
        <item x="4"/>
        <item x="875"/>
        <item x="830"/>
        <item x="848"/>
        <item x="315"/>
        <item x="558"/>
        <item x="357"/>
        <item x="769"/>
        <item x="581"/>
        <item x="576"/>
        <item x="35"/>
        <item x="892"/>
        <item x="967"/>
        <item x="869"/>
        <item x="480"/>
        <item x="889"/>
        <item x="193"/>
        <item x="81"/>
        <item x="748"/>
        <item x="1"/>
        <item x="611"/>
        <item x="608"/>
        <item x="166"/>
        <item x="391"/>
        <item x="795"/>
        <item x="923"/>
        <item x="420"/>
        <item x="539"/>
        <item x="257"/>
        <item x="493"/>
        <item x="91"/>
        <item x="579"/>
        <item x="377"/>
        <item x="69"/>
        <item x="503"/>
        <item x="893"/>
        <item x="959"/>
        <item x="261"/>
        <item x="106"/>
        <item x="415"/>
        <item x="77"/>
        <item x="358"/>
        <item x="244"/>
        <item x="58"/>
        <item x="254"/>
        <item x="486"/>
        <item x="30"/>
        <item x="36"/>
        <item x="155"/>
        <item x="199"/>
        <item x="762"/>
        <item x="960"/>
        <item x="228"/>
        <item x="656"/>
        <item x="398"/>
        <item x="100"/>
        <item x="547"/>
        <item x="785"/>
        <item x="786"/>
        <item x="125"/>
        <item x="711"/>
        <item x="93"/>
        <item x="548"/>
        <item x="866"/>
        <item x="386"/>
        <item x="504"/>
        <item x="74"/>
        <item x="505"/>
        <item x="612"/>
        <item x="333"/>
        <item x="564"/>
        <item x="7"/>
        <item x="487"/>
        <item x="635"/>
        <item x="374"/>
        <item x="270"/>
        <item x="463"/>
        <item x="249"/>
        <item x="917"/>
        <item x="691"/>
        <item x="301"/>
        <item x="661"/>
        <item x="131"/>
        <item x="362"/>
        <item x="52"/>
        <item x="313"/>
        <item x="37"/>
        <item x="167"/>
        <item x="600"/>
        <item x="169"/>
        <item x="234"/>
        <item x="592"/>
        <item x="107"/>
        <item x="742"/>
        <item x="704"/>
        <item x="464"/>
        <item x="410"/>
        <item x="881"/>
        <item x="883"/>
        <item x="168"/>
        <item x="790"/>
        <item x="454"/>
        <item x="216"/>
        <item x="849"/>
        <item x="42"/>
        <item x="910"/>
        <item x="782"/>
        <item x="367"/>
        <item x="787"/>
        <item x="699"/>
        <item x="688"/>
        <item x="977"/>
        <item x="43"/>
        <item x="465"/>
        <item x="217"/>
        <item x="918"/>
        <item x="295"/>
        <item x="426"/>
        <item x="884"/>
        <item x="421"/>
        <item x="271"/>
        <item x="494"/>
        <item x="413"/>
        <item x="344"/>
        <item x="104"/>
        <item x="112"/>
        <item x="208"/>
        <item x="587"/>
        <item x="743"/>
        <item x="156"/>
        <item x="218"/>
        <item x="44"/>
        <item x="695"/>
        <item x="840"/>
        <item x="571"/>
        <item x="619"/>
        <item x="139"/>
        <item x="802"/>
        <item x="712"/>
        <item x="488"/>
        <item x="511"/>
        <item x="316"/>
        <item x="304"/>
        <item x="8"/>
        <item x="936"/>
        <item x="705"/>
        <item x="343"/>
        <item x="2"/>
        <item x="470"/>
        <item x="657"/>
        <item x="827"/>
        <item x="963"/>
        <item x="871"/>
        <item x="61"/>
        <item x="307"/>
        <item x="588"/>
        <item x="828"/>
        <item x="236"/>
        <item x="662"/>
        <item x="719"/>
        <item x="876"/>
        <item x="237"/>
        <item x="640"/>
        <item x="163"/>
        <item x="983"/>
        <item x="773"/>
        <item x="913"/>
        <item x="283"/>
        <item x="630"/>
        <item x="96"/>
        <item x="438"/>
        <item x="416"/>
        <item x="448"/>
        <item x="620"/>
        <item x="135"/>
        <item x="559"/>
        <item x="31"/>
        <item x="554"/>
        <item x="308"/>
        <item x="833"/>
        <item x="837"/>
        <item x="49"/>
        <item x="734"/>
        <item x="817"/>
        <item x="732"/>
        <item x="593"/>
        <item x="498"/>
        <item x="204"/>
        <item x="984"/>
        <item x="641"/>
        <item x="636"/>
        <item x="368"/>
        <item x="788"/>
        <item x="262"/>
        <item x="364"/>
        <item x="609"/>
        <item x="938"/>
        <item x="850"/>
        <item x="183"/>
        <item x="927"/>
        <item x="841"/>
        <item x="489"/>
        <item x="949"/>
        <item x="291"/>
        <item x="700"/>
        <item x="534"/>
        <item x="461"/>
        <item x="677"/>
        <item x="980"/>
        <item x="613"/>
        <item x="621"/>
        <item x="411"/>
        <item x="219"/>
        <item x="716"/>
        <item x="594"/>
        <item x="240"/>
        <item x="803"/>
        <item x="314"/>
        <item x="365"/>
        <item x="490"/>
        <item x="972"/>
        <item x="646"/>
        <item x="145"/>
        <item x="666"/>
        <item x="862"/>
        <item x="378"/>
        <item x="132"/>
        <item x="522"/>
        <item x="406"/>
        <item x="854"/>
        <item x="19"/>
        <item x="996"/>
        <item x="507"/>
        <item x="188"/>
        <item x="47"/>
        <item x="744"/>
        <item x="427"/>
        <item x="220"/>
        <item x="713"/>
        <item x="753"/>
        <item x="528"/>
        <item x="968"/>
        <item x="757"/>
        <item x="455"/>
        <item x="309"/>
        <item x="950"/>
        <item x="993"/>
        <item x="512"/>
        <item x="94"/>
        <item x="381"/>
        <item x="352"/>
        <item x="355"/>
        <item x="379"/>
        <item x="774"/>
        <item x="119"/>
        <item x="523"/>
        <item x="985"/>
        <item x="541"/>
        <item x="45"/>
        <item x="580"/>
        <item x="725"/>
        <item x="495"/>
        <item x="907"/>
        <item x="317"/>
        <item x="824"/>
        <item x="327"/>
        <item x="919"/>
        <item x="175"/>
        <item x="706"/>
        <item x="961"/>
        <item x="791"/>
        <item x="205"/>
        <item x="422"/>
        <item x="549"/>
        <item x="631"/>
        <item x="229"/>
        <item x="535"/>
        <item x="749"/>
        <item x="328"/>
        <item x="20"/>
        <item x="287"/>
        <item x="114"/>
        <item x="946"/>
        <item x="189"/>
        <item x="890"/>
        <item x="471"/>
        <item x="26"/>
        <item x="820"/>
        <item x="908"/>
        <item x="692"/>
        <item x="190"/>
        <item x="796"/>
        <item x="366"/>
        <item x="701"/>
        <item x="508"/>
        <item x="150"/>
        <item x="577"/>
        <item x="115"/>
        <item x="673"/>
        <item x="509"/>
        <item x="601"/>
        <item x="696"/>
        <item x="990"/>
        <item x="292"/>
        <item x="831"/>
        <item x="78"/>
        <item x="973"/>
        <item x="151"/>
        <item x="120"/>
        <item x="424"/>
        <item x="259"/>
        <item x="38"/>
        <item x="911"/>
        <item x="491"/>
        <item x="708"/>
        <item x="387"/>
        <item x="230"/>
        <item x="783"/>
        <item x="829"/>
        <item x="797"/>
        <item x="59"/>
        <item x="885"/>
        <item x="126"/>
        <item x="663"/>
        <item x="565"/>
        <item x="697"/>
        <item x="428"/>
        <item x="184"/>
        <item x="191"/>
        <item x="779"/>
        <item x="250"/>
        <item x="224"/>
        <item x="101"/>
        <item x="821"/>
        <item x="476"/>
        <item x="622"/>
        <item x="702"/>
        <item x="735"/>
        <item x="238"/>
        <item x="340"/>
        <item x="770"/>
        <item x="329"/>
        <item x="407"/>
        <item x="596"/>
        <item x="914"/>
        <item x="272"/>
        <item x="334"/>
        <item x="466"/>
        <item x="939"/>
        <item x="506"/>
        <item x="404"/>
        <item x="855"/>
        <item x="974"/>
        <item x="962"/>
        <item x="524"/>
        <item x="717"/>
        <item x="664"/>
        <item x="685"/>
        <item x="258"/>
        <item x="678"/>
        <item x="573"/>
        <item x="356"/>
        <item x="943"/>
        <item x="121"/>
        <item x="720"/>
        <item x="472"/>
        <item x="194"/>
        <item x="492"/>
        <item x="667"/>
        <item x="709"/>
        <item x="780"/>
        <item x="335"/>
        <item x="84"/>
        <item x="140"/>
        <item x="293"/>
        <item x="245"/>
        <item x="648"/>
        <item x="200"/>
        <item x="136"/>
        <item x="21"/>
        <item x="605"/>
        <item x="481"/>
        <item x="60"/>
        <item x="728"/>
        <item x="825"/>
        <item x="658"/>
        <item x="467"/>
        <item x="39"/>
        <item x="642"/>
        <item x="670"/>
        <item x="468"/>
        <item x="265"/>
        <item x="781"/>
        <item x="157"/>
        <item x="975"/>
        <item x="838"/>
        <item x="87"/>
        <item x="458"/>
        <item x="529"/>
        <item x="221"/>
        <item x="431"/>
        <item x="369"/>
        <item x="872"/>
        <item x="754"/>
        <item x="5"/>
        <item x="894"/>
        <item x="647"/>
        <item x="920"/>
        <item x="721"/>
        <item x="566"/>
        <item x="582"/>
        <item x="944"/>
        <item x="915"/>
        <item x="632"/>
        <item x="628"/>
        <item x="530"/>
        <item x="320"/>
        <item x="583"/>
        <item x="158"/>
        <item x="231"/>
        <item x="536"/>
        <item x="322"/>
        <item x="726"/>
        <item x="266"/>
        <item x="179"/>
        <item x="981"/>
        <item x="537"/>
        <item x="241"/>
        <item x="951"/>
        <item x="27"/>
        <item x="192"/>
        <item x="22"/>
        <item x="170"/>
        <item x="916"/>
        <item x="273"/>
        <item x="171"/>
        <item x="347"/>
        <item x="952"/>
        <item x="449"/>
        <item x="947"/>
        <item x="851"/>
        <item x="901"/>
        <item x="689"/>
        <item x="477"/>
        <item x="602"/>
        <item x="834"/>
        <item x="842"/>
        <item x="321"/>
        <item x="116"/>
        <item x="450"/>
        <item x="392"/>
        <item x="263"/>
        <item x="986"/>
        <item x="324"/>
        <item x="399"/>
        <item x="686"/>
        <item x="146"/>
        <item x="637"/>
        <item x="809"/>
        <item x="758"/>
        <item x="665"/>
        <item x="921"/>
        <item x="173"/>
        <item x="176"/>
        <item x="722"/>
        <item x="105"/>
        <item x="930"/>
        <item x="886"/>
        <item x="629"/>
        <item x="196"/>
        <item x="141"/>
        <item x="439"/>
        <item x="440"/>
        <item x="707"/>
        <item x="255"/>
        <item x="372"/>
        <item x="638"/>
        <item x="964"/>
        <item x="598"/>
        <item x="79"/>
        <item x="991"/>
        <item x="811"/>
        <item x="382"/>
        <item x="88"/>
        <item x="633"/>
        <item x="23"/>
        <item x="225"/>
        <item x="174"/>
        <item x="388"/>
        <item x="159"/>
        <item x="113"/>
        <item x="610"/>
        <item x="584"/>
        <item x="674"/>
        <item x="137"/>
        <item x="298"/>
        <item x="9"/>
        <item x="750"/>
        <item x="924"/>
        <item x="736"/>
        <item x="766"/>
        <item x="859"/>
        <item x="256"/>
        <item x="122"/>
        <item x="574"/>
        <item x="994"/>
        <item x="152"/>
        <item x="451"/>
        <item x="330"/>
        <item x="513"/>
        <item x="818"/>
        <item x="452"/>
        <item x="835"/>
        <item x="278"/>
        <item x="922"/>
        <item x="555"/>
        <item x="538"/>
        <item x="209"/>
        <item x="614"/>
        <item x="444"/>
        <item x="432"/>
        <item x="745"/>
        <item x="336"/>
        <item x="997"/>
        <item x="550"/>
        <item x="514"/>
        <item x="759"/>
        <item x="955"/>
        <item x="389"/>
        <item x="251"/>
        <item x="348"/>
        <item x="310"/>
        <item x="185"/>
        <item x="940"/>
        <item x="117"/>
        <item x="714"/>
        <item x="14"/>
        <item x="763"/>
        <item x="540"/>
        <item x="345"/>
        <item x="142"/>
        <item x="643"/>
        <item x="456"/>
        <item x="789"/>
        <item x="615"/>
        <item x="417"/>
        <item x="778"/>
        <item x="441"/>
        <item x="54"/>
        <item x="623"/>
        <item x="143"/>
        <item x="599"/>
        <item x="680"/>
        <item x="226"/>
        <item x="393"/>
        <item x="810"/>
        <item x="433"/>
        <item x="10"/>
        <item x="978"/>
        <item x="895"/>
        <item x="775"/>
        <item x="110"/>
        <item x="525"/>
        <item x="469"/>
        <item x="62"/>
        <item x="519"/>
        <item x="383"/>
        <item x="644"/>
        <item x="380"/>
        <item x="133"/>
        <item x="15"/>
        <item x="589"/>
        <item x="526"/>
        <item x="211"/>
        <item x="6"/>
        <item x="760"/>
        <item x="953"/>
        <item x="982"/>
        <item x="29"/>
        <item x="499"/>
        <item x="164"/>
        <item x="515"/>
        <item x="925"/>
        <item x="832"/>
        <item x="560"/>
        <item x="965"/>
        <item x="212"/>
        <item x="496"/>
        <item x="75"/>
        <item x="767"/>
        <item x="659"/>
        <item x="63"/>
        <item x="55"/>
        <item x="429"/>
        <item x="363"/>
        <item x="16"/>
        <item x="932"/>
        <item x="473"/>
        <item x="246"/>
        <item x="462"/>
        <item x="926"/>
        <item x="412"/>
        <item x="812"/>
        <item x="296"/>
        <item x="738"/>
        <item x="325"/>
        <item x="567"/>
        <item x="597"/>
        <item x="703"/>
        <item x="134"/>
        <item x="652"/>
        <item x="891"/>
        <item x="826"/>
        <item x="860"/>
        <item x="813"/>
        <item x="24"/>
        <item x="626"/>
        <item x="909"/>
        <item x="804"/>
        <item x="856"/>
        <item x="698"/>
        <item x="108"/>
        <item x="933"/>
        <item x="56"/>
        <item x="181"/>
        <item x="359"/>
        <item x="294"/>
        <item x="660"/>
        <item x="400"/>
        <item x="867"/>
        <item x="65"/>
        <item x="679"/>
        <item x="401"/>
        <item x="66"/>
        <item x="516"/>
        <item x="956"/>
        <item x="459"/>
        <item x="857"/>
        <item x="127"/>
        <item x="527"/>
        <item x="784"/>
        <item x="715"/>
        <item x="53"/>
        <item x="896"/>
        <item x="794"/>
        <item x="887"/>
        <item x="671"/>
        <item x="798"/>
        <item x="402"/>
        <item x="843"/>
        <item x="561"/>
        <item x="405"/>
        <item x="934"/>
        <item x="25"/>
        <item x="969"/>
        <item x="998"/>
        <item x="624"/>
        <item x="197"/>
        <item x="279"/>
        <item x="3"/>
        <item x="394"/>
        <item x="11"/>
        <item x="645"/>
        <item x="102"/>
        <item x="863"/>
        <item x="153"/>
        <item x="595"/>
        <item x="395"/>
        <item x="799"/>
        <item x="350"/>
        <item x="693"/>
        <item x="897"/>
        <item x="253"/>
        <item x="682"/>
        <item x="67"/>
        <item x="138"/>
        <item x="617"/>
        <item x="70"/>
        <item x="103"/>
        <item x="274"/>
        <item x="97"/>
        <item x="590"/>
        <item x="299"/>
        <item x="82"/>
        <item x="242"/>
        <item x="186"/>
        <item x="807"/>
        <item x="267"/>
        <item x="987"/>
        <item x="898"/>
        <item x="396"/>
        <item x="297"/>
        <item x="232"/>
        <item x="375"/>
        <item x="222"/>
        <item x="442"/>
        <item x="12"/>
        <item x="800"/>
        <item x="877"/>
        <item x="206"/>
        <item x="353"/>
        <item x="95"/>
        <item x="40"/>
        <item x="562"/>
        <item x="280"/>
        <item x="311"/>
        <item x="873"/>
        <item x="822"/>
        <item x="390"/>
        <item x="653"/>
        <item x="808"/>
        <item x="902"/>
        <item x="312"/>
        <item x="683"/>
        <item x="453"/>
        <item x="98"/>
        <item x="852"/>
        <item x="500"/>
        <item x="177"/>
        <item x="937"/>
        <item x="616"/>
        <item x="201"/>
        <item x="447"/>
        <item x="935"/>
        <item x="903"/>
        <item x="202"/>
        <item x="397"/>
        <item x="531"/>
        <item x="542"/>
        <item x="690"/>
        <item x="654"/>
        <item x="710"/>
        <item x="418"/>
        <item x="739"/>
        <item x="384"/>
        <item x="672"/>
        <item x="17"/>
        <item x="33"/>
        <item x="370"/>
        <item x="776"/>
        <item x="684"/>
        <item x="792"/>
        <item x="227"/>
        <item x="928"/>
        <item x="751"/>
        <item x="349"/>
        <item x="888"/>
        <item x="625"/>
        <item x="878"/>
        <item x="694"/>
        <item x="147"/>
        <item x="999"/>
        <item x="128"/>
        <item x="76"/>
        <item x="474"/>
        <item x="284"/>
        <item x="966"/>
        <item x="111"/>
        <item x="814"/>
        <item x="805"/>
        <item x="482"/>
        <item x="801"/>
        <item x="675"/>
        <item x="68"/>
        <item x="445"/>
        <item x="483"/>
        <item x="233"/>
        <item x="71"/>
        <item x="727"/>
        <item x="337"/>
        <item x="568"/>
        <item x="475"/>
        <item x="83"/>
        <item x="552"/>
        <item x="603"/>
        <item x="326"/>
        <item x="655"/>
        <item x="285"/>
        <item x="755"/>
        <item x="740"/>
        <item x="532"/>
        <item x="243"/>
        <item x="341"/>
        <item x="954"/>
        <item x="556"/>
        <item x="553"/>
        <item x="618"/>
        <item x="123"/>
        <item x="853"/>
        <item x="606"/>
        <item x="551"/>
        <item x="517"/>
        <item x="385"/>
        <item x="87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4"/>
        <item x="3"/>
        <item x="1"/>
        <item x="2"/>
        <item x="0"/>
        <item t="default"/>
      </items>
    </pivotField>
    <pivotField showAll="0"/>
    <pivotField dataField="1" showAll="0"/>
    <pivotField numFmtId="2" showAll="0"/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>
      <x v="4"/>
    </i>
  </colItems>
  <dataFields count="1">
    <dataField name="Suma de cantidad" fld="15" showDataAs="percentOfRow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51849-CF85-4A75-8494-D4DFB399285B}" name="TablaDinámica8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C40:I44" firstHeaderRow="1" firstDataRow="2" firstDataCol="1"/>
  <pivotFields count="24">
    <pivotField showAll="0" defaultSubtotal="0"/>
    <pivotField numFmtId="14" showAll="0" defaultSubtotal="0">
      <items count="1000">
        <item x="668"/>
        <item x="957"/>
        <item x="247"/>
        <item x="634"/>
        <item x="342"/>
        <item x="408"/>
        <item x="771"/>
        <item x="148"/>
        <item x="988"/>
        <item x="746"/>
        <item x="718"/>
        <item x="478"/>
        <item x="457"/>
        <item x="376"/>
        <item x="331"/>
        <item x="501"/>
        <item x="264"/>
        <item x="904"/>
        <item x="806"/>
        <item x="585"/>
        <item x="627"/>
        <item x="275"/>
        <item x="752"/>
        <item x="144"/>
        <item x="484"/>
        <item x="57"/>
        <item x="733"/>
        <item x="354"/>
        <item x="318"/>
        <item x="154"/>
        <item x="338"/>
        <item x="235"/>
        <item x="870"/>
        <item x="858"/>
        <item x="518"/>
        <item x="764"/>
        <item x="479"/>
        <item x="446"/>
        <item x="288"/>
        <item x="50"/>
        <item x="639"/>
        <item x="958"/>
        <item x="669"/>
        <item x="868"/>
        <item x="543"/>
        <item x="569"/>
        <item x="443"/>
        <item x="149"/>
        <item x="578"/>
        <item x="931"/>
        <item x="520"/>
        <item x="989"/>
        <item x="485"/>
        <item x="676"/>
        <item x="880"/>
        <item x="563"/>
        <item x="162"/>
        <item x="729"/>
        <item x="823"/>
        <item x="434"/>
        <item x="248"/>
        <item x="687"/>
        <item x="437"/>
        <item x="182"/>
        <item x="323"/>
        <item x="89"/>
        <item x="41"/>
        <item x="172"/>
        <item x="970"/>
        <item x="844"/>
        <item x="419"/>
        <item x="203"/>
        <item x="864"/>
        <item x="305"/>
        <item x="846"/>
        <item x="497"/>
        <item x="339"/>
        <item x="319"/>
        <item x="178"/>
        <item x="223"/>
        <item x="521"/>
        <item x="351"/>
        <item x="836"/>
        <item x="570"/>
        <item x="198"/>
        <item x="213"/>
        <item x="874"/>
        <item x="723"/>
        <item x="649"/>
        <item x="737"/>
        <item x="845"/>
        <item x="681"/>
        <item x="882"/>
        <item x="572"/>
        <item x="46"/>
        <item x="730"/>
        <item x="195"/>
        <item x="425"/>
        <item x="992"/>
        <item x="747"/>
        <item x="403"/>
        <item x="207"/>
        <item x="80"/>
        <item x="85"/>
        <item x="260"/>
        <item x="268"/>
        <item x="945"/>
        <item x="741"/>
        <item x="591"/>
        <item x="979"/>
        <item x="929"/>
        <item x="332"/>
        <item x="129"/>
        <item x="18"/>
        <item x="72"/>
        <item x="371"/>
        <item x="409"/>
        <item x="765"/>
        <item x="239"/>
        <item x="130"/>
        <item x="544"/>
        <item x="586"/>
        <item x="861"/>
        <item x="948"/>
        <item x="545"/>
        <item x="607"/>
        <item x="276"/>
        <item x="28"/>
        <item x="905"/>
        <item x="165"/>
        <item x="34"/>
        <item x="435"/>
        <item x="650"/>
        <item x="302"/>
        <item x="214"/>
        <item x="906"/>
        <item x="899"/>
        <item x="289"/>
        <item x="772"/>
        <item x="847"/>
        <item x="86"/>
        <item x="423"/>
        <item x="414"/>
        <item x="557"/>
        <item x="160"/>
        <item x="286"/>
        <item x="64"/>
        <item x="269"/>
        <item x="995"/>
        <item x="777"/>
        <item x="187"/>
        <item x="281"/>
        <item x="756"/>
        <item x="290"/>
        <item x="373"/>
        <item x="48"/>
        <item x="724"/>
        <item x="793"/>
        <item x="32"/>
        <item x="976"/>
        <item x="92"/>
        <item x="346"/>
        <item x="546"/>
        <item x="815"/>
        <item x="533"/>
        <item x="73"/>
        <item x="360"/>
        <item x="124"/>
        <item x="252"/>
        <item x="430"/>
        <item x="502"/>
        <item x="300"/>
        <item x="277"/>
        <item x="161"/>
        <item x="13"/>
        <item x="761"/>
        <item x="839"/>
        <item x="0"/>
        <item x="180"/>
        <item x="731"/>
        <item x="215"/>
        <item x="118"/>
        <item x="282"/>
        <item x="109"/>
        <item x="460"/>
        <item x="768"/>
        <item x="99"/>
        <item x="651"/>
        <item x="303"/>
        <item x="912"/>
        <item x="865"/>
        <item x="941"/>
        <item x="51"/>
        <item x="900"/>
        <item x="819"/>
        <item x="90"/>
        <item x="604"/>
        <item x="306"/>
        <item x="816"/>
        <item x="436"/>
        <item x="942"/>
        <item x="361"/>
        <item x="971"/>
        <item x="510"/>
        <item x="210"/>
        <item x="575"/>
        <item x="4"/>
        <item x="875"/>
        <item x="830"/>
        <item x="848"/>
        <item x="315"/>
        <item x="558"/>
        <item x="357"/>
        <item x="769"/>
        <item x="581"/>
        <item x="576"/>
        <item x="35"/>
        <item x="892"/>
        <item x="967"/>
        <item x="869"/>
        <item x="480"/>
        <item x="889"/>
        <item x="193"/>
        <item x="81"/>
        <item x="748"/>
        <item x="1"/>
        <item x="611"/>
        <item x="608"/>
        <item x="166"/>
        <item x="391"/>
        <item x="795"/>
        <item x="923"/>
        <item x="420"/>
        <item x="539"/>
        <item x="257"/>
        <item x="493"/>
        <item x="91"/>
        <item x="579"/>
        <item x="377"/>
        <item x="69"/>
        <item x="503"/>
        <item x="893"/>
        <item x="959"/>
        <item x="261"/>
        <item x="106"/>
        <item x="415"/>
        <item x="77"/>
        <item x="358"/>
        <item x="244"/>
        <item x="58"/>
        <item x="254"/>
        <item x="486"/>
        <item x="30"/>
        <item x="36"/>
        <item x="155"/>
        <item x="199"/>
        <item x="762"/>
        <item x="960"/>
        <item x="228"/>
        <item x="656"/>
        <item x="398"/>
        <item x="100"/>
        <item x="547"/>
        <item x="785"/>
        <item x="786"/>
        <item x="125"/>
        <item x="711"/>
        <item x="93"/>
        <item x="548"/>
        <item x="866"/>
        <item x="386"/>
        <item x="504"/>
        <item x="74"/>
        <item x="505"/>
        <item x="612"/>
        <item x="333"/>
        <item x="564"/>
        <item x="7"/>
        <item x="487"/>
        <item x="635"/>
        <item x="374"/>
        <item x="270"/>
        <item x="463"/>
        <item x="249"/>
        <item x="917"/>
        <item x="691"/>
        <item x="301"/>
        <item x="661"/>
        <item x="131"/>
        <item x="362"/>
        <item x="52"/>
        <item x="313"/>
        <item x="37"/>
        <item x="167"/>
        <item x="600"/>
        <item x="169"/>
        <item x="234"/>
        <item x="592"/>
        <item x="107"/>
        <item x="742"/>
        <item x="704"/>
        <item x="464"/>
        <item x="410"/>
        <item x="881"/>
        <item x="883"/>
        <item x="168"/>
        <item x="790"/>
        <item x="454"/>
        <item x="216"/>
        <item x="849"/>
        <item x="42"/>
        <item x="910"/>
        <item x="782"/>
        <item x="367"/>
        <item x="787"/>
        <item x="699"/>
        <item x="688"/>
        <item x="977"/>
        <item x="43"/>
        <item x="465"/>
        <item x="217"/>
        <item x="918"/>
        <item x="295"/>
        <item x="426"/>
        <item x="884"/>
        <item x="421"/>
        <item x="271"/>
        <item x="494"/>
        <item x="413"/>
        <item x="344"/>
        <item x="104"/>
        <item x="112"/>
        <item x="208"/>
        <item x="587"/>
        <item x="743"/>
        <item x="156"/>
        <item x="218"/>
        <item x="44"/>
        <item x="695"/>
        <item x="840"/>
        <item x="571"/>
        <item x="619"/>
        <item x="139"/>
        <item x="802"/>
        <item x="712"/>
        <item x="488"/>
        <item x="511"/>
        <item x="316"/>
        <item x="304"/>
        <item x="8"/>
        <item x="936"/>
        <item x="705"/>
        <item x="343"/>
        <item x="2"/>
        <item x="470"/>
        <item x="657"/>
        <item x="827"/>
        <item x="963"/>
        <item x="871"/>
        <item x="61"/>
        <item x="307"/>
        <item x="588"/>
        <item x="828"/>
        <item x="236"/>
        <item x="662"/>
        <item x="719"/>
        <item x="876"/>
        <item x="237"/>
        <item x="640"/>
        <item x="163"/>
        <item x="983"/>
        <item x="773"/>
        <item x="913"/>
        <item x="283"/>
        <item x="630"/>
        <item x="96"/>
        <item x="438"/>
        <item x="416"/>
        <item x="448"/>
        <item x="620"/>
        <item x="135"/>
        <item x="559"/>
        <item x="31"/>
        <item x="554"/>
        <item x="308"/>
        <item x="833"/>
        <item x="837"/>
        <item x="49"/>
        <item x="734"/>
        <item x="817"/>
        <item x="732"/>
        <item x="593"/>
        <item x="498"/>
        <item x="204"/>
        <item x="984"/>
        <item x="641"/>
        <item x="636"/>
        <item x="368"/>
        <item x="788"/>
        <item x="262"/>
        <item x="364"/>
        <item x="609"/>
        <item x="938"/>
        <item x="850"/>
        <item x="183"/>
        <item x="927"/>
        <item x="841"/>
        <item x="489"/>
        <item x="949"/>
        <item x="291"/>
        <item x="700"/>
        <item x="534"/>
        <item x="461"/>
        <item x="677"/>
        <item x="980"/>
        <item x="613"/>
        <item x="621"/>
        <item x="411"/>
        <item x="219"/>
        <item x="716"/>
        <item x="594"/>
        <item x="240"/>
        <item x="803"/>
        <item x="314"/>
        <item x="365"/>
        <item x="490"/>
        <item x="972"/>
        <item x="646"/>
        <item x="145"/>
        <item x="666"/>
        <item x="862"/>
        <item x="378"/>
        <item x="132"/>
        <item x="522"/>
        <item x="406"/>
        <item x="854"/>
        <item x="19"/>
        <item x="996"/>
        <item x="507"/>
        <item x="188"/>
        <item x="47"/>
        <item x="744"/>
        <item x="427"/>
        <item x="220"/>
        <item x="713"/>
        <item x="753"/>
        <item x="528"/>
        <item x="968"/>
        <item x="757"/>
        <item x="455"/>
        <item x="309"/>
        <item x="950"/>
        <item x="993"/>
        <item x="512"/>
        <item x="94"/>
        <item x="381"/>
        <item x="352"/>
        <item x="355"/>
        <item x="379"/>
        <item x="774"/>
        <item x="119"/>
        <item x="523"/>
        <item x="985"/>
        <item x="541"/>
        <item x="45"/>
        <item x="580"/>
        <item x="725"/>
        <item x="495"/>
        <item x="907"/>
        <item x="317"/>
        <item x="824"/>
        <item x="327"/>
        <item x="919"/>
        <item x="175"/>
        <item x="706"/>
        <item x="961"/>
        <item x="791"/>
        <item x="205"/>
        <item x="422"/>
        <item x="549"/>
        <item x="631"/>
        <item x="229"/>
        <item x="535"/>
        <item x="749"/>
        <item x="328"/>
        <item x="20"/>
        <item x="287"/>
        <item x="114"/>
        <item x="946"/>
        <item x="189"/>
        <item x="890"/>
        <item x="471"/>
        <item x="26"/>
        <item x="820"/>
        <item x="908"/>
        <item x="692"/>
        <item x="190"/>
        <item x="796"/>
        <item x="366"/>
        <item x="701"/>
        <item x="508"/>
        <item x="150"/>
        <item x="577"/>
        <item x="115"/>
        <item x="673"/>
        <item x="509"/>
        <item x="601"/>
        <item x="696"/>
        <item x="990"/>
        <item x="292"/>
        <item x="831"/>
        <item x="78"/>
        <item x="973"/>
        <item x="151"/>
        <item x="120"/>
        <item x="424"/>
        <item x="259"/>
        <item x="38"/>
        <item x="911"/>
        <item x="491"/>
        <item x="708"/>
        <item x="387"/>
        <item x="230"/>
        <item x="783"/>
        <item x="829"/>
        <item x="797"/>
        <item x="59"/>
        <item x="885"/>
        <item x="126"/>
        <item x="663"/>
        <item x="565"/>
        <item x="697"/>
        <item x="428"/>
        <item x="184"/>
        <item x="191"/>
        <item x="779"/>
        <item x="250"/>
        <item x="224"/>
        <item x="101"/>
        <item x="821"/>
        <item x="476"/>
        <item x="622"/>
        <item x="702"/>
        <item x="735"/>
        <item x="238"/>
        <item x="340"/>
        <item x="770"/>
        <item x="329"/>
        <item x="407"/>
        <item x="596"/>
        <item x="914"/>
        <item x="272"/>
        <item x="334"/>
        <item x="466"/>
        <item x="939"/>
        <item x="506"/>
        <item x="404"/>
        <item x="855"/>
        <item x="974"/>
        <item x="962"/>
        <item x="524"/>
        <item x="717"/>
        <item x="664"/>
        <item x="685"/>
        <item x="258"/>
        <item x="678"/>
        <item x="573"/>
        <item x="356"/>
        <item x="943"/>
        <item x="121"/>
        <item x="720"/>
        <item x="472"/>
        <item x="194"/>
        <item x="492"/>
        <item x="667"/>
        <item x="709"/>
        <item x="780"/>
        <item x="335"/>
        <item x="84"/>
        <item x="140"/>
        <item x="293"/>
        <item x="245"/>
        <item x="648"/>
        <item x="200"/>
        <item x="136"/>
        <item x="21"/>
        <item x="605"/>
        <item x="481"/>
        <item x="60"/>
        <item x="728"/>
        <item x="825"/>
        <item x="658"/>
        <item x="467"/>
        <item x="39"/>
        <item x="642"/>
        <item x="670"/>
        <item x="468"/>
        <item x="265"/>
        <item x="781"/>
        <item x="157"/>
        <item x="975"/>
        <item x="838"/>
        <item x="87"/>
        <item x="458"/>
        <item x="529"/>
        <item x="221"/>
        <item x="431"/>
        <item x="369"/>
        <item x="872"/>
        <item x="754"/>
        <item x="5"/>
        <item x="894"/>
        <item x="647"/>
        <item x="920"/>
        <item x="721"/>
        <item x="566"/>
        <item x="582"/>
        <item x="944"/>
        <item x="915"/>
        <item x="632"/>
        <item x="628"/>
        <item x="530"/>
        <item x="320"/>
        <item x="583"/>
        <item x="158"/>
        <item x="231"/>
        <item x="536"/>
        <item x="322"/>
        <item x="726"/>
        <item x="266"/>
        <item x="179"/>
        <item x="981"/>
        <item x="537"/>
        <item x="241"/>
        <item x="951"/>
        <item x="27"/>
        <item x="192"/>
        <item x="22"/>
        <item x="170"/>
        <item x="916"/>
        <item x="273"/>
        <item x="171"/>
        <item x="347"/>
        <item x="952"/>
        <item x="449"/>
        <item x="947"/>
        <item x="851"/>
        <item x="901"/>
        <item x="689"/>
        <item x="477"/>
        <item x="602"/>
        <item x="834"/>
        <item x="842"/>
        <item x="321"/>
        <item x="116"/>
        <item x="450"/>
        <item x="392"/>
        <item x="263"/>
        <item x="986"/>
        <item x="324"/>
        <item x="399"/>
        <item x="686"/>
        <item x="146"/>
        <item x="637"/>
        <item x="809"/>
        <item x="758"/>
        <item x="665"/>
        <item x="921"/>
        <item x="173"/>
        <item x="176"/>
        <item x="722"/>
        <item x="105"/>
        <item x="930"/>
        <item x="886"/>
        <item x="629"/>
        <item x="196"/>
        <item x="141"/>
        <item x="439"/>
        <item x="440"/>
        <item x="707"/>
        <item x="255"/>
        <item x="372"/>
        <item x="638"/>
        <item x="964"/>
        <item x="598"/>
        <item x="79"/>
        <item x="991"/>
        <item x="811"/>
        <item x="382"/>
        <item x="88"/>
        <item x="633"/>
        <item x="23"/>
        <item x="225"/>
        <item x="174"/>
        <item x="388"/>
        <item x="159"/>
        <item x="113"/>
        <item x="610"/>
        <item x="584"/>
        <item x="674"/>
        <item x="137"/>
        <item x="298"/>
        <item x="9"/>
        <item x="750"/>
        <item x="924"/>
        <item x="736"/>
        <item x="766"/>
        <item x="859"/>
        <item x="256"/>
        <item x="122"/>
        <item x="574"/>
        <item x="994"/>
        <item x="152"/>
        <item x="451"/>
        <item x="330"/>
        <item x="513"/>
        <item x="818"/>
        <item x="452"/>
        <item x="835"/>
        <item x="278"/>
        <item x="922"/>
        <item x="555"/>
        <item x="538"/>
        <item x="209"/>
        <item x="614"/>
        <item x="444"/>
        <item x="432"/>
        <item x="745"/>
        <item x="336"/>
        <item x="997"/>
        <item x="550"/>
        <item x="514"/>
        <item x="759"/>
        <item x="955"/>
        <item x="389"/>
        <item x="251"/>
        <item x="348"/>
        <item x="310"/>
        <item x="185"/>
        <item x="940"/>
        <item x="117"/>
        <item x="714"/>
        <item x="14"/>
        <item x="763"/>
        <item x="540"/>
        <item x="345"/>
        <item x="142"/>
        <item x="643"/>
        <item x="456"/>
        <item x="789"/>
        <item x="615"/>
        <item x="417"/>
        <item x="778"/>
        <item x="441"/>
        <item x="54"/>
        <item x="623"/>
        <item x="143"/>
        <item x="599"/>
        <item x="680"/>
        <item x="226"/>
        <item x="393"/>
        <item x="810"/>
        <item x="433"/>
        <item x="10"/>
        <item x="978"/>
        <item x="895"/>
        <item x="775"/>
        <item x="110"/>
        <item x="525"/>
        <item x="469"/>
        <item x="62"/>
        <item x="519"/>
        <item x="383"/>
        <item x="644"/>
        <item x="380"/>
        <item x="133"/>
        <item x="15"/>
        <item x="589"/>
        <item x="526"/>
        <item x="211"/>
        <item x="6"/>
        <item x="760"/>
        <item x="953"/>
        <item x="982"/>
        <item x="29"/>
        <item x="499"/>
        <item x="164"/>
        <item x="515"/>
        <item x="925"/>
        <item x="832"/>
        <item x="560"/>
        <item x="965"/>
        <item x="212"/>
        <item x="496"/>
        <item x="75"/>
        <item x="767"/>
        <item x="659"/>
        <item x="63"/>
        <item x="55"/>
        <item x="429"/>
        <item x="363"/>
        <item x="16"/>
        <item x="932"/>
        <item x="473"/>
        <item x="246"/>
        <item x="462"/>
        <item x="926"/>
        <item x="412"/>
        <item x="812"/>
        <item x="296"/>
        <item x="738"/>
        <item x="325"/>
        <item x="567"/>
        <item x="597"/>
        <item x="703"/>
        <item x="134"/>
        <item x="652"/>
        <item x="891"/>
        <item x="826"/>
        <item x="860"/>
        <item x="813"/>
        <item x="24"/>
        <item x="626"/>
        <item x="909"/>
        <item x="804"/>
        <item x="856"/>
        <item x="698"/>
        <item x="108"/>
        <item x="933"/>
        <item x="56"/>
        <item x="181"/>
        <item x="359"/>
        <item x="294"/>
        <item x="660"/>
        <item x="400"/>
        <item x="867"/>
        <item x="65"/>
        <item x="679"/>
        <item x="401"/>
        <item x="66"/>
        <item x="516"/>
        <item x="956"/>
        <item x="459"/>
        <item x="857"/>
        <item x="127"/>
        <item x="527"/>
        <item x="784"/>
        <item x="715"/>
        <item x="53"/>
        <item x="896"/>
        <item x="794"/>
        <item x="887"/>
        <item x="671"/>
        <item x="798"/>
        <item x="402"/>
        <item x="843"/>
        <item x="561"/>
        <item x="405"/>
        <item x="934"/>
        <item x="25"/>
        <item x="969"/>
        <item x="998"/>
        <item x="624"/>
        <item x="197"/>
        <item x="279"/>
        <item x="3"/>
        <item x="394"/>
        <item x="11"/>
        <item x="645"/>
        <item x="102"/>
        <item x="863"/>
        <item x="153"/>
        <item x="595"/>
        <item x="395"/>
        <item x="799"/>
        <item x="350"/>
        <item x="693"/>
        <item x="897"/>
        <item x="253"/>
        <item x="682"/>
        <item x="67"/>
        <item x="138"/>
        <item x="617"/>
        <item x="70"/>
        <item x="103"/>
        <item x="274"/>
        <item x="97"/>
        <item x="590"/>
        <item x="299"/>
        <item x="82"/>
        <item x="242"/>
        <item x="186"/>
        <item x="807"/>
        <item x="267"/>
        <item x="987"/>
        <item x="898"/>
        <item x="396"/>
        <item x="297"/>
        <item x="232"/>
        <item x="375"/>
        <item x="222"/>
        <item x="442"/>
        <item x="12"/>
        <item x="800"/>
        <item x="877"/>
        <item x="206"/>
        <item x="353"/>
        <item x="95"/>
        <item x="40"/>
        <item x="562"/>
        <item x="280"/>
        <item x="311"/>
        <item x="873"/>
        <item x="822"/>
        <item x="390"/>
        <item x="653"/>
        <item x="808"/>
        <item x="902"/>
        <item x="312"/>
        <item x="683"/>
        <item x="453"/>
        <item x="98"/>
        <item x="852"/>
        <item x="500"/>
        <item x="177"/>
        <item x="937"/>
        <item x="616"/>
        <item x="201"/>
        <item x="447"/>
        <item x="935"/>
        <item x="903"/>
        <item x="202"/>
        <item x="397"/>
        <item x="531"/>
        <item x="542"/>
        <item x="690"/>
        <item x="654"/>
        <item x="710"/>
        <item x="418"/>
        <item x="739"/>
        <item x="384"/>
        <item x="672"/>
        <item x="17"/>
        <item x="33"/>
        <item x="370"/>
        <item x="776"/>
        <item x="684"/>
        <item x="792"/>
        <item x="227"/>
        <item x="928"/>
        <item x="751"/>
        <item x="349"/>
        <item x="888"/>
        <item x="625"/>
        <item x="878"/>
        <item x="694"/>
        <item x="147"/>
        <item x="999"/>
        <item x="128"/>
        <item x="76"/>
        <item x="474"/>
        <item x="284"/>
        <item x="966"/>
        <item x="111"/>
        <item x="814"/>
        <item x="805"/>
        <item x="482"/>
        <item x="801"/>
        <item x="675"/>
        <item x="68"/>
        <item x="445"/>
        <item x="483"/>
        <item x="233"/>
        <item x="71"/>
        <item x="727"/>
        <item x="337"/>
        <item x="568"/>
        <item x="475"/>
        <item x="83"/>
        <item x="552"/>
        <item x="603"/>
        <item x="326"/>
        <item x="655"/>
        <item x="285"/>
        <item x="755"/>
        <item x="740"/>
        <item x="532"/>
        <item x="243"/>
        <item x="341"/>
        <item x="954"/>
        <item x="556"/>
        <item x="553"/>
        <item x="618"/>
        <item x="123"/>
        <item x="853"/>
        <item x="606"/>
        <item x="551"/>
        <item x="517"/>
        <item x="385"/>
        <item x="87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2">
        <item x="1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>
      <items count="10">
        <item x="3"/>
        <item x="9"/>
        <item x="5"/>
        <item x="7"/>
        <item x="8"/>
        <item x="0"/>
        <item x="6"/>
        <item x="2"/>
        <item x="1"/>
        <item x="4"/>
      </items>
    </pivotField>
    <pivotField axis="axisCol" showAll="0" defaultSubtotal="0">
      <items count="5">
        <item x="4"/>
        <item x="3"/>
        <item x="1"/>
        <item x="2"/>
        <item x="0"/>
      </items>
    </pivotField>
    <pivotField showAll="0" defaultSubtotal="0"/>
    <pivotField dataField="1" showAll="0" defaultSubtotal="0"/>
    <pivotField numFmtId="2" showAll="0" defaultSubtotal="0"/>
    <pivotField showAll="0" defaultSubtotal="0"/>
    <pivotField showAll="0" defaultSubtotal="0"/>
    <pivotField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Numero de articulos por genero" fld="15" baseField="7" baseItem="0"/>
  </dataFields>
  <chartFormats count="5">
    <chartFormat chart="22" format="3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2" format="3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2" format="3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2" format="3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2" format="3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EDDCD-6A47-42A5-92C2-8A2A5E527532}" name="TablaDinámica4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P25:V35" firstHeaderRow="1" firstDataRow="2" firstDataCol="1"/>
  <pivotFields count="24">
    <pivotField showAll="0"/>
    <pivotField numFmtId="14" showAll="0">
      <items count="1001">
        <item x="668"/>
        <item x="957"/>
        <item x="247"/>
        <item x="634"/>
        <item x="342"/>
        <item x="408"/>
        <item x="771"/>
        <item x="148"/>
        <item x="988"/>
        <item x="746"/>
        <item x="718"/>
        <item x="478"/>
        <item x="457"/>
        <item x="376"/>
        <item x="331"/>
        <item x="501"/>
        <item x="264"/>
        <item x="904"/>
        <item x="806"/>
        <item x="585"/>
        <item x="627"/>
        <item x="275"/>
        <item x="752"/>
        <item x="144"/>
        <item x="484"/>
        <item x="57"/>
        <item x="733"/>
        <item x="354"/>
        <item x="318"/>
        <item x="154"/>
        <item x="338"/>
        <item x="235"/>
        <item x="870"/>
        <item x="858"/>
        <item x="518"/>
        <item x="764"/>
        <item x="479"/>
        <item x="446"/>
        <item x="288"/>
        <item x="50"/>
        <item x="639"/>
        <item x="958"/>
        <item x="669"/>
        <item x="868"/>
        <item x="543"/>
        <item x="569"/>
        <item x="443"/>
        <item x="149"/>
        <item x="578"/>
        <item x="931"/>
        <item x="520"/>
        <item x="989"/>
        <item x="485"/>
        <item x="676"/>
        <item x="880"/>
        <item x="563"/>
        <item x="162"/>
        <item x="729"/>
        <item x="823"/>
        <item x="434"/>
        <item x="248"/>
        <item x="687"/>
        <item x="437"/>
        <item x="182"/>
        <item x="323"/>
        <item x="89"/>
        <item x="41"/>
        <item x="172"/>
        <item x="970"/>
        <item x="844"/>
        <item x="419"/>
        <item x="203"/>
        <item x="864"/>
        <item x="305"/>
        <item x="846"/>
        <item x="497"/>
        <item x="339"/>
        <item x="319"/>
        <item x="178"/>
        <item x="223"/>
        <item x="521"/>
        <item x="351"/>
        <item x="836"/>
        <item x="570"/>
        <item x="198"/>
        <item x="213"/>
        <item x="874"/>
        <item x="723"/>
        <item x="649"/>
        <item x="737"/>
        <item x="845"/>
        <item x="681"/>
        <item x="882"/>
        <item x="572"/>
        <item x="46"/>
        <item x="730"/>
        <item x="195"/>
        <item x="425"/>
        <item x="992"/>
        <item x="747"/>
        <item x="403"/>
        <item x="207"/>
        <item x="80"/>
        <item x="85"/>
        <item x="260"/>
        <item x="268"/>
        <item x="945"/>
        <item x="741"/>
        <item x="591"/>
        <item x="979"/>
        <item x="929"/>
        <item x="332"/>
        <item x="129"/>
        <item x="18"/>
        <item x="72"/>
        <item x="371"/>
        <item x="409"/>
        <item x="765"/>
        <item x="239"/>
        <item x="130"/>
        <item x="544"/>
        <item x="586"/>
        <item x="861"/>
        <item x="948"/>
        <item x="545"/>
        <item x="607"/>
        <item x="276"/>
        <item x="28"/>
        <item x="905"/>
        <item x="165"/>
        <item x="34"/>
        <item x="435"/>
        <item x="650"/>
        <item x="302"/>
        <item x="214"/>
        <item x="906"/>
        <item x="899"/>
        <item x="289"/>
        <item x="772"/>
        <item x="847"/>
        <item x="86"/>
        <item x="423"/>
        <item x="414"/>
        <item x="557"/>
        <item x="160"/>
        <item x="286"/>
        <item x="64"/>
        <item x="269"/>
        <item x="995"/>
        <item x="777"/>
        <item x="187"/>
        <item x="281"/>
        <item x="756"/>
        <item x="290"/>
        <item x="373"/>
        <item x="48"/>
        <item x="724"/>
        <item x="793"/>
        <item x="32"/>
        <item x="976"/>
        <item x="92"/>
        <item x="346"/>
        <item x="546"/>
        <item x="815"/>
        <item x="533"/>
        <item x="73"/>
        <item x="360"/>
        <item x="124"/>
        <item x="252"/>
        <item x="430"/>
        <item x="502"/>
        <item x="300"/>
        <item x="277"/>
        <item x="161"/>
        <item x="13"/>
        <item x="761"/>
        <item x="839"/>
        <item x="0"/>
        <item x="180"/>
        <item x="731"/>
        <item x="215"/>
        <item x="118"/>
        <item x="282"/>
        <item x="109"/>
        <item x="460"/>
        <item x="768"/>
        <item x="99"/>
        <item x="651"/>
        <item x="303"/>
        <item x="912"/>
        <item x="865"/>
        <item x="941"/>
        <item x="51"/>
        <item x="900"/>
        <item x="819"/>
        <item x="90"/>
        <item x="604"/>
        <item x="306"/>
        <item x="816"/>
        <item x="436"/>
        <item x="942"/>
        <item x="361"/>
        <item x="971"/>
        <item x="510"/>
        <item x="210"/>
        <item x="575"/>
        <item x="4"/>
        <item x="875"/>
        <item x="830"/>
        <item x="848"/>
        <item x="315"/>
        <item x="558"/>
        <item x="357"/>
        <item x="769"/>
        <item x="581"/>
        <item x="576"/>
        <item x="35"/>
        <item x="892"/>
        <item x="967"/>
        <item x="869"/>
        <item x="480"/>
        <item x="889"/>
        <item x="193"/>
        <item x="81"/>
        <item x="748"/>
        <item x="1"/>
        <item x="611"/>
        <item x="608"/>
        <item x="166"/>
        <item x="391"/>
        <item x="795"/>
        <item x="923"/>
        <item x="420"/>
        <item x="539"/>
        <item x="257"/>
        <item x="493"/>
        <item x="91"/>
        <item x="579"/>
        <item x="377"/>
        <item x="69"/>
        <item x="503"/>
        <item x="893"/>
        <item x="959"/>
        <item x="261"/>
        <item x="106"/>
        <item x="415"/>
        <item x="77"/>
        <item x="358"/>
        <item x="244"/>
        <item x="58"/>
        <item x="254"/>
        <item x="486"/>
        <item x="30"/>
        <item x="36"/>
        <item x="155"/>
        <item x="199"/>
        <item x="762"/>
        <item x="960"/>
        <item x="228"/>
        <item x="656"/>
        <item x="398"/>
        <item x="100"/>
        <item x="547"/>
        <item x="785"/>
        <item x="786"/>
        <item x="125"/>
        <item x="711"/>
        <item x="93"/>
        <item x="548"/>
        <item x="866"/>
        <item x="386"/>
        <item x="504"/>
        <item x="74"/>
        <item x="505"/>
        <item x="612"/>
        <item x="333"/>
        <item x="564"/>
        <item x="7"/>
        <item x="487"/>
        <item x="635"/>
        <item x="374"/>
        <item x="270"/>
        <item x="463"/>
        <item x="249"/>
        <item x="917"/>
        <item x="691"/>
        <item x="301"/>
        <item x="661"/>
        <item x="131"/>
        <item x="362"/>
        <item x="52"/>
        <item x="313"/>
        <item x="37"/>
        <item x="167"/>
        <item x="600"/>
        <item x="169"/>
        <item x="234"/>
        <item x="592"/>
        <item x="107"/>
        <item x="742"/>
        <item x="704"/>
        <item x="464"/>
        <item x="410"/>
        <item x="881"/>
        <item x="883"/>
        <item x="168"/>
        <item x="790"/>
        <item x="454"/>
        <item x="216"/>
        <item x="849"/>
        <item x="42"/>
        <item x="910"/>
        <item x="782"/>
        <item x="367"/>
        <item x="787"/>
        <item x="699"/>
        <item x="688"/>
        <item x="977"/>
        <item x="43"/>
        <item x="465"/>
        <item x="217"/>
        <item x="918"/>
        <item x="295"/>
        <item x="426"/>
        <item x="884"/>
        <item x="421"/>
        <item x="271"/>
        <item x="494"/>
        <item x="413"/>
        <item x="344"/>
        <item x="104"/>
        <item x="112"/>
        <item x="208"/>
        <item x="587"/>
        <item x="743"/>
        <item x="156"/>
        <item x="218"/>
        <item x="44"/>
        <item x="695"/>
        <item x="840"/>
        <item x="571"/>
        <item x="619"/>
        <item x="139"/>
        <item x="802"/>
        <item x="712"/>
        <item x="488"/>
        <item x="511"/>
        <item x="316"/>
        <item x="304"/>
        <item x="8"/>
        <item x="936"/>
        <item x="705"/>
        <item x="343"/>
        <item x="2"/>
        <item x="470"/>
        <item x="657"/>
        <item x="827"/>
        <item x="963"/>
        <item x="871"/>
        <item x="61"/>
        <item x="307"/>
        <item x="588"/>
        <item x="828"/>
        <item x="236"/>
        <item x="662"/>
        <item x="719"/>
        <item x="876"/>
        <item x="237"/>
        <item x="640"/>
        <item x="163"/>
        <item x="983"/>
        <item x="773"/>
        <item x="913"/>
        <item x="283"/>
        <item x="630"/>
        <item x="96"/>
        <item x="438"/>
        <item x="416"/>
        <item x="448"/>
        <item x="620"/>
        <item x="135"/>
        <item x="559"/>
        <item x="31"/>
        <item x="554"/>
        <item x="308"/>
        <item x="833"/>
        <item x="837"/>
        <item x="49"/>
        <item x="734"/>
        <item x="817"/>
        <item x="732"/>
        <item x="593"/>
        <item x="498"/>
        <item x="204"/>
        <item x="984"/>
        <item x="641"/>
        <item x="636"/>
        <item x="368"/>
        <item x="788"/>
        <item x="262"/>
        <item x="364"/>
        <item x="609"/>
        <item x="938"/>
        <item x="850"/>
        <item x="183"/>
        <item x="927"/>
        <item x="841"/>
        <item x="489"/>
        <item x="949"/>
        <item x="291"/>
        <item x="700"/>
        <item x="534"/>
        <item x="461"/>
        <item x="677"/>
        <item x="980"/>
        <item x="613"/>
        <item x="621"/>
        <item x="411"/>
        <item x="219"/>
        <item x="716"/>
        <item x="594"/>
        <item x="240"/>
        <item x="803"/>
        <item x="314"/>
        <item x="365"/>
        <item x="490"/>
        <item x="972"/>
        <item x="646"/>
        <item x="145"/>
        <item x="666"/>
        <item x="862"/>
        <item x="378"/>
        <item x="132"/>
        <item x="522"/>
        <item x="406"/>
        <item x="854"/>
        <item x="19"/>
        <item x="996"/>
        <item x="507"/>
        <item x="188"/>
        <item x="47"/>
        <item x="744"/>
        <item x="427"/>
        <item x="220"/>
        <item x="713"/>
        <item x="753"/>
        <item x="528"/>
        <item x="968"/>
        <item x="757"/>
        <item x="455"/>
        <item x="309"/>
        <item x="950"/>
        <item x="993"/>
        <item x="512"/>
        <item x="94"/>
        <item x="381"/>
        <item x="352"/>
        <item x="355"/>
        <item x="379"/>
        <item x="774"/>
        <item x="119"/>
        <item x="523"/>
        <item x="985"/>
        <item x="541"/>
        <item x="45"/>
        <item x="580"/>
        <item x="725"/>
        <item x="495"/>
        <item x="907"/>
        <item x="317"/>
        <item x="824"/>
        <item x="327"/>
        <item x="919"/>
        <item x="175"/>
        <item x="706"/>
        <item x="961"/>
        <item x="791"/>
        <item x="205"/>
        <item x="422"/>
        <item x="549"/>
        <item x="631"/>
        <item x="229"/>
        <item x="535"/>
        <item x="749"/>
        <item x="328"/>
        <item x="20"/>
        <item x="287"/>
        <item x="114"/>
        <item x="946"/>
        <item x="189"/>
        <item x="890"/>
        <item x="471"/>
        <item x="26"/>
        <item x="820"/>
        <item x="908"/>
        <item x="692"/>
        <item x="190"/>
        <item x="796"/>
        <item x="366"/>
        <item x="701"/>
        <item x="508"/>
        <item x="150"/>
        <item x="577"/>
        <item x="115"/>
        <item x="673"/>
        <item x="509"/>
        <item x="601"/>
        <item x="696"/>
        <item x="990"/>
        <item x="292"/>
        <item x="831"/>
        <item x="78"/>
        <item x="973"/>
        <item x="151"/>
        <item x="120"/>
        <item x="424"/>
        <item x="259"/>
        <item x="38"/>
        <item x="911"/>
        <item x="491"/>
        <item x="708"/>
        <item x="387"/>
        <item x="230"/>
        <item x="783"/>
        <item x="829"/>
        <item x="797"/>
        <item x="59"/>
        <item x="885"/>
        <item x="126"/>
        <item x="663"/>
        <item x="565"/>
        <item x="697"/>
        <item x="428"/>
        <item x="184"/>
        <item x="191"/>
        <item x="779"/>
        <item x="250"/>
        <item x="224"/>
        <item x="101"/>
        <item x="821"/>
        <item x="476"/>
        <item x="622"/>
        <item x="702"/>
        <item x="735"/>
        <item x="238"/>
        <item x="340"/>
        <item x="770"/>
        <item x="329"/>
        <item x="407"/>
        <item x="596"/>
        <item x="914"/>
        <item x="272"/>
        <item x="334"/>
        <item x="466"/>
        <item x="939"/>
        <item x="506"/>
        <item x="404"/>
        <item x="855"/>
        <item x="974"/>
        <item x="962"/>
        <item x="524"/>
        <item x="717"/>
        <item x="664"/>
        <item x="685"/>
        <item x="258"/>
        <item x="678"/>
        <item x="573"/>
        <item x="356"/>
        <item x="943"/>
        <item x="121"/>
        <item x="720"/>
        <item x="472"/>
        <item x="194"/>
        <item x="492"/>
        <item x="667"/>
        <item x="709"/>
        <item x="780"/>
        <item x="335"/>
        <item x="84"/>
        <item x="140"/>
        <item x="293"/>
        <item x="245"/>
        <item x="648"/>
        <item x="200"/>
        <item x="136"/>
        <item x="21"/>
        <item x="605"/>
        <item x="481"/>
        <item x="60"/>
        <item x="728"/>
        <item x="825"/>
        <item x="658"/>
        <item x="467"/>
        <item x="39"/>
        <item x="642"/>
        <item x="670"/>
        <item x="468"/>
        <item x="265"/>
        <item x="781"/>
        <item x="157"/>
        <item x="975"/>
        <item x="838"/>
        <item x="87"/>
        <item x="458"/>
        <item x="529"/>
        <item x="221"/>
        <item x="431"/>
        <item x="369"/>
        <item x="872"/>
        <item x="754"/>
        <item x="5"/>
        <item x="894"/>
        <item x="647"/>
        <item x="920"/>
        <item x="721"/>
        <item x="566"/>
        <item x="582"/>
        <item x="944"/>
        <item x="915"/>
        <item x="632"/>
        <item x="628"/>
        <item x="530"/>
        <item x="320"/>
        <item x="583"/>
        <item x="158"/>
        <item x="231"/>
        <item x="536"/>
        <item x="322"/>
        <item x="726"/>
        <item x="266"/>
        <item x="179"/>
        <item x="981"/>
        <item x="537"/>
        <item x="241"/>
        <item x="951"/>
        <item x="27"/>
        <item x="192"/>
        <item x="22"/>
        <item x="170"/>
        <item x="916"/>
        <item x="273"/>
        <item x="171"/>
        <item x="347"/>
        <item x="952"/>
        <item x="449"/>
        <item x="947"/>
        <item x="851"/>
        <item x="901"/>
        <item x="689"/>
        <item x="477"/>
        <item x="602"/>
        <item x="834"/>
        <item x="842"/>
        <item x="321"/>
        <item x="116"/>
        <item x="450"/>
        <item x="392"/>
        <item x="263"/>
        <item x="986"/>
        <item x="324"/>
        <item x="399"/>
        <item x="686"/>
        <item x="146"/>
        <item x="637"/>
        <item x="809"/>
        <item x="758"/>
        <item x="665"/>
        <item x="921"/>
        <item x="173"/>
        <item x="176"/>
        <item x="722"/>
        <item x="105"/>
        <item x="930"/>
        <item x="886"/>
        <item x="629"/>
        <item x="196"/>
        <item x="141"/>
        <item x="439"/>
        <item x="440"/>
        <item x="707"/>
        <item x="255"/>
        <item x="372"/>
        <item x="638"/>
        <item x="964"/>
        <item x="598"/>
        <item x="79"/>
        <item x="991"/>
        <item x="811"/>
        <item x="382"/>
        <item x="88"/>
        <item x="633"/>
        <item x="23"/>
        <item x="225"/>
        <item x="174"/>
        <item x="388"/>
        <item x="159"/>
        <item x="113"/>
        <item x="610"/>
        <item x="584"/>
        <item x="674"/>
        <item x="137"/>
        <item x="298"/>
        <item x="9"/>
        <item x="750"/>
        <item x="924"/>
        <item x="736"/>
        <item x="766"/>
        <item x="859"/>
        <item x="256"/>
        <item x="122"/>
        <item x="574"/>
        <item x="994"/>
        <item x="152"/>
        <item x="451"/>
        <item x="330"/>
        <item x="513"/>
        <item x="818"/>
        <item x="452"/>
        <item x="835"/>
        <item x="278"/>
        <item x="922"/>
        <item x="555"/>
        <item x="538"/>
        <item x="209"/>
        <item x="614"/>
        <item x="444"/>
        <item x="432"/>
        <item x="745"/>
        <item x="336"/>
        <item x="997"/>
        <item x="550"/>
        <item x="514"/>
        <item x="759"/>
        <item x="955"/>
        <item x="389"/>
        <item x="251"/>
        <item x="348"/>
        <item x="310"/>
        <item x="185"/>
        <item x="940"/>
        <item x="117"/>
        <item x="714"/>
        <item x="14"/>
        <item x="763"/>
        <item x="540"/>
        <item x="345"/>
        <item x="142"/>
        <item x="643"/>
        <item x="456"/>
        <item x="789"/>
        <item x="615"/>
        <item x="417"/>
        <item x="778"/>
        <item x="441"/>
        <item x="54"/>
        <item x="623"/>
        <item x="143"/>
        <item x="599"/>
        <item x="680"/>
        <item x="226"/>
        <item x="393"/>
        <item x="810"/>
        <item x="433"/>
        <item x="10"/>
        <item x="978"/>
        <item x="895"/>
        <item x="775"/>
        <item x="110"/>
        <item x="525"/>
        <item x="469"/>
        <item x="62"/>
        <item x="519"/>
        <item x="383"/>
        <item x="644"/>
        <item x="380"/>
        <item x="133"/>
        <item x="15"/>
        <item x="589"/>
        <item x="526"/>
        <item x="211"/>
        <item x="6"/>
        <item x="760"/>
        <item x="953"/>
        <item x="982"/>
        <item x="29"/>
        <item x="499"/>
        <item x="164"/>
        <item x="515"/>
        <item x="925"/>
        <item x="832"/>
        <item x="560"/>
        <item x="965"/>
        <item x="212"/>
        <item x="496"/>
        <item x="75"/>
        <item x="767"/>
        <item x="659"/>
        <item x="63"/>
        <item x="55"/>
        <item x="429"/>
        <item x="363"/>
        <item x="16"/>
        <item x="932"/>
        <item x="473"/>
        <item x="246"/>
        <item x="462"/>
        <item x="926"/>
        <item x="412"/>
        <item x="812"/>
        <item x="296"/>
        <item x="738"/>
        <item x="325"/>
        <item x="567"/>
        <item x="597"/>
        <item x="703"/>
        <item x="134"/>
        <item x="652"/>
        <item x="891"/>
        <item x="826"/>
        <item x="860"/>
        <item x="813"/>
        <item x="24"/>
        <item x="626"/>
        <item x="909"/>
        <item x="804"/>
        <item x="856"/>
        <item x="698"/>
        <item x="108"/>
        <item x="933"/>
        <item x="56"/>
        <item x="181"/>
        <item x="359"/>
        <item x="294"/>
        <item x="660"/>
        <item x="400"/>
        <item x="867"/>
        <item x="65"/>
        <item x="679"/>
        <item x="401"/>
        <item x="66"/>
        <item x="516"/>
        <item x="956"/>
        <item x="459"/>
        <item x="857"/>
        <item x="127"/>
        <item x="527"/>
        <item x="784"/>
        <item x="715"/>
        <item x="53"/>
        <item x="896"/>
        <item x="794"/>
        <item x="887"/>
        <item x="671"/>
        <item x="798"/>
        <item x="402"/>
        <item x="843"/>
        <item x="561"/>
        <item x="405"/>
        <item x="934"/>
        <item x="25"/>
        <item x="969"/>
        <item x="998"/>
        <item x="624"/>
        <item x="197"/>
        <item x="279"/>
        <item x="3"/>
        <item x="394"/>
        <item x="11"/>
        <item x="645"/>
        <item x="102"/>
        <item x="863"/>
        <item x="153"/>
        <item x="595"/>
        <item x="395"/>
        <item x="799"/>
        <item x="350"/>
        <item x="693"/>
        <item x="897"/>
        <item x="253"/>
        <item x="682"/>
        <item x="67"/>
        <item x="138"/>
        <item x="617"/>
        <item x="70"/>
        <item x="103"/>
        <item x="274"/>
        <item x="97"/>
        <item x="590"/>
        <item x="299"/>
        <item x="82"/>
        <item x="242"/>
        <item x="186"/>
        <item x="807"/>
        <item x="267"/>
        <item x="987"/>
        <item x="898"/>
        <item x="396"/>
        <item x="297"/>
        <item x="232"/>
        <item x="375"/>
        <item x="222"/>
        <item x="442"/>
        <item x="12"/>
        <item x="800"/>
        <item x="877"/>
        <item x="206"/>
        <item x="353"/>
        <item x="95"/>
        <item x="40"/>
        <item x="562"/>
        <item x="280"/>
        <item x="311"/>
        <item x="873"/>
        <item x="822"/>
        <item x="390"/>
        <item x="653"/>
        <item x="808"/>
        <item x="902"/>
        <item x="312"/>
        <item x="683"/>
        <item x="453"/>
        <item x="98"/>
        <item x="852"/>
        <item x="500"/>
        <item x="177"/>
        <item x="937"/>
        <item x="616"/>
        <item x="201"/>
        <item x="447"/>
        <item x="935"/>
        <item x="903"/>
        <item x="202"/>
        <item x="397"/>
        <item x="531"/>
        <item x="542"/>
        <item x="690"/>
        <item x="654"/>
        <item x="710"/>
        <item x="418"/>
        <item x="739"/>
        <item x="384"/>
        <item x="672"/>
        <item x="17"/>
        <item x="33"/>
        <item x="370"/>
        <item x="776"/>
        <item x="684"/>
        <item x="792"/>
        <item x="227"/>
        <item x="928"/>
        <item x="751"/>
        <item x="349"/>
        <item x="888"/>
        <item x="625"/>
        <item x="878"/>
        <item x="694"/>
        <item x="147"/>
        <item x="999"/>
        <item x="128"/>
        <item x="76"/>
        <item x="474"/>
        <item x="284"/>
        <item x="966"/>
        <item x="111"/>
        <item x="814"/>
        <item x="805"/>
        <item x="482"/>
        <item x="801"/>
        <item x="675"/>
        <item x="68"/>
        <item x="445"/>
        <item x="483"/>
        <item x="233"/>
        <item x="71"/>
        <item x="727"/>
        <item x="337"/>
        <item x="568"/>
        <item x="475"/>
        <item x="83"/>
        <item x="552"/>
        <item x="603"/>
        <item x="326"/>
        <item x="655"/>
        <item x="285"/>
        <item x="755"/>
        <item x="740"/>
        <item x="532"/>
        <item x="243"/>
        <item x="341"/>
        <item x="954"/>
        <item x="556"/>
        <item x="553"/>
        <item x="618"/>
        <item x="123"/>
        <item x="853"/>
        <item x="606"/>
        <item x="551"/>
        <item x="517"/>
        <item x="385"/>
        <item x="8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2"/>
        <item x="0"/>
        <item x="5"/>
        <item x="4"/>
        <item x="7"/>
        <item x="1"/>
        <item x="3"/>
        <item t="default"/>
      </items>
    </pivotField>
    <pivotField showAll="0"/>
    <pivotField showAll="0"/>
    <pivotField axis="axisCol" showAll="0">
      <items count="6">
        <item x="4"/>
        <item x="3"/>
        <item x="1"/>
        <item x="2"/>
        <item x="0"/>
        <item t="default"/>
      </items>
    </pivotField>
    <pivotField showAll="0"/>
    <pivotField dataField="1" showAll="0"/>
    <pivotField numFmtId="2" showAll="0"/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cantidad" fld="15" baseField="0" baseItem="0"/>
  </dataFields>
  <formats count="10"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13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10" type="button" dataOnly="0" labelOnly="1" outline="0" axis="axisRow" fieldPosition="0"/>
    </format>
    <format dxfId="14">
      <pivotArea dataOnly="0" labelOnly="1" fieldPosition="0">
        <references count="1">
          <reference field="10" count="0"/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1">
          <reference field="13" count="0"/>
        </references>
      </pivotArea>
    </format>
    <format dxfId="11">
      <pivotArea dataOnly="0" labelOnly="1" grandCol="1" outline="0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9C06B-6A83-4E48-87B1-60EFCCBBED5E}" name="TablaDinámica2" cacheId="19" applyNumberFormats="0" applyBorderFormats="0" applyFontFormats="0" applyPatternFormats="0" applyAlignmentFormats="0" applyWidthHeightFormats="1" dataCaption="Valores" grandTotalCaption="Total " updatedVersion="8" minRefreshableVersion="3" useAutoFormatting="1" itemPrintTitles="1" createdVersion="8" indent="0" outline="1" outlineData="1" multipleFieldFilters="0">
  <location ref="C25:N38" firstHeaderRow="1" firstDataRow="3" firstDataCol="1"/>
  <pivotFields count="24">
    <pivotField showAll="0" defaultSubtotal="0"/>
    <pivotField numFmtId="14" showAll="0" defaultSubtotal="0">
      <items count="1000">
        <item x="668"/>
        <item x="957"/>
        <item x="247"/>
        <item x="634"/>
        <item x="342"/>
        <item x="408"/>
        <item x="771"/>
        <item x="148"/>
        <item x="988"/>
        <item x="746"/>
        <item x="718"/>
        <item x="478"/>
        <item x="457"/>
        <item x="376"/>
        <item x="331"/>
        <item x="501"/>
        <item x="264"/>
        <item x="904"/>
        <item x="806"/>
        <item x="585"/>
        <item x="627"/>
        <item x="275"/>
        <item x="752"/>
        <item x="144"/>
        <item x="484"/>
        <item x="57"/>
        <item x="733"/>
        <item x="354"/>
        <item x="318"/>
        <item x="154"/>
        <item x="338"/>
        <item x="235"/>
        <item x="870"/>
        <item x="858"/>
        <item x="518"/>
        <item x="764"/>
        <item x="479"/>
        <item x="446"/>
        <item x="288"/>
        <item x="50"/>
        <item x="639"/>
        <item x="958"/>
        <item x="669"/>
        <item x="868"/>
        <item x="543"/>
        <item x="569"/>
        <item x="443"/>
        <item x="149"/>
        <item x="578"/>
        <item x="931"/>
        <item x="520"/>
        <item x="989"/>
        <item x="485"/>
        <item x="676"/>
        <item x="880"/>
        <item x="563"/>
        <item x="162"/>
        <item x="729"/>
        <item x="823"/>
        <item x="434"/>
        <item x="248"/>
        <item x="687"/>
        <item x="437"/>
        <item x="182"/>
        <item x="323"/>
        <item x="89"/>
        <item x="41"/>
        <item x="172"/>
        <item x="970"/>
        <item x="844"/>
        <item x="419"/>
        <item x="203"/>
        <item x="864"/>
        <item x="305"/>
        <item x="846"/>
        <item x="497"/>
        <item x="339"/>
        <item x="319"/>
        <item x="178"/>
        <item x="223"/>
        <item x="521"/>
        <item x="351"/>
        <item x="836"/>
        <item x="570"/>
        <item x="198"/>
        <item x="213"/>
        <item x="874"/>
        <item x="723"/>
        <item x="649"/>
        <item x="737"/>
        <item x="845"/>
        <item x="681"/>
        <item x="882"/>
        <item x="572"/>
        <item x="46"/>
        <item x="730"/>
        <item x="195"/>
        <item x="425"/>
        <item x="992"/>
        <item x="747"/>
        <item x="403"/>
        <item x="207"/>
        <item x="80"/>
        <item x="85"/>
        <item x="260"/>
        <item x="268"/>
        <item x="945"/>
        <item x="741"/>
        <item x="591"/>
        <item x="979"/>
        <item x="929"/>
        <item x="332"/>
        <item x="129"/>
        <item x="18"/>
        <item x="72"/>
        <item x="371"/>
        <item x="409"/>
        <item x="765"/>
        <item x="239"/>
        <item x="130"/>
        <item x="544"/>
        <item x="586"/>
        <item x="861"/>
        <item x="948"/>
        <item x="545"/>
        <item x="607"/>
        <item x="276"/>
        <item x="28"/>
        <item x="905"/>
        <item x="165"/>
        <item x="34"/>
        <item x="435"/>
        <item x="650"/>
        <item x="302"/>
        <item x="214"/>
        <item x="906"/>
        <item x="899"/>
        <item x="289"/>
        <item x="772"/>
        <item x="847"/>
        <item x="86"/>
        <item x="423"/>
        <item x="414"/>
        <item x="557"/>
        <item x="160"/>
        <item x="286"/>
        <item x="64"/>
        <item x="269"/>
        <item x="995"/>
        <item x="777"/>
        <item x="187"/>
        <item x="281"/>
        <item x="756"/>
        <item x="290"/>
        <item x="373"/>
        <item x="48"/>
        <item x="724"/>
        <item x="793"/>
        <item x="32"/>
        <item x="976"/>
        <item x="92"/>
        <item x="346"/>
        <item x="546"/>
        <item x="815"/>
        <item x="533"/>
        <item x="73"/>
        <item x="360"/>
        <item x="124"/>
        <item x="252"/>
        <item x="430"/>
        <item x="502"/>
        <item x="300"/>
        <item x="277"/>
        <item x="161"/>
        <item x="13"/>
        <item x="761"/>
        <item x="839"/>
        <item x="0"/>
        <item x="180"/>
        <item x="731"/>
        <item x="215"/>
        <item x="118"/>
        <item x="282"/>
        <item x="109"/>
        <item x="460"/>
        <item x="768"/>
        <item x="99"/>
        <item x="651"/>
        <item x="303"/>
        <item x="912"/>
        <item x="865"/>
        <item x="941"/>
        <item x="51"/>
        <item x="900"/>
        <item x="819"/>
        <item x="90"/>
        <item x="604"/>
        <item x="306"/>
        <item x="816"/>
        <item x="436"/>
        <item x="942"/>
        <item x="361"/>
        <item x="971"/>
        <item x="510"/>
        <item x="210"/>
        <item x="575"/>
        <item x="4"/>
        <item x="875"/>
        <item x="830"/>
        <item x="848"/>
        <item x="315"/>
        <item x="558"/>
        <item x="357"/>
        <item x="769"/>
        <item x="581"/>
        <item x="576"/>
        <item x="35"/>
        <item x="892"/>
        <item x="967"/>
        <item x="869"/>
        <item x="480"/>
        <item x="889"/>
        <item x="193"/>
        <item x="81"/>
        <item x="748"/>
        <item x="1"/>
        <item x="611"/>
        <item x="608"/>
        <item x="166"/>
        <item x="391"/>
        <item x="795"/>
        <item x="923"/>
        <item x="420"/>
        <item x="539"/>
        <item x="257"/>
        <item x="493"/>
        <item x="91"/>
        <item x="579"/>
        <item x="377"/>
        <item x="69"/>
        <item x="503"/>
        <item x="893"/>
        <item x="959"/>
        <item x="261"/>
        <item x="106"/>
        <item x="415"/>
        <item x="77"/>
        <item x="358"/>
        <item x="244"/>
        <item x="58"/>
        <item x="254"/>
        <item x="486"/>
        <item x="30"/>
        <item x="36"/>
        <item x="155"/>
        <item x="199"/>
        <item x="762"/>
        <item x="960"/>
        <item x="228"/>
        <item x="656"/>
        <item x="398"/>
        <item x="100"/>
        <item x="547"/>
        <item x="785"/>
        <item x="786"/>
        <item x="125"/>
        <item x="711"/>
        <item x="93"/>
        <item x="548"/>
        <item x="866"/>
        <item x="386"/>
        <item x="504"/>
        <item x="74"/>
        <item x="505"/>
        <item x="612"/>
        <item x="333"/>
        <item x="564"/>
        <item x="7"/>
        <item x="487"/>
        <item x="635"/>
        <item x="374"/>
        <item x="270"/>
        <item x="463"/>
        <item x="249"/>
        <item x="917"/>
        <item x="691"/>
        <item x="301"/>
        <item x="661"/>
        <item x="131"/>
        <item x="362"/>
        <item x="52"/>
        <item x="313"/>
        <item x="37"/>
        <item x="167"/>
        <item x="600"/>
        <item x="169"/>
        <item x="234"/>
        <item x="592"/>
        <item x="107"/>
        <item x="742"/>
        <item x="704"/>
        <item x="464"/>
        <item x="410"/>
        <item x="881"/>
        <item x="883"/>
        <item x="168"/>
        <item x="790"/>
        <item x="454"/>
        <item x="216"/>
        <item x="849"/>
        <item x="42"/>
        <item x="910"/>
        <item x="782"/>
        <item x="367"/>
        <item x="787"/>
        <item x="699"/>
        <item x="688"/>
        <item x="977"/>
        <item x="43"/>
        <item x="465"/>
        <item x="217"/>
        <item x="918"/>
        <item x="295"/>
        <item x="426"/>
        <item x="884"/>
        <item x="421"/>
        <item x="271"/>
        <item x="494"/>
        <item x="413"/>
        <item x="344"/>
        <item x="104"/>
        <item x="112"/>
        <item x="208"/>
        <item x="587"/>
        <item x="743"/>
        <item x="156"/>
        <item x="218"/>
        <item x="44"/>
        <item x="695"/>
        <item x="840"/>
        <item x="571"/>
        <item x="619"/>
        <item x="139"/>
        <item x="802"/>
        <item x="712"/>
        <item x="488"/>
        <item x="511"/>
        <item x="316"/>
        <item x="304"/>
        <item x="8"/>
        <item x="936"/>
        <item x="705"/>
        <item x="343"/>
        <item x="2"/>
        <item x="470"/>
        <item x="657"/>
        <item x="827"/>
        <item x="963"/>
        <item x="871"/>
        <item x="61"/>
        <item x="307"/>
        <item x="588"/>
        <item x="828"/>
        <item x="236"/>
        <item x="662"/>
        <item x="719"/>
        <item x="876"/>
        <item x="237"/>
        <item x="640"/>
        <item x="163"/>
        <item x="983"/>
        <item x="773"/>
        <item x="913"/>
        <item x="283"/>
        <item x="630"/>
        <item x="96"/>
        <item x="438"/>
        <item x="416"/>
        <item x="448"/>
        <item x="620"/>
        <item x="135"/>
        <item x="559"/>
        <item x="31"/>
        <item x="554"/>
        <item x="308"/>
        <item x="833"/>
        <item x="837"/>
        <item x="49"/>
        <item x="734"/>
        <item x="817"/>
        <item x="732"/>
        <item x="593"/>
        <item x="498"/>
        <item x="204"/>
        <item x="984"/>
        <item x="641"/>
        <item x="636"/>
        <item x="368"/>
        <item x="788"/>
        <item x="262"/>
        <item x="364"/>
        <item x="609"/>
        <item x="938"/>
        <item x="850"/>
        <item x="183"/>
        <item x="927"/>
        <item x="841"/>
        <item x="489"/>
        <item x="949"/>
        <item x="291"/>
        <item x="700"/>
        <item x="534"/>
        <item x="461"/>
        <item x="677"/>
        <item x="980"/>
        <item x="613"/>
        <item x="621"/>
        <item x="411"/>
        <item x="219"/>
        <item x="716"/>
        <item x="594"/>
        <item x="240"/>
        <item x="803"/>
        <item x="314"/>
        <item x="365"/>
        <item x="490"/>
        <item x="972"/>
        <item x="646"/>
        <item x="145"/>
        <item x="666"/>
        <item x="862"/>
        <item x="378"/>
        <item x="132"/>
        <item x="522"/>
        <item x="406"/>
        <item x="854"/>
        <item x="19"/>
        <item x="996"/>
        <item x="507"/>
        <item x="188"/>
        <item x="47"/>
        <item x="744"/>
        <item x="427"/>
        <item x="220"/>
        <item x="713"/>
        <item x="753"/>
        <item x="528"/>
        <item x="968"/>
        <item x="757"/>
        <item x="455"/>
        <item x="309"/>
        <item x="950"/>
        <item x="993"/>
        <item x="512"/>
        <item x="94"/>
        <item x="381"/>
        <item x="352"/>
        <item x="355"/>
        <item x="379"/>
        <item x="774"/>
        <item x="119"/>
        <item x="523"/>
        <item x="985"/>
        <item x="541"/>
        <item x="45"/>
        <item x="580"/>
        <item x="725"/>
        <item x="495"/>
        <item x="907"/>
        <item x="317"/>
        <item x="824"/>
        <item x="327"/>
        <item x="919"/>
        <item x="175"/>
        <item x="706"/>
        <item x="961"/>
        <item x="791"/>
        <item x="205"/>
        <item x="422"/>
        <item x="549"/>
        <item x="631"/>
        <item x="229"/>
        <item x="535"/>
        <item x="749"/>
        <item x="328"/>
        <item x="20"/>
        <item x="287"/>
        <item x="114"/>
        <item x="946"/>
        <item x="189"/>
        <item x="890"/>
        <item x="471"/>
        <item x="26"/>
        <item x="820"/>
        <item x="908"/>
        <item x="692"/>
        <item x="190"/>
        <item x="796"/>
        <item x="366"/>
        <item x="701"/>
        <item x="508"/>
        <item x="150"/>
        <item x="577"/>
        <item x="115"/>
        <item x="673"/>
        <item x="509"/>
        <item x="601"/>
        <item x="696"/>
        <item x="990"/>
        <item x="292"/>
        <item x="831"/>
        <item x="78"/>
        <item x="973"/>
        <item x="151"/>
        <item x="120"/>
        <item x="424"/>
        <item x="259"/>
        <item x="38"/>
        <item x="911"/>
        <item x="491"/>
        <item x="708"/>
        <item x="387"/>
        <item x="230"/>
        <item x="783"/>
        <item x="829"/>
        <item x="797"/>
        <item x="59"/>
        <item x="885"/>
        <item x="126"/>
        <item x="663"/>
        <item x="565"/>
        <item x="697"/>
        <item x="428"/>
        <item x="184"/>
        <item x="191"/>
        <item x="779"/>
        <item x="250"/>
        <item x="224"/>
        <item x="101"/>
        <item x="821"/>
        <item x="476"/>
        <item x="622"/>
        <item x="702"/>
        <item x="735"/>
        <item x="238"/>
        <item x="340"/>
        <item x="770"/>
        <item x="329"/>
        <item x="407"/>
        <item x="596"/>
        <item x="914"/>
        <item x="272"/>
        <item x="334"/>
        <item x="466"/>
        <item x="939"/>
        <item x="506"/>
        <item x="404"/>
        <item x="855"/>
        <item x="974"/>
        <item x="962"/>
        <item x="524"/>
        <item x="717"/>
        <item x="664"/>
        <item x="685"/>
        <item x="258"/>
        <item x="678"/>
        <item x="573"/>
        <item x="356"/>
        <item x="943"/>
        <item x="121"/>
        <item x="720"/>
        <item x="472"/>
        <item x="194"/>
        <item x="492"/>
        <item x="667"/>
        <item x="709"/>
        <item x="780"/>
        <item x="335"/>
        <item x="84"/>
        <item x="140"/>
        <item x="293"/>
        <item x="245"/>
        <item x="648"/>
        <item x="200"/>
        <item x="136"/>
        <item x="21"/>
        <item x="605"/>
        <item x="481"/>
        <item x="60"/>
        <item x="728"/>
        <item x="825"/>
        <item x="658"/>
        <item x="467"/>
        <item x="39"/>
        <item x="642"/>
        <item x="670"/>
        <item x="468"/>
        <item x="265"/>
        <item x="781"/>
        <item x="157"/>
        <item x="975"/>
        <item x="838"/>
        <item x="87"/>
        <item x="458"/>
        <item x="529"/>
        <item x="221"/>
        <item x="431"/>
        <item x="369"/>
        <item x="872"/>
        <item x="754"/>
        <item x="5"/>
        <item x="894"/>
        <item x="647"/>
        <item x="920"/>
        <item x="721"/>
        <item x="566"/>
        <item x="582"/>
        <item x="944"/>
        <item x="915"/>
        <item x="632"/>
        <item x="628"/>
        <item x="530"/>
        <item x="320"/>
        <item x="583"/>
        <item x="158"/>
        <item x="231"/>
        <item x="536"/>
        <item x="322"/>
        <item x="726"/>
        <item x="266"/>
        <item x="179"/>
        <item x="981"/>
        <item x="537"/>
        <item x="241"/>
        <item x="951"/>
        <item x="27"/>
        <item x="192"/>
        <item x="22"/>
        <item x="170"/>
        <item x="916"/>
        <item x="273"/>
        <item x="171"/>
        <item x="347"/>
        <item x="952"/>
        <item x="449"/>
        <item x="947"/>
        <item x="851"/>
        <item x="901"/>
        <item x="689"/>
        <item x="477"/>
        <item x="602"/>
        <item x="834"/>
        <item x="842"/>
        <item x="321"/>
        <item x="116"/>
        <item x="450"/>
        <item x="392"/>
        <item x="263"/>
        <item x="986"/>
        <item x="324"/>
        <item x="399"/>
        <item x="686"/>
        <item x="146"/>
        <item x="637"/>
        <item x="809"/>
        <item x="758"/>
        <item x="665"/>
        <item x="921"/>
        <item x="173"/>
        <item x="176"/>
        <item x="722"/>
        <item x="105"/>
        <item x="930"/>
        <item x="886"/>
        <item x="629"/>
        <item x="196"/>
        <item x="141"/>
        <item x="439"/>
        <item x="440"/>
        <item x="707"/>
        <item x="255"/>
        <item x="372"/>
        <item x="638"/>
        <item x="964"/>
        <item x="598"/>
        <item x="79"/>
        <item x="991"/>
        <item x="811"/>
        <item x="382"/>
        <item x="88"/>
        <item x="633"/>
        <item x="23"/>
        <item x="225"/>
        <item x="174"/>
        <item x="388"/>
        <item x="159"/>
        <item x="113"/>
        <item x="610"/>
        <item x="584"/>
        <item x="674"/>
        <item x="137"/>
        <item x="298"/>
        <item x="9"/>
        <item x="750"/>
        <item x="924"/>
        <item x="736"/>
        <item x="766"/>
        <item x="859"/>
        <item x="256"/>
        <item x="122"/>
        <item x="574"/>
        <item x="994"/>
        <item x="152"/>
        <item x="451"/>
        <item x="330"/>
        <item x="513"/>
        <item x="818"/>
        <item x="452"/>
        <item x="835"/>
        <item x="278"/>
        <item x="922"/>
        <item x="555"/>
        <item x="538"/>
        <item x="209"/>
        <item x="614"/>
        <item x="444"/>
        <item x="432"/>
        <item x="745"/>
        <item x="336"/>
        <item x="997"/>
        <item x="550"/>
        <item x="514"/>
        <item x="759"/>
        <item x="955"/>
        <item x="389"/>
        <item x="251"/>
        <item x="348"/>
        <item x="310"/>
        <item x="185"/>
        <item x="940"/>
        <item x="117"/>
        <item x="714"/>
        <item x="14"/>
        <item x="763"/>
        <item x="540"/>
        <item x="345"/>
        <item x="142"/>
        <item x="643"/>
        <item x="456"/>
        <item x="789"/>
        <item x="615"/>
        <item x="417"/>
        <item x="778"/>
        <item x="441"/>
        <item x="54"/>
        <item x="623"/>
        <item x="143"/>
        <item x="599"/>
        <item x="680"/>
        <item x="226"/>
        <item x="393"/>
        <item x="810"/>
        <item x="433"/>
        <item x="10"/>
        <item x="978"/>
        <item x="895"/>
        <item x="775"/>
        <item x="110"/>
        <item x="525"/>
        <item x="469"/>
        <item x="62"/>
        <item x="519"/>
        <item x="383"/>
        <item x="644"/>
        <item x="380"/>
        <item x="133"/>
        <item x="15"/>
        <item x="589"/>
        <item x="526"/>
        <item x="211"/>
        <item x="6"/>
        <item x="760"/>
        <item x="953"/>
        <item x="982"/>
        <item x="29"/>
        <item x="499"/>
        <item x="164"/>
        <item x="515"/>
        <item x="925"/>
        <item x="832"/>
        <item x="560"/>
        <item x="965"/>
        <item x="212"/>
        <item x="496"/>
        <item x="75"/>
        <item x="767"/>
        <item x="659"/>
        <item x="63"/>
        <item x="55"/>
        <item x="429"/>
        <item x="363"/>
        <item x="16"/>
        <item x="932"/>
        <item x="473"/>
        <item x="246"/>
        <item x="462"/>
        <item x="926"/>
        <item x="412"/>
        <item x="812"/>
        <item x="296"/>
        <item x="738"/>
        <item x="325"/>
        <item x="567"/>
        <item x="597"/>
        <item x="703"/>
        <item x="134"/>
        <item x="652"/>
        <item x="891"/>
        <item x="826"/>
        <item x="860"/>
        <item x="813"/>
        <item x="24"/>
        <item x="626"/>
        <item x="909"/>
        <item x="804"/>
        <item x="856"/>
        <item x="698"/>
        <item x="108"/>
        <item x="933"/>
        <item x="56"/>
        <item x="181"/>
        <item x="359"/>
        <item x="294"/>
        <item x="660"/>
        <item x="400"/>
        <item x="867"/>
        <item x="65"/>
        <item x="679"/>
        <item x="401"/>
        <item x="66"/>
        <item x="516"/>
        <item x="956"/>
        <item x="459"/>
        <item x="857"/>
        <item x="127"/>
        <item x="527"/>
        <item x="784"/>
        <item x="715"/>
        <item x="53"/>
        <item x="896"/>
        <item x="794"/>
        <item x="887"/>
        <item x="671"/>
        <item x="798"/>
        <item x="402"/>
        <item x="843"/>
        <item x="561"/>
        <item x="405"/>
        <item x="934"/>
        <item x="25"/>
        <item x="969"/>
        <item x="998"/>
        <item x="624"/>
        <item x="197"/>
        <item x="279"/>
        <item x="3"/>
        <item x="394"/>
        <item x="11"/>
        <item x="645"/>
        <item x="102"/>
        <item x="863"/>
        <item x="153"/>
        <item x="595"/>
        <item x="395"/>
        <item x="799"/>
        <item x="350"/>
        <item x="693"/>
        <item x="897"/>
        <item x="253"/>
        <item x="682"/>
        <item x="67"/>
        <item x="138"/>
        <item x="617"/>
        <item x="70"/>
        <item x="103"/>
        <item x="274"/>
        <item x="97"/>
        <item x="590"/>
        <item x="299"/>
        <item x="82"/>
        <item x="242"/>
        <item x="186"/>
        <item x="807"/>
        <item x="267"/>
        <item x="987"/>
        <item x="898"/>
        <item x="396"/>
        <item x="297"/>
        <item x="232"/>
        <item x="375"/>
        <item x="222"/>
        <item x="442"/>
        <item x="12"/>
        <item x="800"/>
        <item x="877"/>
        <item x="206"/>
        <item x="353"/>
        <item x="95"/>
        <item x="40"/>
        <item x="562"/>
        <item x="280"/>
        <item x="311"/>
        <item x="873"/>
        <item x="822"/>
        <item x="390"/>
        <item x="653"/>
        <item x="808"/>
        <item x="902"/>
        <item x="312"/>
        <item x="683"/>
        <item x="453"/>
        <item x="98"/>
        <item x="852"/>
        <item x="500"/>
        <item x="177"/>
        <item x="937"/>
        <item x="616"/>
        <item x="201"/>
        <item x="447"/>
        <item x="935"/>
        <item x="903"/>
        <item x="202"/>
        <item x="397"/>
        <item x="531"/>
        <item x="542"/>
        <item x="690"/>
        <item x="654"/>
        <item x="710"/>
        <item x="418"/>
        <item x="739"/>
        <item x="384"/>
        <item x="672"/>
        <item x="17"/>
        <item x="33"/>
        <item x="370"/>
        <item x="776"/>
        <item x="684"/>
        <item x="792"/>
        <item x="227"/>
        <item x="928"/>
        <item x="751"/>
        <item x="349"/>
        <item x="888"/>
        <item x="625"/>
        <item x="878"/>
        <item x="694"/>
        <item x="147"/>
        <item x="999"/>
        <item x="128"/>
        <item x="76"/>
        <item x="474"/>
        <item x="284"/>
        <item x="966"/>
        <item x="111"/>
        <item x="814"/>
        <item x="805"/>
        <item x="482"/>
        <item x="801"/>
        <item x="675"/>
        <item x="68"/>
        <item x="445"/>
        <item x="483"/>
        <item x="233"/>
        <item x="71"/>
        <item x="727"/>
        <item x="337"/>
        <item x="568"/>
        <item x="475"/>
        <item x="83"/>
        <item x="552"/>
        <item x="603"/>
        <item x="326"/>
        <item x="655"/>
        <item x="285"/>
        <item x="755"/>
        <item x="740"/>
        <item x="532"/>
        <item x="243"/>
        <item x="341"/>
        <item x="954"/>
        <item x="556"/>
        <item x="553"/>
        <item x="618"/>
        <item x="123"/>
        <item x="853"/>
        <item x="606"/>
        <item x="551"/>
        <item x="517"/>
        <item x="385"/>
        <item x="87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0">
        <item x="8"/>
        <item x="5"/>
        <item x="0"/>
        <item x="6"/>
        <item x="1"/>
        <item x="9"/>
        <item x="2"/>
        <item x="7"/>
        <item x="4"/>
        <item x="3"/>
      </items>
    </pivotField>
    <pivotField showAll="0" defaultSubtotal="0"/>
    <pivotField showAll="0" defaultSubtotal="0"/>
    <pivotField axis="axisCol" showAll="0" defaultSubtotal="0">
      <items count="10">
        <item x="3"/>
        <item x="9"/>
        <item x="5"/>
        <item x="7"/>
        <item x="8"/>
        <item x="0"/>
        <item x="6"/>
        <item x="2"/>
        <item x="1"/>
        <item x="4"/>
      </items>
    </pivotField>
    <pivotField axis="axisCol" showAll="0" defaultSubtotal="0">
      <items count="5">
        <item x="4"/>
        <item x="3"/>
        <item x="1"/>
        <item x="2"/>
        <item x="0"/>
      </items>
    </pivotField>
    <pivotField showAll="0" defaultSubtotal="0"/>
    <pivotField dataField="1" showAll="0" defaultSubtotal="0"/>
    <pivotField numFmtId="2" showAll="0" defaultSubtotal="0"/>
    <pivotField showAll="0" defaultSubtotal="0"/>
    <pivotField showAll="0" defaultSubtotal="0"/>
    <pivotField showAll="0" defaultSubtotal="0"/>
    <pivotField subtotalTop="0" dragToRow="0" dragToCol="0" dragToPage="0" showAll="0" defaultSubtotal="0"/>
    <pivotField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defaultSubtotal="0">
      <items count="6">
        <item x="0"/>
        <item x="1"/>
        <item x="2"/>
        <item x="3"/>
        <item x="4"/>
        <item x="5"/>
      </items>
    </pivotField>
    <pivotField subtotalTop="0"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13"/>
    <field x="12"/>
  </colFields>
  <colItems count="11">
    <i>
      <x/>
      <x v="1"/>
    </i>
    <i r="1">
      <x v="4"/>
    </i>
    <i>
      <x v="1"/>
      <x v="9"/>
    </i>
    <i>
      <x v="2"/>
      <x/>
    </i>
    <i r="1">
      <x v="6"/>
    </i>
    <i r="1">
      <x v="8"/>
    </i>
    <i>
      <x v="3"/>
      <x v="2"/>
    </i>
    <i r="1">
      <x v="7"/>
    </i>
    <i>
      <x v="4"/>
      <x v="3"/>
    </i>
    <i r="1">
      <x v="5"/>
    </i>
    <i t="grand">
      <x/>
    </i>
  </colItems>
  <dataFields count="1">
    <dataField name="Suma de cantidad" fld="15" baseField="0" baseItem="0"/>
  </dataFields>
  <formats count="27">
    <format dxfId="47">
      <pivotArea type="origin" dataOnly="0" labelOnly="1" outline="0" fieldPosition="0"/>
    </format>
    <format dxfId="46">
      <pivotArea field="9" type="button" dataOnly="0" labelOnly="1" outline="0" axis="axisRow" fieldPosition="0"/>
    </format>
    <format dxfId="45">
      <pivotArea type="topRight" dataOnly="0" labelOnly="1" outline="0" fieldPosition="0"/>
    </format>
    <format dxfId="44">
      <pivotArea field="13" type="button" dataOnly="0" labelOnly="1" outline="0" axis="axisCol" fieldPosition="0"/>
    </format>
    <format dxfId="43">
      <pivotArea dataOnly="0" labelOnly="1" fieldPosition="0">
        <references count="1">
          <reference field="9" count="0"/>
        </references>
      </pivotArea>
    </format>
    <format dxfId="42">
      <pivotArea dataOnly="0" labelOnly="1" grandCol="1" outline="0" fieldPosition="0"/>
    </format>
    <format dxfId="41">
      <pivotArea dataOnly="0" labelOnly="1" fieldPosition="0">
        <references count="2">
          <reference field="12" count="2">
            <x v="1"/>
            <x v="4"/>
          </reference>
          <reference field="13" count="1" selected="0">
            <x v="0"/>
          </reference>
        </references>
      </pivotArea>
    </format>
    <format dxfId="40">
      <pivotArea dataOnly="0" labelOnly="1" fieldPosition="0">
        <references count="2">
          <reference field="12" count="1">
            <x v="9"/>
          </reference>
          <reference field="13" count="1" selected="0">
            <x v="1"/>
          </reference>
        </references>
      </pivotArea>
    </format>
    <format dxfId="39">
      <pivotArea dataOnly="0" labelOnly="1" fieldPosition="0">
        <references count="2">
          <reference field="12" count="3">
            <x v="0"/>
            <x v="6"/>
            <x v="8"/>
          </reference>
          <reference field="13" count="1" selected="0">
            <x v="2"/>
          </reference>
        </references>
      </pivotArea>
    </format>
    <format dxfId="38">
      <pivotArea dataOnly="0" labelOnly="1" fieldPosition="0">
        <references count="2">
          <reference field="12" count="2">
            <x v="2"/>
            <x v="7"/>
          </reference>
          <reference field="13" count="1" selected="0">
            <x v="3"/>
          </reference>
        </references>
      </pivotArea>
    </format>
    <format dxfId="37">
      <pivotArea dataOnly="0" labelOnly="1" fieldPosition="0">
        <references count="2">
          <reference field="12" count="2">
            <x v="3"/>
            <x v="5"/>
          </reference>
          <reference field="13" count="1" selected="0">
            <x v="4"/>
          </reference>
        </references>
      </pivotArea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type="origin" dataOnly="0" labelOnly="1" outline="0" fieldPosition="0"/>
    </format>
    <format dxfId="33">
      <pivotArea field="13" type="button" dataOnly="0" labelOnly="1" outline="0" axis="axisCol" fieldPosition="0"/>
    </format>
    <format dxfId="32">
      <pivotArea field="12" type="button" dataOnly="0" labelOnly="1" outline="0" axis="axisCol" fieldPosition="1"/>
    </format>
    <format dxfId="31">
      <pivotArea type="topRight" dataOnly="0" labelOnly="1" outline="0" fieldPosition="0"/>
    </format>
    <format dxfId="30">
      <pivotArea field="9" type="button" dataOnly="0" labelOnly="1" outline="0" axis="axisRow" fieldPosition="0"/>
    </format>
    <format dxfId="29">
      <pivotArea dataOnly="0" labelOnly="1" fieldPosition="0">
        <references count="1">
          <reference field="9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13" count="0"/>
        </references>
      </pivotArea>
    </format>
    <format dxfId="26">
      <pivotArea dataOnly="0" labelOnly="1" grandCol="1" outline="0" fieldPosition="0"/>
    </format>
    <format dxfId="25">
      <pivotArea dataOnly="0" labelOnly="1" fieldPosition="0">
        <references count="2">
          <reference field="12" count="2">
            <x v="1"/>
            <x v="4"/>
          </reference>
          <reference field="13" count="1" selected="0">
            <x v="0"/>
          </reference>
        </references>
      </pivotArea>
    </format>
    <format dxfId="24">
      <pivotArea dataOnly="0" labelOnly="1" fieldPosition="0">
        <references count="2">
          <reference field="12" count="1">
            <x v="9"/>
          </reference>
          <reference field="13" count="1" selected="0">
            <x v="1"/>
          </reference>
        </references>
      </pivotArea>
    </format>
    <format dxfId="23">
      <pivotArea dataOnly="0" labelOnly="1" fieldPosition="0">
        <references count="2">
          <reference field="12" count="3">
            <x v="0"/>
            <x v="6"/>
            <x v="8"/>
          </reference>
          <reference field="13" count="1" selected="0">
            <x v="2"/>
          </reference>
        </references>
      </pivotArea>
    </format>
    <format dxfId="22">
      <pivotArea dataOnly="0" labelOnly="1" fieldPosition="0">
        <references count="2">
          <reference field="12" count="2">
            <x v="2"/>
            <x v="7"/>
          </reference>
          <reference field="13" count="1" selected="0">
            <x v="3"/>
          </reference>
        </references>
      </pivotArea>
    </format>
    <format dxfId="21">
      <pivotArea dataOnly="0" labelOnly="1" fieldPosition="0">
        <references count="2">
          <reference field="12" count="2">
            <x v="3"/>
            <x v="5"/>
          </reference>
          <reference field="13" count="1" selected="0">
            <x v="4"/>
          </reference>
        </references>
      </pivotArea>
    </format>
  </formats>
  <pivotTableStyleInfo name="PivotStyleLight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055C8CD-D590-4610-AFF1-9AFE4E85A1B1}" autoFormatId="16" applyNumberFormats="0" applyBorderFormats="0" applyFontFormats="0" applyPatternFormats="0" applyAlignmentFormats="0" applyWidthHeightFormats="0">
  <queryTableRefresh nextId="21" unboundColumnsRight="3">
    <queryTableFields count="20">
      <queryTableField id="1" name="id_venta" tableColumnId="1"/>
      <queryTableField id="2" name="fecha_venta" tableColumnId="2"/>
      <queryTableField id="3" name="id_empleado" tableColumnId="3"/>
      <queryTableField id="4" name="antiguedad_vendedor" tableColumnId="4"/>
      <queryTableField id="5" name="id_cliente" tableColumnId="5"/>
      <queryTableField id="6" name="nombre_cliente" tableColumnId="6"/>
      <queryTableField id="7" name="email_cliente" tableColumnId="7"/>
      <queryTableField id="8" name="genero_cliente" tableColumnId="8"/>
      <queryTableField id="9" name="edad_cliente" tableColumnId="9"/>
      <queryTableField id="10" name="ciudad_cliente" tableColumnId="10"/>
      <queryTableField id="11" name="region_cliente" tableColumnId="11"/>
      <queryTableField id="12" name="canal_venta" tableColumnId="12"/>
      <queryTableField id="13" name="producto" tableColumnId="13"/>
      <queryTableField id="14" name="categoria_producto" tableColumnId="14"/>
      <queryTableField id="15" name="precio_unitario" tableColumnId="15"/>
      <queryTableField id="16" name="cantidad" tableColumnId="16"/>
      <queryTableField id="17" name="descuento_pct" tableColumnId="17"/>
      <queryTableField id="18" dataBound="0" tableColumnId="18"/>
      <queryTableField id="19" dataBound="0" tableColumnId="19"/>
      <queryTableField id="20" dataBound="0" tableColumnId="2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_venta" xr10:uid="{B59F746C-081B-4DCB-8E5B-347A08D69270}" sourceName="Años (fecha_venta)">
  <pivotTables>
    <pivotTable tabId="7" name="TablaDinámica3"/>
  </pivotTables>
  <data>
    <tabular pivotCacheId="585241757">
      <items count="5">
        <i x="1"/>
        <i x="2"/>
        <i x="3" s="1"/>
        <i x="0" nd="1"/>
        <i x="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s (fecha_venta)" xr10:uid="{B500FDEA-2AA9-425B-A3B5-19A17930CCEB}" cache="SegmentaciónDeDatos_Años__fecha_venta" caption="Años (fecha_venta)" rowHeight="24765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9952FF-5FFC-49EF-B1F8-3869601678AF}" name="categ" displayName="categ" ref="A2:B12" totalsRowShown="0">
  <autoFilter ref="A2:B12" xr:uid="{799952FF-5FFC-49EF-B1F8-3869601678AF}"/>
  <tableColumns count="2">
    <tableColumn id="1" xr3:uid="{68F0D765-FEDA-48C5-A5F0-E454E22F75E9}" name="Producto" dataDxfId="166"/>
    <tableColumn id="2" xr3:uid="{EA7B8BF9-7810-42CD-9234-86D1C3CF5B51}" name="Catego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92D5CF-5234-48A8-8B10-7A76E58E5DB3}" name="ciudades" displayName="ciudades" ref="D2:E13" totalsRowShown="0">
  <autoFilter ref="D2:E13" xr:uid="{0392D5CF-5234-48A8-8B10-7A76E58E5DB3}"/>
  <tableColumns count="2">
    <tableColumn id="1" xr3:uid="{A592AAE4-806D-43E0-A753-9425E6C076F6}" name="Ciudad"/>
    <tableColumn id="2" xr3:uid="{B27F1784-57D8-4E52-87AC-DDC90D596AF6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44337-1D47-4467-B950-72980ABA87B8}" name="ventas" displayName="ventas" ref="A1:T1021" tableType="queryTable" totalsRowShown="0">
  <autoFilter ref="A1:T1021" xr:uid="{4B244337-1D47-4467-B950-72980ABA87B8}"/>
  <sortState xmlns:xlrd2="http://schemas.microsoft.com/office/spreadsheetml/2017/richdata2" ref="A2:T1021">
    <sortCondition ref="F1:F1021"/>
  </sortState>
  <tableColumns count="20">
    <tableColumn id="1" xr3:uid="{DD90C777-BFDD-469F-990F-5647C2F3D3A2}" uniqueName="1" name="id_venta" queryTableFieldId="1"/>
    <tableColumn id="2" xr3:uid="{E97752E7-87E1-401D-B72E-3BC43219B209}" uniqueName="2" name="fecha_venta" queryTableFieldId="2" dataDxfId="165"/>
    <tableColumn id="3" xr3:uid="{5A74DBEA-CDA3-4CA6-B85F-C30906E7E6C0}" uniqueName="3" name="id_empleado" queryTableFieldId="3"/>
    <tableColumn id="4" xr3:uid="{FBD8AF59-549F-4BD1-A83E-25BA43A15C95}" uniqueName="4" name="antiguedad_vendedor" queryTableFieldId="4"/>
    <tableColumn id="5" xr3:uid="{5D3CDEE7-A156-44FD-AC08-94E215955B8E}" uniqueName="5" name="id_cliente" queryTableFieldId="5"/>
    <tableColumn id="6" xr3:uid="{95FA0CD8-A2B5-46AB-A25F-F05D112DDDF7}" uniqueName="6" name="nombre_cliente" queryTableFieldId="6" dataDxfId="164"/>
    <tableColumn id="7" xr3:uid="{9D4C60F5-931E-4E7B-8BBD-5621D2695E0F}" uniqueName="7" name="email_cliente" queryTableFieldId="7" dataDxfId="163"/>
    <tableColumn id="8" xr3:uid="{F87C3F0D-BB6B-47B5-9677-1F9C60896A9A}" uniqueName="8" name="genero_cliente" queryTableFieldId="8" dataDxfId="162"/>
    <tableColumn id="9" xr3:uid="{C6DD9214-6FF0-401F-92C7-B73F25F88432}" uniqueName="9" name="edad_cliente" queryTableFieldId="9"/>
    <tableColumn id="10" xr3:uid="{04FAE94F-4A32-4EF1-A465-DD4B17AA84BE}" uniqueName="10" name="ciudad_cliente" queryTableFieldId="10" dataDxfId="161"/>
    <tableColumn id="11" xr3:uid="{508FD246-8986-40E8-9955-676C676C67F8}" uniqueName="11" name="region_cliente" queryTableFieldId="11" dataDxfId="160"/>
    <tableColumn id="12" xr3:uid="{06DEE2FC-1B5A-425F-86F7-46EB9859DA34}" uniqueName="12" name="canal_venta" queryTableFieldId="12" dataDxfId="159"/>
    <tableColumn id="13" xr3:uid="{3DF0318E-9503-413C-B5B1-5A67398DBB6E}" uniqueName="13" name="producto" queryTableFieldId="13" dataDxfId="158"/>
    <tableColumn id="14" xr3:uid="{30C3EA36-8F47-49F4-82C8-EEE2B35FBB13}" uniqueName="14" name="categoria_producto" queryTableFieldId="14" dataDxfId="157"/>
    <tableColumn id="15" xr3:uid="{4E127733-4348-4BDA-A85E-E732851A01A5}" uniqueName="15" name="precio_unitario" queryTableFieldId="15"/>
    <tableColumn id="16" xr3:uid="{2A697A25-46F8-4D0F-A3BD-7352C96F3679}" uniqueName="16" name="cantidad" queryTableFieldId="16"/>
    <tableColumn id="17" xr3:uid="{FC7E8363-40DE-492B-B051-413C870235E6}" uniqueName="17" name="descuento_pct" queryTableFieldId="17" dataCellStyle="Porcentaje"/>
    <tableColumn id="18" xr3:uid="{47C5A9B5-E5DF-4B7E-95BA-FFB7BAE91B92}" uniqueName="18" name="Total_Productos" queryTableFieldId="18" dataDxfId="156">
      <calculatedColumnFormula>(ventas[[#This Row],[precio_unitario]]*ventas[[#This Row],[cantidad]])</calculatedColumnFormula>
    </tableColumn>
    <tableColumn id="19" xr3:uid="{414B114C-459D-4F9C-BFD3-59B564889B95}" uniqueName="19" name="Valor_descuento" queryTableFieldId="19" dataDxfId="155">
      <calculatedColumnFormula>ventas[[#This Row],[Total_Productos]]*ventas[[#This Row],[descuento_pct]]</calculatedColumnFormula>
    </tableColumn>
    <tableColumn id="20" xr3:uid="{1F9739A7-E56E-4246-811D-4513C640EF13}" uniqueName="20" name="Total_ventas" queryTableFieldId="20" dataDxfId="154">
      <calculatedColumnFormula>ventas[[#This Row],[Total_Productos]]-ventas[[#This Row],[Valor_descuento]]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7460-7384-4EE7-A269-A73902118B58}">
  <dimension ref="A2:E19"/>
  <sheetViews>
    <sheetView workbookViewId="0">
      <selection activeCell="D2" sqref="D2:E13"/>
    </sheetView>
  </sheetViews>
  <sheetFormatPr baseColWidth="10" defaultRowHeight="14.4" x14ac:dyDescent="0.3"/>
  <cols>
    <col min="1" max="1" width="15.77734375" customWidth="1"/>
    <col min="2" max="2" width="15.88671875" bestFit="1" customWidth="1"/>
    <col min="3" max="3" width="13.33203125" bestFit="1" customWidth="1"/>
    <col min="4" max="4" width="15.5546875" customWidth="1"/>
    <col min="5" max="5" width="20.21875" bestFit="1" customWidth="1"/>
    <col min="6" max="6" width="14" customWidth="1"/>
    <col min="7" max="7" width="23" bestFit="1" customWidth="1"/>
    <col min="8" max="8" width="20.5546875" customWidth="1"/>
    <col min="9" max="9" width="11.33203125" bestFit="1" customWidth="1"/>
    <col min="10" max="10" width="16.109375" bestFit="1" customWidth="1"/>
    <col min="11" max="11" width="31" bestFit="1" customWidth="1"/>
    <col min="12" max="12" width="17.6640625" bestFit="1" customWidth="1"/>
    <col min="13" max="13" width="16.77734375" bestFit="1" customWidth="1"/>
    <col min="14" max="14" width="15" bestFit="1" customWidth="1"/>
    <col min="15" max="15" width="23.88671875" bestFit="1" customWidth="1"/>
    <col min="16" max="16" width="10.6640625" bestFit="1" customWidth="1"/>
    <col min="17" max="17" width="21.6640625" bestFit="1" customWidth="1"/>
    <col min="18" max="18" width="23.109375" bestFit="1" customWidth="1"/>
    <col min="19" max="19" width="16.77734375" bestFit="1" customWidth="1"/>
    <col min="20" max="20" width="13.33203125" bestFit="1" customWidth="1"/>
    <col min="21" max="21" width="24.6640625" bestFit="1" customWidth="1"/>
    <col min="22" max="22" width="25.44140625" bestFit="1" customWidth="1"/>
    <col min="23" max="23" width="12.21875" bestFit="1" customWidth="1"/>
    <col min="24" max="24" width="28.44140625" bestFit="1" customWidth="1"/>
    <col min="25" max="25" width="25.44140625" bestFit="1" customWidth="1"/>
    <col min="26" max="26" width="19.77734375" bestFit="1" customWidth="1"/>
    <col min="27" max="27" width="11.88671875" bestFit="1" customWidth="1"/>
    <col min="28" max="28" width="13" bestFit="1" customWidth="1"/>
    <col min="29" max="29" width="25.33203125" bestFit="1" customWidth="1"/>
    <col min="30" max="30" width="23.5546875" bestFit="1" customWidth="1"/>
    <col min="31" max="31" width="20.44140625" bestFit="1" customWidth="1"/>
    <col min="32" max="32" width="21.5546875" bestFit="1" customWidth="1"/>
    <col min="33" max="33" width="15.109375" bestFit="1" customWidth="1"/>
    <col min="34" max="34" width="23.21875" bestFit="1" customWidth="1"/>
    <col min="35" max="35" width="28.88671875" bestFit="1" customWidth="1"/>
    <col min="36" max="36" width="17.44140625" bestFit="1" customWidth="1"/>
    <col min="37" max="37" width="27.33203125" bestFit="1" customWidth="1"/>
    <col min="38" max="38" width="25.6640625" bestFit="1" customWidth="1"/>
    <col min="39" max="39" width="27.21875" bestFit="1" customWidth="1"/>
    <col min="40" max="40" width="25.77734375" bestFit="1" customWidth="1"/>
    <col min="41" max="41" width="24.33203125" bestFit="1" customWidth="1"/>
    <col min="42" max="42" width="17.44140625" bestFit="1" customWidth="1"/>
    <col min="43" max="43" width="27.109375" bestFit="1" customWidth="1"/>
    <col min="44" max="44" width="19.21875" bestFit="1" customWidth="1"/>
    <col min="45" max="45" width="11.33203125" bestFit="1" customWidth="1"/>
    <col min="46" max="46" width="18.109375" bestFit="1" customWidth="1"/>
    <col min="47" max="47" width="24.21875" bestFit="1" customWidth="1"/>
    <col min="48" max="48" width="22.44140625" bestFit="1" customWidth="1"/>
    <col min="49" max="49" width="30.109375" bestFit="1" customWidth="1"/>
    <col min="50" max="50" width="26.77734375" bestFit="1" customWidth="1"/>
    <col min="51" max="51" width="20" bestFit="1" customWidth="1"/>
    <col min="52" max="52" width="29.21875" bestFit="1" customWidth="1"/>
    <col min="53" max="53" width="12.6640625" bestFit="1" customWidth="1"/>
    <col min="54" max="54" width="23" bestFit="1" customWidth="1"/>
    <col min="55" max="55" width="21.33203125" bestFit="1" customWidth="1"/>
    <col min="56" max="56" width="24.33203125" bestFit="1" customWidth="1"/>
    <col min="57" max="57" width="28.33203125" bestFit="1" customWidth="1"/>
    <col min="58" max="58" width="21.6640625" bestFit="1" customWidth="1"/>
    <col min="59" max="59" width="24.88671875" bestFit="1" customWidth="1"/>
    <col min="60" max="60" width="27.77734375" bestFit="1" customWidth="1"/>
    <col min="61" max="61" width="26.109375" bestFit="1" customWidth="1"/>
    <col min="62" max="62" width="15.44140625" bestFit="1" customWidth="1"/>
    <col min="63" max="63" width="22.6640625" bestFit="1" customWidth="1"/>
    <col min="64" max="64" width="26" bestFit="1" customWidth="1"/>
    <col min="65" max="65" width="21.77734375" bestFit="1" customWidth="1"/>
    <col min="66" max="66" width="18.5546875" bestFit="1" customWidth="1"/>
    <col min="67" max="67" width="25.77734375" bestFit="1" customWidth="1"/>
    <col min="68" max="68" width="31.109375" bestFit="1" customWidth="1"/>
    <col min="69" max="69" width="25.21875" bestFit="1" customWidth="1"/>
    <col min="70" max="70" width="24.77734375" bestFit="1" customWidth="1"/>
    <col min="71" max="71" width="13.21875" bestFit="1" customWidth="1"/>
    <col min="72" max="72" width="30.77734375" bestFit="1" customWidth="1"/>
    <col min="73" max="73" width="19.33203125" bestFit="1" customWidth="1"/>
    <col min="74" max="74" width="20.77734375" bestFit="1" customWidth="1"/>
    <col min="75" max="75" width="25.44140625" bestFit="1" customWidth="1"/>
    <col min="76" max="76" width="29.33203125" bestFit="1" customWidth="1"/>
    <col min="77" max="77" width="24.5546875" bestFit="1" customWidth="1"/>
    <col min="78" max="78" width="18.77734375" bestFit="1" customWidth="1"/>
    <col min="79" max="79" width="24.77734375" bestFit="1" customWidth="1"/>
    <col min="80" max="80" width="10.109375" bestFit="1" customWidth="1"/>
    <col min="81" max="81" width="29.6640625" bestFit="1" customWidth="1"/>
    <col min="82" max="82" width="24.6640625" bestFit="1" customWidth="1"/>
    <col min="83" max="83" width="20.44140625" bestFit="1" customWidth="1"/>
    <col min="84" max="84" width="34.33203125" bestFit="1" customWidth="1"/>
    <col min="85" max="85" width="26.77734375" bestFit="1" customWidth="1"/>
    <col min="86" max="86" width="17" bestFit="1" customWidth="1"/>
    <col min="87" max="87" width="26.6640625" bestFit="1" customWidth="1"/>
    <col min="88" max="88" width="28.109375" bestFit="1" customWidth="1"/>
    <col min="89" max="89" width="21.88671875" bestFit="1" customWidth="1"/>
    <col min="90" max="90" width="23" bestFit="1" customWidth="1"/>
    <col min="91" max="91" width="21.5546875" bestFit="1" customWidth="1"/>
    <col min="92" max="92" width="26.44140625" bestFit="1" customWidth="1"/>
    <col min="93" max="93" width="26.33203125" bestFit="1" customWidth="1"/>
    <col min="94" max="94" width="25.77734375" bestFit="1" customWidth="1"/>
    <col min="95" max="95" width="24" bestFit="1" customWidth="1"/>
    <col min="96" max="96" width="23.88671875" bestFit="1" customWidth="1"/>
    <col min="97" max="97" width="35.6640625" bestFit="1" customWidth="1"/>
    <col min="98" max="98" width="14.44140625" bestFit="1" customWidth="1"/>
    <col min="99" max="99" width="19.33203125" bestFit="1" customWidth="1"/>
    <col min="100" max="100" width="25.6640625" bestFit="1" customWidth="1"/>
    <col min="101" max="101" width="24.44140625" bestFit="1" customWidth="1"/>
    <col min="102" max="102" width="32.88671875" bestFit="1" customWidth="1"/>
    <col min="103" max="103" width="24.109375" bestFit="1" customWidth="1"/>
    <col min="104" max="104" width="27.77734375" bestFit="1" customWidth="1"/>
    <col min="105" max="105" width="25.44140625" bestFit="1" customWidth="1"/>
    <col min="106" max="106" width="21.77734375" bestFit="1" customWidth="1"/>
    <col min="107" max="107" width="11.33203125" bestFit="1" customWidth="1"/>
    <col min="108" max="108" width="11.88671875" bestFit="1" customWidth="1"/>
    <col min="109" max="109" width="22.5546875" bestFit="1" customWidth="1"/>
    <col min="110" max="110" width="20.5546875" bestFit="1" customWidth="1"/>
    <col min="111" max="111" width="16.109375" bestFit="1" customWidth="1"/>
    <col min="112" max="112" width="28.6640625" bestFit="1" customWidth="1"/>
    <col min="113" max="113" width="23.44140625" bestFit="1" customWidth="1"/>
    <col min="114" max="114" width="22" bestFit="1" customWidth="1"/>
    <col min="115" max="115" width="28.21875" bestFit="1" customWidth="1"/>
    <col min="116" max="116" width="19.5546875" bestFit="1" customWidth="1"/>
    <col min="117" max="117" width="13.88671875" bestFit="1" customWidth="1"/>
    <col min="118" max="118" width="27" bestFit="1" customWidth="1"/>
    <col min="119" max="119" width="22.5546875" bestFit="1" customWidth="1"/>
    <col min="120" max="120" width="23.77734375" bestFit="1" customWidth="1"/>
    <col min="121" max="121" width="20.109375" bestFit="1" customWidth="1"/>
    <col min="122" max="122" width="26.6640625" bestFit="1" customWidth="1"/>
    <col min="123" max="123" width="17.77734375" bestFit="1" customWidth="1"/>
    <col min="124" max="124" width="13.5546875" bestFit="1" customWidth="1"/>
    <col min="125" max="125" width="30.77734375" bestFit="1" customWidth="1"/>
    <col min="126" max="126" width="15.5546875" bestFit="1" customWidth="1"/>
    <col min="127" max="127" width="24.44140625" bestFit="1" customWidth="1"/>
    <col min="128" max="128" width="12.77734375" bestFit="1" customWidth="1"/>
    <col min="129" max="129" width="24" bestFit="1" customWidth="1"/>
    <col min="130" max="130" width="23.5546875" bestFit="1" customWidth="1"/>
    <col min="131" max="131" width="27.44140625" bestFit="1" customWidth="1"/>
    <col min="132" max="132" width="20.109375" bestFit="1" customWidth="1"/>
    <col min="133" max="133" width="23.5546875" bestFit="1" customWidth="1"/>
    <col min="134" max="134" width="28.33203125" bestFit="1" customWidth="1"/>
    <col min="135" max="135" width="24.109375" bestFit="1" customWidth="1"/>
    <col min="136" max="136" width="25.21875" bestFit="1" customWidth="1"/>
    <col min="137" max="137" width="23.77734375" bestFit="1" customWidth="1"/>
    <col min="138" max="138" width="24.6640625" bestFit="1" customWidth="1"/>
    <col min="139" max="139" width="18.88671875" bestFit="1" customWidth="1"/>
    <col min="140" max="140" width="25.88671875" bestFit="1" customWidth="1"/>
    <col min="141" max="141" width="24.33203125" bestFit="1" customWidth="1"/>
    <col min="142" max="142" width="11" bestFit="1" customWidth="1"/>
    <col min="143" max="143" width="19.33203125" bestFit="1" customWidth="1"/>
    <col min="144" max="144" width="21" bestFit="1" customWidth="1"/>
    <col min="145" max="145" width="26.33203125" bestFit="1" customWidth="1"/>
    <col min="146" max="146" width="19" bestFit="1" customWidth="1"/>
    <col min="147" max="147" width="10.21875" bestFit="1" customWidth="1"/>
    <col min="148" max="148" width="20.77734375" bestFit="1" customWidth="1"/>
    <col min="149" max="149" width="19.44140625" bestFit="1" customWidth="1"/>
    <col min="150" max="150" width="18.21875" bestFit="1" customWidth="1"/>
    <col min="151" max="151" width="27.21875" bestFit="1" customWidth="1"/>
    <col min="152" max="152" width="26.33203125" bestFit="1" customWidth="1"/>
    <col min="153" max="153" width="20.21875" bestFit="1" customWidth="1"/>
    <col min="154" max="154" width="27.109375" bestFit="1" customWidth="1"/>
    <col min="155" max="155" width="17.5546875" bestFit="1" customWidth="1"/>
    <col min="156" max="156" width="14.21875" bestFit="1" customWidth="1"/>
    <col min="157" max="157" width="25.44140625" bestFit="1" customWidth="1"/>
    <col min="158" max="158" width="10" bestFit="1" customWidth="1"/>
    <col min="159" max="159" width="25.33203125" bestFit="1" customWidth="1"/>
    <col min="160" max="160" width="22.6640625" bestFit="1" customWidth="1"/>
    <col min="161" max="161" width="24.6640625" bestFit="1" customWidth="1"/>
    <col min="162" max="162" width="27.77734375" bestFit="1" customWidth="1"/>
    <col min="164" max="164" width="15" bestFit="1" customWidth="1"/>
    <col min="165" max="165" width="20.77734375" bestFit="1" customWidth="1"/>
    <col min="166" max="166" width="25.77734375" bestFit="1" customWidth="1"/>
    <col min="167" max="167" width="24.33203125" bestFit="1" customWidth="1"/>
    <col min="168" max="168" width="24.21875" bestFit="1" customWidth="1"/>
    <col min="169" max="169" width="22.33203125" bestFit="1" customWidth="1"/>
    <col min="170" max="170" width="22.44140625" bestFit="1" customWidth="1"/>
    <col min="171" max="171" width="19.6640625" bestFit="1" customWidth="1"/>
    <col min="172" max="172" width="9.6640625" bestFit="1" customWidth="1"/>
    <col min="173" max="173" width="28.44140625" bestFit="1" customWidth="1"/>
    <col min="174" max="174" width="20" bestFit="1" customWidth="1"/>
    <col min="175" max="175" width="20.77734375" bestFit="1" customWidth="1"/>
    <col min="176" max="176" width="15.5546875" bestFit="1" customWidth="1"/>
    <col min="177" max="177" width="20.6640625" bestFit="1" customWidth="1"/>
    <col min="178" max="178" width="24.77734375" bestFit="1" customWidth="1"/>
    <col min="179" max="179" width="30.6640625" bestFit="1" customWidth="1"/>
    <col min="180" max="180" width="25.6640625" bestFit="1" customWidth="1"/>
    <col min="181" max="181" width="23.5546875" bestFit="1" customWidth="1"/>
    <col min="182" max="182" width="18.21875" bestFit="1" customWidth="1"/>
    <col min="183" max="183" width="18.109375" bestFit="1" customWidth="1"/>
    <col min="184" max="184" width="28.6640625" bestFit="1" customWidth="1"/>
    <col min="185" max="185" width="27.44140625" bestFit="1" customWidth="1"/>
    <col min="186" max="186" width="19" bestFit="1" customWidth="1"/>
    <col min="187" max="187" width="27.44140625" bestFit="1" customWidth="1"/>
    <col min="188" max="188" width="27.5546875" bestFit="1" customWidth="1"/>
    <col min="189" max="189" width="26.109375" bestFit="1" customWidth="1"/>
    <col min="190" max="190" width="13.109375" bestFit="1" customWidth="1"/>
    <col min="191" max="191" width="23.44140625" bestFit="1" customWidth="1"/>
    <col min="192" max="192" width="24.5546875" bestFit="1" customWidth="1"/>
    <col min="193" max="193" width="16.6640625" bestFit="1" customWidth="1"/>
    <col min="194" max="194" width="26.109375" bestFit="1" customWidth="1"/>
    <col min="195" max="195" width="18.88671875" bestFit="1" customWidth="1"/>
    <col min="196" max="196" width="29" bestFit="1" customWidth="1"/>
    <col min="197" max="197" width="27.44140625" bestFit="1" customWidth="1"/>
    <col min="198" max="198" width="12.88671875" bestFit="1" customWidth="1"/>
    <col min="199" max="199" width="24.33203125" bestFit="1" customWidth="1"/>
    <col min="200" max="200" width="24.44140625" bestFit="1" customWidth="1"/>
    <col min="201" max="201" width="22.109375" bestFit="1" customWidth="1"/>
    <col min="202" max="202" width="24.44140625" bestFit="1" customWidth="1"/>
    <col min="203" max="203" width="28.5546875" bestFit="1" customWidth="1"/>
    <col min="204" max="204" width="14.77734375" bestFit="1" customWidth="1"/>
    <col min="205" max="205" width="26.77734375" bestFit="1" customWidth="1"/>
    <col min="206" max="206" width="23.44140625" bestFit="1" customWidth="1"/>
    <col min="207" max="207" width="27.77734375" bestFit="1" customWidth="1"/>
    <col min="208" max="208" width="17.5546875" bestFit="1" customWidth="1"/>
    <col min="209" max="209" width="19.109375" bestFit="1" customWidth="1"/>
    <col min="210" max="210" width="22.21875" bestFit="1" customWidth="1"/>
    <col min="211" max="211" width="26.109375" bestFit="1" customWidth="1"/>
    <col min="212" max="212" width="24.6640625" bestFit="1" customWidth="1"/>
    <col min="213" max="213" width="18.5546875" bestFit="1" customWidth="1"/>
    <col min="214" max="214" width="30.33203125" bestFit="1" customWidth="1"/>
    <col min="215" max="215" width="18.6640625" bestFit="1" customWidth="1"/>
    <col min="216" max="216" width="12.77734375" bestFit="1" customWidth="1"/>
    <col min="217" max="217" width="25.88671875" bestFit="1" customWidth="1"/>
    <col min="218" max="218" width="16.21875" bestFit="1" customWidth="1"/>
    <col min="219" max="219" width="29.33203125" bestFit="1" customWidth="1"/>
    <col min="220" max="220" width="24.5546875" bestFit="1" customWidth="1"/>
    <col min="221" max="221" width="16.77734375" bestFit="1" customWidth="1"/>
    <col min="222" max="222" width="22.44140625" bestFit="1" customWidth="1"/>
    <col min="223" max="223" width="12.33203125" bestFit="1" customWidth="1"/>
    <col min="224" max="224" width="26" bestFit="1" customWidth="1"/>
    <col min="225" max="225" width="23.88671875" bestFit="1" customWidth="1"/>
    <col min="226" max="226" width="24.88671875" bestFit="1" customWidth="1"/>
    <col min="227" max="227" width="25.33203125" bestFit="1" customWidth="1"/>
    <col min="228" max="228" width="18.6640625" bestFit="1" customWidth="1"/>
    <col min="229" max="229" width="20" bestFit="1" customWidth="1"/>
    <col min="230" max="230" width="21.44140625" bestFit="1" customWidth="1"/>
    <col min="231" max="231" width="22.33203125" bestFit="1" customWidth="1"/>
    <col min="232" max="232" width="24.88671875" bestFit="1" customWidth="1"/>
    <col min="233" max="233" width="26.5546875" bestFit="1" customWidth="1"/>
    <col min="234" max="234" width="31.77734375" bestFit="1" customWidth="1"/>
    <col min="235" max="235" width="18.109375" bestFit="1" customWidth="1"/>
    <col min="236" max="236" width="25.88671875" bestFit="1" customWidth="1"/>
    <col min="237" max="237" width="21.6640625" bestFit="1" customWidth="1"/>
    <col min="238" max="238" width="20.44140625" bestFit="1" customWidth="1"/>
    <col min="239" max="239" width="25.88671875" bestFit="1" customWidth="1"/>
    <col min="240" max="240" width="11.44140625" bestFit="1" customWidth="1"/>
    <col min="241" max="241" width="16.21875" bestFit="1" customWidth="1"/>
    <col min="242" max="242" width="13.33203125" bestFit="1" customWidth="1"/>
    <col min="243" max="243" width="13" bestFit="1" customWidth="1"/>
    <col min="244" max="244" width="15" bestFit="1" customWidth="1"/>
    <col min="245" max="245" width="14.44140625" bestFit="1" customWidth="1"/>
    <col min="246" max="246" width="11.88671875" bestFit="1" customWidth="1"/>
    <col min="247" max="247" width="17.88671875" bestFit="1" customWidth="1"/>
    <col min="248" max="248" width="12.88671875" bestFit="1" customWidth="1"/>
    <col min="249" max="249" width="29.33203125" bestFit="1" customWidth="1"/>
    <col min="250" max="250" width="29" bestFit="1" customWidth="1"/>
    <col min="251" max="251" width="21.33203125" bestFit="1" customWidth="1"/>
    <col min="252" max="252" width="20.5546875" bestFit="1" customWidth="1"/>
    <col min="253" max="253" width="26.77734375" bestFit="1" customWidth="1"/>
    <col min="254" max="254" width="20.6640625" bestFit="1" customWidth="1"/>
    <col min="255" max="255" width="29.5546875" bestFit="1" customWidth="1"/>
    <col min="256" max="256" width="28.6640625" bestFit="1" customWidth="1"/>
    <col min="257" max="257" width="24.44140625" bestFit="1" customWidth="1"/>
    <col min="258" max="258" width="23.109375" bestFit="1" customWidth="1"/>
    <col min="259" max="259" width="25.33203125" bestFit="1" customWidth="1"/>
    <col min="260" max="260" width="22.21875" bestFit="1" customWidth="1"/>
    <col min="261" max="261" width="23" bestFit="1" customWidth="1"/>
    <col min="262" max="262" width="21.77734375" bestFit="1" customWidth="1"/>
    <col min="263" max="263" width="27.77734375" bestFit="1" customWidth="1"/>
    <col min="264" max="264" width="19.6640625" bestFit="1" customWidth="1"/>
    <col min="265" max="265" width="23.21875" bestFit="1" customWidth="1"/>
    <col min="266" max="266" width="23.109375" bestFit="1" customWidth="1"/>
    <col min="267" max="267" width="25.44140625" bestFit="1" customWidth="1"/>
    <col min="268" max="268" width="25.88671875" bestFit="1" customWidth="1"/>
    <col min="269" max="269" width="14.6640625" bestFit="1" customWidth="1"/>
    <col min="270" max="270" width="22.6640625" bestFit="1" customWidth="1"/>
    <col min="271" max="271" width="24.6640625" bestFit="1" customWidth="1"/>
    <col min="272" max="272" width="26.33203125" bestFit="1" customWidth="1"/>
    <col min="273" max="273" width="21.33203125" bestFit="1" customWidth="1"/>
    <col min="274" max="274" width="26.6640625" bestFit="1" customWidth="1"/>
  </cols>
  <sheetData>
    <row r="2" spans="1:5" x14ac:dyDescent="0.3">
      <c r="A2" t="s">
        <v>607</v>
      </c>
      <c r="B2" t="s">
        <v>608</v>
      </c>
      <c r="D2" t="s">
        <v>609</v>
      </c>
      <c r="E2" t="s">
        <v>610</v>
      </c>
    </row>
    <row r="3" spans="1:5" x14ac:dyDescent="0.3">
      <c r="A3" s="4" t="s">
        <v>23</v>
      </c>
      <c r="B3" t="s">
        <v>24</v>
      </c>
      <c r="D3" t="s">
        <v>43</v>
      </c>
      <c r="E3" t="s">
        <v>43</v>
      </c>
    </row>
    <row r="4" spans="1:5" x14ac:dyDescent="0.3">
      <c r="A4" s="4" t="s">
        <v>39</v>
      </c>
      <c r="B4" t="s">
        <v>24</v>
      </c>
      <c r="D4" t="s">
        <v>52</v>
      </c>
      <c r="E4" t="s">
        <v>28</v>
      </c>
    </row>
    <row r="5" spans="1:5" x14ac:dyDescent="0.3">
      <c r="A5" s="4" t="s">
        <v>98</v>
      </c>
      <c r="B5" t="s">
        <v>152</v>
      </c>
      <c r="D5" t="s">
        <v>27</v>
      </c>
      <c r="E5" t="s">
        <v>28</v>
      </c>
    </row>
    <row r="6" spans="1:5" x14ac:dyDescent="0.3">
      <c r="A6" s="4" t="s">
        <v>30</v>
      </c>
      <c r="B6" t="s">
        <v>31</v>
      </c>
      <c r="D6" t="s">
        <v>84</v>
      </c>
      <c r="E6" t="s">
        <v>85</v>
      </c>
    </row>
    <row r="7" spans="1:5" x14ac:dyDescent="0.3">
      <c r="A7" s="4" t="s">
        <v>49</v>
      </c>
      <c r="B7" t="s">
        <v>31</v>
      </c>
      <c r="D7" s="3" t="s">
        <v>20</v>
      </c>
      <c r="E7" t="s">
        <v>21</v>
      </c>
    </row>
    <row r="8" spans="1:5" x14ac:dyDescent="0.3">
      <c r="A8" s="4" t="s">
        <v>62</v>
      </c>
      <c r="B8" t="s">
        <v>31</v>
      </c>
      <c r="D8" t="s">
        <v>34</v>
      </c>
      <c r="E8" t="s">
        <v>273</v>
      </c>
    </row>
    <row r="9" spans="1:5" x14ac:dyDescent="0.3">
      <c r="A9" s="4" t="s">
        <v>46</v>
      </c>
      <c r="B9" t="s">
        <v>53</v>
      </c>
      <c r="D9" t="s">
        <v>101</v>
      </c>
      <c r="E9" t="s">
        <v>109</v>
      </c>
    </row>
    <row r="10" spans="1:5" x14ac:dyDescent="0.3">
      <c r="A10" s="4" t="s">
        <v>69</v>
      </c>
      <c r="B10" t="s">
        <v>53</v>
      </c>
      <c r="D10" t="s">
        <v>34</v>
      </c>
      <c r="E10" t="s">
        <v>123</v>
      </c>
    </row>
    <row r="11" spans="1:5" x14ac:dyDescent="0.3">
      <c r="A11" s="4" t="s">
        <v>56</v>
      </c>
      <c r="B11" t="s">
        <v>57</v>
      </c>
      <c r="D11" t="s">
        <v>37</v>
      </c>
      <c r="E11" t="s">
        <v>37</v>
      </c>
    </row>
    <row r="12" spans="1:5" x14ac:dyDescent="0.3">
      <c r="A12" s="4" t="s">
        <v>102</v>
      </c>
      <c r="B12" t="s">
        <v>57</v>
      </c>
      <c r="D12" t="s">
        <v>116</v>
      </c>
      <c r="E12" t="s">
        <v>37</v>
      </c>
    </row>
    <row r="13" spans="1:5" x14ac:dyDescent="0.3">
      <c r="A13" s="4"/>
      <c r="D13" s="4" t="s">
        <v>76</v>
      </c>
      <c r="E13" t="s">
        <v>77</v>
      </c>
    </row>
    <row r="14" spans="1:5" x14ac:dyDescent="0.3">
      <c r="A14" s="4"/>
    </row>
    <row r="15" spans="1:5" x14ac:dyDescent="0.3">
      <c r="A15" s="4"/>
    </row>
    <row r="16" spans="1:5" ht="15" thickBot="1" x14ac:dyDescent="0.35">
      <c r="A16" s="4"/>
    </row>
    <row r="17" spans="1:2" x14ac:dyDescent="0.3">
      <c r="A17" s="3"/>
      <c r="B17" s="8" t="s">
        <v>661</v>
      </c>
    </row>
    <row r="18" spans="1:2" x14ac:dyDescent="0.3">
      <c r="A18" s="3"/>
      <c r="B18" s="9">
        <v>500000</v>
      </c>
    </row>
    <row r="19" spans="1:2" ht="15" thickBot="1" x14ac:dyDescent="0.35">
      <c r="A19" s="3"/>
      <c r="B19" s="10">
        <v>2000000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71C6-14AA-40B9-8570-50A81374AB5C}">
  <dimension ref="A1:T1021"/>
  <sheetViews>
    <sheetView topLeftCell="A2" workbookViewId="0">
      <selection activeCell="S2" sqref="S2"/>
    </sheetView>
  </sheetViews>
  <sheetFormatPr baseColWidth="10" defaultRowHeight="14.4" x14ac:dyDescent="0.3"/>
  <cols>
    <col min="1" max="1" width="10.21875" bestFit="1" customWidth="1"/>
    <col min="2" max="2" width="13.109375" bestFit="1" customWidth="1"/>
    <col min="3" max="3" width="10.44140625" customWidth="1"/>
    <col min="4" max="5" width="8" customWidth="1"/>
    <col min="6" max="6" width="35.109375" bestFit="1" customWidth="1"/>
    <col min="7" max="7" width="16.6640625" bestFit="1" customWidth="1"/>
    <col min="8" max="8" width="15.33203125" bestFit="1" customWidth="1"/>
    <col min="9" max="9" width="10" customWidth="1"/>
    <col min="10" max="10" width="15.5546875" bestFit="1" customWidth="1"/>
    <col min="11" max="11" width="18" bestFit="1" customWidth="1"/>
    <col min="12" max="12" width="13.109375" bestFit="1" customWidth="1"/>
    <col min="13" max="13" width="11" bestFit="1" customWidth="1"/>
    <col min="14" max="14" width="19.44140625" bestFit="1" customWidth="1"/>
    <col min="15" max="15" width="15.77734375" bestFit="1" customWidth="1"/>
    <col min="16" max="16" width="10.6640625" bestFit="1" customWidth="1"/>
    <col min="17" max="17" width="15.44140625" style="5" bestFit="1" customWidth="1"/>
    <col min="18" max="18" width="16.5546875" bestFit="1" customWidth="1"/>
    <col min="19" max="19" width="17" bestFit="1" customWidth="1"/>
    <col min="20" max="20" width="13.5546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5" t="s">
        <v>16</v>
      </c>
      <c r="R1" t="s">
        <v>615</v>
      </c>
      <c r="S1" t="s">
        <v>614</v>
      </c>
      <c r="T1" t="s">
        <v>611</v>
      </c>
    </row>
    <row r="2" spans="1:20" x14ac:dyDescent="0.3">
      <c r="A2">
        <v>178</v>
      </c>
      <c r="B2" s="1">
        <v>45105</v>
      </c>
      <c r="C2">
        <v>46</v>
      </c>
      <c r="D2">
        <v>5</v>
      </c>
      <c r="E2">
        <v>12</v>
      </c>
      <c r="F2" t="s">
        <v>332</v>
      </c>
      <c r="G2" t="s">
        <v>333</v>
      </c>
      <c r="H2" t="s">
        <v>42</v>
      </c>
      <c r="I2">
        <v>32</v>
      </c>
      <c r="J2" t="s">
        <v>84</v>
      </c>
      <c r="K2" t="str">
        <f>_xlfn.XLOOKUP( ventas[[#This Row],[ciudad_cliente]],  ciudades[Ciudad], ciudades[Region])</f>
        <v>Coquimbo</v>
      </c>
      <c r="L2" t="s">
        <v>22</v>
      </c>
      <c r="M2" t="s">
        <v>102</v>
      </c>
      <c r="N2" t="str">
        <f>_xlfn.XLOOKUP(ventas[[#This Row],[producto]], categ[Producto], categ[Categoria])</f>
        <v>Vestuario</v>
      </c>
      <c r="O2">
        <v>12000</v>
      </c>
      <c r="P2">
        <v>2</v>
      </c>
      <c r="Q2" s="11">
        <v>0.1</v>
      </c>
      <c r="R2">
        <f>(ventas[[#This Row],[precio_unitario]]*ventas[[#This Row],[cantidad]])</f>
        <v>24000</v>
      </c>
      <c r="S2">
        <f>ventas[[#This Row],[Total_Productos]]*ventas[[#This Row],[descuento_pct]]</f>
        <v>2400</v>
      </c>
      <c r="T2">
        <f>ventas[[#This Row],[Total_Productos]]-ventas[[#This Row],[Valor_descuento]]</f>
        <v>21600</v>
      </c>
    </row>
    <row r="3" spans="1:20" x14ac:dyDescent="0.3">
      <c r="A3">
        <v>226</v>
      </c>
      <c r="B3" s="1">
        <v>45153</v>
      </c>
      <c r="C3">
        <v>63</v>
      </c>
      <c r="D3">
        <v>5</v>
      </c>
      <c r="E3">
        <v>12</v>
      </c>
      <c r="F3" t="s">
        <v>332</v>
      </c>
      <c r="G3" t="s">
        <v>333</v>
      </c>
      <c r="H3" t="s">
        <v>42</v>
      </c>
      <c r="I3">
        <v>32</v>
      </c>
      <c r="J3" t="s">
        <v>101</v>
      </c>
      <c r="K3" t="str">
        <f>_xlfn.XLOOKUP( ventas[[#This Row],[ciudad_cliente]],  ciudades[Ciudad], ciudades[Region])</f>
        <v>O'Higgins</v>
      </c>
      <c r="L3" t="s">
        <v>22</v>
      </c>
      <c r="M3" t="s">
        <v>62</v>
      </c>
      <c r="N3" t="str">
        <f>_xlfn.XLOOKUP(ventas[[#This Row],[producto]], categ[Producto], categ[Categoria])</f>
        <v>Electrohogar</v>
      </c>
      <c r="O3">
        <v>650000</v>
      </c>
      <c r="P3">
        <v>3</v>
      </c>
      <c r="Q3" s="11">
        <v>0</v>
      </c>
      <c r="R3">
        <f>(ventas[[#This Row],[precio_unitario]]*ventas[[#This Row],[cantidad]])</f>
        <v>1950000</v>
      </c>
      <c r="S3">
        <f>ventas[[#This Row],[Total_Productos]]*ventas[[#This Row],[descuento_pct]]</f>
        <v>0</v>
      </c>
      <c r="T3">
        <f>ventas[[#This Row],[Total_Productos]]-ventas[[#This Row],[Valor_descuento]]</f>
        <v>1950000</v>
      </c>
    </row>
    <row r="4" spans="1:20" x14ac:dyDescent="0.3">
      <c r="A4">
        <v>354</v>
      </c>
      <c r="B4" s="1">
        <v>45281</v>
      </c>
      <c r="C4">
        <v>66</v>
      </c>
      <c r="D4">
        <v>2</v>
      </c>
      <c r="E4">
        <v>12</v>
      </c>
      <c r="F4" t="s">
        <v>332</v>
      </c>
      <c r="G4" t="s">
        <v>333</v>
      </c>
      <c r="H4" t="s">
        <v>42</v>
      </c>
      <c r="I4">
        <v>32</v>
      </c>
      <c r="J4" t="s">
        <v>27</v>
      </c>
      <c r="K4" t="str">
        <f>_xlfn.XLOOKUP( ventas[[#This Row],[ciudad_cliente]],  ciudades[Ciudad], ciudades[Region])</f>
        <v>Biobío</v>
      </c>
      <c r="L4" t="s">
        <v>38</v>
      </c>
      <c r="M4" t="s">
        <v>62</v>
      </c>
      <c r="N4" t="str">
        <f>_xlfn.XLOOKUP(ventas[[#This Row],[producto]], categ[Producto], categ[Categoria])</f>
        <v>Electrohogar</v>
      </c>
      <c r="O4">
        <v>650000</v>
      </c>
      <c r="P4">
        <v>3</v>
      </c>
      <c r="Q4" s="11">
        <v>0</v>
      </c>
      <c r="R4">
        <f>(ventas[[#This Row],[precio_unitario]]*ventas[[#This Row],[cantidad]])</f>
        <v>1950000</v>
      </c>
      <c r="S4">
        <f>ventas[[#This Row],[Total_Productos]]*ventas[[#This Row],[descuento_pct]]</f>
        <v>0</v>
      </c>
      <c r="T4">
        <f>ventas[[#This Row],[Total_Productos]]-ventas[[#This Row],[Valor_descuento]]</f>
        <v>1950000</v>
      </c>
    </row>
    <row r="5" spans="1:20" x14ac:dyDescent="0.3">
      <c r="A5">
        <v>866</v>
      </c>
      <c r="B5" s="1">
        <v>45793</v>
      </c>
      <c r="C5">
        <v>12</v>
      </c>
      <c r="D5">
        <v>0</v>
      </c>
      <c r="E5">
        <v>12</v>
      </c>
      <c r="F5" t="s">
        <v>332</v>
      </c>
      <c r="G5" t="s">
        <v>333</v>
      </c>
      <c r="H5" t="s">
        <v>42</v>
      </c>
      <c r="I5">
        <v>32</v>
      </c>
      <c r="J5" t="s">
        <v>116</v>
      </c>
      <c r="K5" t="str">
        <f>_xlfn.XLOOKUP( ventas[[#This Row],[ciudad_cliente]],  ciudades[Ciudad], ciudades[Region])</f>
        <v>Valparaíso</v>
      </c>
      <c r="L5" t="s">
        <v>22</v>
      </c>
      <c r="M5" t="s">
        <v>69</v>
      </c>
      <c r="N5" t="str">
        <f>_xlfn.XLOOKUP(ventas[[#This Row],[producto]], categ[Producto], categ[Categoria])</f>
        <v>Tecnología</v>
      </c>
      <c r="O5">
        <v>450000</v>
      </c>
      <c r="P5">
        <v>1</v>
      </c>
      <c r="Q5" s="11">
        <v>0.05</v>
      </c>
      <c r="R5">
        <f>(ventas[[#This Row],[precio_unitario]]*ventas[[#This Row],[cantidad]])</f>
        <v>450000</v>
      </c>
      <c r="S5">
        <f>ventas[[#This Row],[Total_Productos]]*ventas[[#This Row],[descuento_pct]]</f>
        <v>22500</v>
      </c>
      <c r="T5">
        <f>ventas[[#This Row],[Total_Productos]]-ventas[[#This Row],[Valor_descuento]]</f>
        <v>427500</v>
      </c>
    </row>
    <row r="6" spans="1:20" x14ac:dyDescent="0.3">
      <c r="A6">
        <v>207</v>
      </c>
      <c r="B6" s="1">
        <v>45134</v>
      </c>
      <c r="C6">
        <v>48</v>
      </c>
      <c r="D6">
        <v>6</v>
      </c>
      <c r="E6">
        <v>129</v>
      </c>
      <c r="F6" t="s">
        <v>360</v>
      </c>
      <c r="G6" t="s">
        <v>361</v>
      </c>
      <c r="H6" t="s">
        <v>42</v>
      </c>
      <c r="I6">
        <v>39</v>
      </c>
      <c r="J6" t="s">
        <v>37</v>
      </c>
      <c r="K6" t="str">
        <f>_xlfn.XLOOKUP( ventas[[#This Row],[ciudad_cliente]],  ciudades[Ciudad], ciudades[Region])</f>
        <v>Valparaíso</v>
      </c>
      <c r="L6" t="s">
        <v>29</v>
      </c>
      <c r="M6" t="s">
        <v>62</v>
      </c>
      <c r="N6" t="str">
        <f>_xlfn.XLOOKUP(ventas[[#This Row],[producto]], categ[Producto], categ[Categoria])</f>
        <v>Electrohogar</v>
      </c>
      <c r="O6">
        <v>650000</v>
      </c>
      <c r="P6">
        <v>2</v>
      </c>
      <c r="Q6" s="11">
        <v>0.05</v>
      </c>
      <c r="R6">
        <f>(ventas[[#This Row],[precio_unitario]]*ventas[[#This Row],[cantidad]])</f>
        <v>1300000</v>
      </c>
      <c r="S6">
        <f>ventas[[#This Row],[Total_Productos]]*ventas[[#This Row],[descuento_pct]]</f>
        <v>65000</v>
      </c>
      <c r="T6">
        <f>ventas[[#This Row],[Total_Productos]]-ventas[[#This Row],[Valor_descuento]]</f>
        <v>1235000</v>
      </c>
    </row>
    <row r="7" spans="1:20" x14ac:dyDescent="0.3">
      <c r="A7">
        <v>611</v>
      </c>
      <c r="B7" s="1">
        <v>45538</v>
      </c>
      <c r="C7">
        <v>37</v>
      </c>
      <c r="D7">
        <v>1</v>
      </c>
      <c r="E7">
        <v>129</v>
      </c>
      <c r="F7" t="s">
        <v>360</v>
      </c>
      <c r="G7" t="s">
        <v>361</v>
      </c>
      <c r="H7" t="s">
        <v>42</v>
      </c>
      <c r="I7">
        <v>39</v>
      </c>
      <c r="J7" t="s">
        <v>116</v>
      </c>
      <c r="K7" t="str">
        <f>_xlfn.XLOOKUP( ventas[[#This Row],[ciudad_cliente]],  ciudades[Ciudad], ciudades[Region])</f>
        <v>Valparaíso</v>
      </c>
      <c r="L7" t="s">
        <v>38</v>
      </c>
      <c r="M7" t="s">
        <v>30</v>
      </c>
      <c r="N7" t="str">
        <f>_xlfn.XLOOKUP(ventas[[#This Row],[producto]], categ[Producto], categ[Categoria])</f>
        <v>Electrohogar</v>
      </c>
      <c r="O7">
        <v>700000</v>
      </c>
      <c r="P7">
        <v>3</v>
      </c>
      <c r="Q7" s="11">
        <v>0.1</v>
      </c>
      <c r="R7">
        <f>(ventas[[#This Row],[precio_unitario]]*ventas[[#This Row],[cantidad]])</f>
        <v>2100000</v>
      </c>
      <c r="S7">
        <f>ventas[[#This Row],[Total_Productos]]*ventas[[#This Row],[descuento_pct]]</f>
        <v>210000</v>
      </c>
      <c r="T7">
        <f>ventas[[#This Row],[Total_Productos]]-ventas[[#This Row],[Valor_descuento]]</f>
        <v>1890000</v>
      </c>
    </row>
    <row r="8" spans="1:20" x14ac:dyDescent="0.3">
      <c r="A8">
        <v>781</v>
      </c>
      <c r="B8" s="1">
        <v>45708</v>
      </c>
      <c r="C8">
        <v>52</v>
      </c>
      <c r="D8">
        <v>0</v>
      </c>
      <c r="E8">
        <v>129</v>
      </c>
      <c r="F8" t="s">
        <v>360</v>
      </c>
      <c r="G8" t="s">
        <v>361</v>
      </c>
      <c r="H8" t="s">
        <v>42</v>
      </c>
      <c r="I8">
        <v>39</v>
      </c>
      <c r="J8" t="s">
        <v>27</v>
      </c>
      <c r="K8" t="str">
        <f>_xlfn.XLOOKUP( ventas[[#This Row],[ciudad_cliente]],  ciudades[Ciudad], ciudades[Region])</f>
        <v>Biobío</v>
      </c>
      <c r="L8" t="s">
        <v>38</v>
      </c>
      <c r="M8" t="s">
        <v>98</v>
      </c>
      <c r="N8" t="str">
        <f>_xlfn.XLOOKUP(ventas[[#This Row],[producto]], categ[Producto], categ[Categoria])</f>
        <v>Calzado</v>
      </c>
      <c r="O8">
        <v>55000</v>
      </c>
      <c r="P8">
        <v>1</v>
      </c>
      <c r="Q8" s="11">
        <v>0</v>
      </c>
      <c r="R8">
        <f>(ventas[[#This Row],[precio_unitario]]*ventas[[#This Row],[cantidad]])</f>
        <v>55000</v>
      </c>
      <c r="S8">
        <f>ventas[[#This Row],[Total_Productos]]*ventas[[#This Row],[descuento_pct]]</f>
        <v>0</v>
      </c>
      <c r="T8">
        <f>ventas[[#This Row],[Total_Productos]]-ventas[[#This Row],[Valor_descuento]]</f>
        <v>55000</v>
      </c>
    </row>
    <row r="9" spans="1:20" x14ac:dyDescent="0.3">
      <c r="A9">
        <v>278</v>
      </c>
      <c r="B9" s="1">
        <v>45205</v>
      </c>
      <c r="C9">
        <v>57</v>
      </c>
      <c r="D9">
        <v>3</v>
      </c>
      <c r="E9">
        <v>264</v>
      </c>
      <c r="F9" t="s">
        <v>420</v>
      </c>
      <c r="G9" t="s">
        <v>421</v>
      </c>
      <c r="H9" t="s">
        <v>42</v>
      </c>
      <c r="I9">
        <v>25</v>
      </c>
      <c r="J9" t="s">
        <v>52</v>
      </c>
      <c r="K9" t="str">
        <f>_xlfn.XLOOKUP( ventas[[#This Row],[ciudad_cliente]],  ciudades[Ciudad], ciudades[Region])</f>
        <v>Biobío</v>
      </c>
      <c r="L9" t="s">
        <v>38</v>
      </c>
      <c r="M9" t="s">
        <v>102</v>
      </c>
      <c r="N9" t="str">
        <f>_xlfn.XLOOKUP(ventas[[#This Row],[producto]], categ[Producto], categ[Categoria])</f>
        <v>Vestuario</v>
      </c>
      <c r="O9">
        <v>12000</v>
      </c>
      <c r="P9">
        <v>3</v>
      </c>
      <c r="Q9" s="11">
        <v>0.1</v>
      </c>
      <c r="R9">
        <f>(ventas[[#This Row],[precio_unitario]]*ventas[[#This Row],[cantidad]])</f>
        <v>36000</v>
      </c>
      <c r="S9">
        <f>ventas[[#This Row],[Total_Productos]]*ventas[[#This Row],[descuento_pct]]</f>
        <v>3600</v>
      </c>
      <c r="T9">
        <f>ventas[[#This Row],[Total_Productos]]-ventas[[#This Row],[Valor_descuento]]</f>
        <v>32400</v>
      </c>
    </row>
    <row r="10" spans="1:20" x14ac:dyDescent="0.3">
      <c r="A10">
        <v>350</v>
      </c>
      <c r="B10" s="1">
        <v>45277</v>
      </c>
      <c r="C10">
        <v>7</v>
      </c>
      <c r="D10">
        <v>8</v>
      </c>
      <c r="E10">
        <v>264</v>
      </c>
      <c r="F10" t="s">
        <v>420</v>
      </c>
      <c r="G10" t="s">
        <v>421</v>
      </c>
      <c r="H10" t="s">
        <v>42</v>
      </c>
      <c r="I10">
        <v>25</v>
      </c>
      <c r="J10" t="s">
        <v>37</v>
      </c>
      <c r="K10" t="str">
        <f>_xlfn.XLOOKUP( ventas[[#This Row],[ciudad_cliente]],  ciudades[Ciudad], ciudades[Region])</f>
        <v>Valparaíso</v>
      </c>
      <c r="L10" t="s">
        <v>22</v>
      </c>
      <c r="M10" t="s">
        <v>46</v>
      </c>
      <c r="N10" t="str">
        <f>_xlfn.XLOOKUP(ventas[[#This Row],[producto]], categ[Producto], categ[Categoria])</f>
        <v>Tecnología</v>
      </c>
      <c r="O10">
        <v>750000</v>
      </c>
      <c r="P10">
        <v>3</v>
      </c>
      <c r="Q10" s="11">
        <v>0.1</v>
      </c>
      <c r="R10">
        <f>(ventas[[#This Row],[precio_unitario]]*ventas[[#This Row],[cantidad]])</f>
        <v>2250000</v>
      </c>
      <c r="S10">
        <f>ventas[[#This Row],[Total_Productos]]*ventas[[#This Row],[descuento_pct]]</f>
        <v>225000</v>
      </c>
      <c r="T10">
        <f>ventas[[#This Row],[Total_Productos]]-ventas[[#This Row],[Valor_descuento]]</f>
        <v>2025000</v>
      </c>
    </row>
    <row r="11" spans="1:20" x14ac:dyDescent="0.3">
      <c r="A11">
        <v>703</v>
      </c>
      <c r="B11" s="1">
        <v>45630</v>
      </c>
      <c r="C11">
        <v>58</v>
      </c>
      <c r="D11">
        <v>1</v>
      </c>
      <c r="E11">
        <v>264</v>
      </c>
      <c r="F11" t="s">
        <v>420</v>
      </c>
      <c r="G11" t="s">
        <v>421</v>
      </c>
      <c r="H11" t="s">
        <v>42</v>
      </c>
      <c r="I11">
        <v>25</v>
      </c>
      <c r="J11" t="s">
        <v>76</v>
      </c>
      <c r="K11" t="str">
        <f>_xlfn.XLOOKUP( ventas[[#This Row],[ciudad_cliente]],  ciudades[Ciudad], ciudades[Region])</f>
        <v>Los Lagos</v>
      </c>
      <c r="L11" t="s">
        <v>22</v>
      </c>
      <c r="M11" t="s">
        <v>30</v>
      </c>
      <c r="N11" t="str">
        <f>_xlfn.XLOOKUP(ventas[[#This Row],[producto]], categ[Producto], categ[Categoria])</f>
        <v>Electrohogar</v>
      </c>
      <c r="O11">
        <v>700000</v>
      </c>
      <c r="P11">
        <v>3</v>
      </c>
      <c r="Q11" s="11">
        <v>0</v>
      </c>
      <c r="R11">
        <f>(ventas[[#This Row],[precio_unitario]]*ventas[[#This Row],[cantidad]])</f>
        <v>2100000</v>
      </c>
      <c r="S11">
        <f>ventas[[#This Row],[Total_Productos]]*ventas[[#This Row],[descuento_pct]]</f>
        <v>0</v>
      </c>
      <c r="T11">
        <f>ventas[[#This Row],[Total_Productos]]-ventas[[#This Row],[Valor_descuento]]</f>
        <v>2100000</v>
      </c>
    </row>
    <row r="12" spans="1:20" x14ac:dyDescent="0.3">
      <c r="A12">
        <v>764</v>
      </c>
      <c r="B12" s="1">
        <v>45691</v>
      </c>
      <c r="C12">
        <v>37</v>
      </c>
      <c r="D12">
        <v>1</v>
      </c>
      <c r="E12">
        <v>264</v>
      </c>
      <c r="F12" t="s">
        <v>420</v>
      </c>
      <c r="G12" t="s">
        <v>421</v>
      </c>
      <c r="H12" t="s">
        <v>42</v>
      </c>
      <c r="I12">
        <v>25</v>
      </c>
      <c r="J12" t="s">
        <v>116</v>
      </c>
      <c r="K12" t="str">
        <f>_xlfn.XLOOKUP( ventas[[#This Row],[ciudad_cliente]],  ciudades[Ciudad], ciudades[Region])</f>
        <v>Valparaíso</v>
      </c>
      <c r="L12" t="s">
        <v>22</v>
      </c>
      <c r="M12" t="s">
        <v>49</v>
      </c>
      <c r="N12" t="str">
        <f>_xlfn.XLOOKUP(ventas[[#This Row],[producto]], categ[Producto], categ[Categoria])</f>
        <v>Electrohogar</v>
      </c>
      <c r="O12">
        <v>800000</v>
      </c>
      <c r="P12">
        <v>3</v>
      </c>
      <c r="Q12" s="11">
        <v>0.1</v>
      </c>
      <c r="R12">
        <f>(ventas[[#This Row],[precio_unitario]]*ventas[[#This Row],[cantidad]])</f>
        <v>2400000</v>
      </c>
      <c r="S12">
        <f>ventas[[#This Row],[Total_Productos]]*ventas[[#This Row],[descuento_pct]]</f>
        <v>240000</v>
      </c>
      <c r="T12">
        <f>ventas[[#This Row],[Total_Productos]]-ventas[[#This Row],[Valor_descuento]]</f>
        <v>2160000</v>
      </c>
    </row>
    <row r="13" spans="1:20" x14ac:dyDescent="0.3">
      <c r="A13">
        <v>868</v>
      </c>
      <c r="B13" s="1">
        <v>45795</v>
      </c>
      <c r="C13">
        <v>12</v>
      </c>
      <c r="D13">
        <v>0</v>
      </c>
      <c r="E13">
        <v>264</v>
      </c>
      <c r="F13" t="s">
        <v>420</v>
      </c>
      <c r="G13" t="s">
        <v>421</v>
      </c>
      <c r="H13" t="s">
        <v>42</v>
      </c>
      <c r="I13">
        <v>25</v>
      </c>
      <c r="J13" t="s">
        <v>116</v>
      </c>
      <c r="K13" t="str">
        <f>_xlfn.XLOOKUP( ventas[[#This Row],[ciudad_cliente]],  ciudades[Ciudad], ciudades[Region])</f>
        <v>Valparaíso</v>
      </c>
      <c r="L13" t="s">
        <v>29</v>
      </c>
      <c r="M13" t="s">
        <v>56</v>
      </c>
      <c r="N13" t="str">
        <f>_xlfn.XLOOKUP(ventas[[#This Row],[producto]], categ[Producto], categ[Categoria])</f>
        <v>Vestuario</v>
      </c>
      <c r="O13">
        <v>25000</v>
      </c>
      <c r="P13">
        <v>3</v>
      </c>
      <c r="Q13" s="11">
        <v>0</v>
      </c>
      <c r="R13">
        <f>(ventas[[#This Row],[precio_unitario]]*ventas[[#This Row],[cantidad]])</f>
        <v>75000</v>
      </c>
      <c r="S13">
        <f>ventas[[#This Row],[Total_Productos]]*ventas[[#This Row],[descuento_pct]]</f>
        <v>0</v>
      </c>
      <c r="T13">
        <f>ventas[[#This Row],[Total_Productos]]-ventas[[#This Row],[Valor_descuento]]</f>
        <v>75000</v>
      </c>
    </row>
    <row r="14" spans="1:20" x14ac:dyDescent="0.3">
      <c r="A14">
        <v>903</v>
      </c>
      <c r="B14" s="1">
        <v>45830</v>
      </c>
      <c r="C14">
        <v>50</v>
      </c>
      <c r="D14">
        <v>0</v>
      </c>
      <c r="E14">
        <v>264</v>
      </c>
      <c r="F14" t="s">
        <v>420</v>
      </c>
      <c r="G14" t="s">
        <v>421</v>
      </c>
      <c r="H14" t="s">
        <v>42</v>
      </c>
      <c r="I14">
        <v>25</v>
      </c>
      <c r="J14" t="s">
        <v>20</v>
      </c>
      <c r="K14" t="str">
        <f>_xlfn.XLOOKUP( ventas[[#This Row],[ciudad_cliente]],  ciudades[Ciudad], ciudades[Region])</f>
        <v>La Araucanía</v>
      </c>
      <c r="L14" t="s">
        <v>38</v>
      </c>
      <c r="M14" t="s">
        <v>56</v>
      </c>
      <c r="N14" t="str">
        <f>_xlfn.XLOOKUP(ventas[[#This Row],[producto]], categ[Producto], categ[Categoria])</f>
        <v>Vestuario</v>
      </c>
      <c r="O14">
        <v>25000</v>
      </c>
      <c r="P14">
        <v>3</v>
      </c>
      <c r="Q14" s="11">
        <v>0</v>
      </c>
      <c r="R14">
        <f>(ventas[[#This Row],[precio_unitario]]*ventas[[#This Row],[cantidad]])</f>
        <v>75000</v>
      </c>
      <c r="S14">
        <f>ventas[[#This Row],[Total_Productos]]*ventas[[#This Row],[descuento_pct]]</f>
        <v>0</v>
      </c>
      <c r="T14">
        <f>ventas[[#This Row],[Total_Productos]]-ventas[[#This Row],[Valor_descuento]]</f>
        <v>75000</v>
      </c>
    </row>
    <row r="15" spans="1:20" x14ac:dyDescent="0.3">
      <c r="A15">
        <v>175</v>
      </c>
      <c r="B15" s="1">
        <v>45102</v>
      </c>
      <c r="C15">
        <v>11</v>
      </c>
      <c r="D15">
        <v>0</v>
      </c>
      <c r="E15">
        <v>171</v>
      </c>
      <c r="F15" t="s">
        <v>326</v>
      </c>
      <c r="G15" t="s">
        <v>327</v>
      </c>
      <c r="H15" t="s">
        <v>19</v>
      </c>
      <c r="I15">
        <v>27</v>
      </c>
      <c r="J15" t="s">
        <v>43</v>
      </c>
      <c r="K15" t="str">
        <f>_xlfn.XLOOKUP( ventas[[#This Row],[ciudad_cliente]],  ciudades[Ciudad], ciudades[Region])</f>
        <v>Antofagasta</v>
      </c>
      <c r="L15" t="s">
        <v>22</v>
      </c>
      <c r="M15" t="s">
        <v>102</v>
      </c>
      <c r="N15" t="str">
        <f>_xlfn.XLOOKUP(ventas[[#This Row],[producto]], categ[Producto], categ[Categoria])</f>
        <v>Vestuario</v>
      </c>
      <c r="O15">
        <v>12000</v>
      </c>
      <c r="P15">
        <v>3</v>
      </c>
      <c r="Q15" s="11">
        <v>0</v>
      </c>
      <c r="R15">
        <f>(ventas[[#This Row],[precio_unitario]]*ventas[[#This Row],[cantidad]])</f>
        <v>36000</v>
      </c>
      <c r="S15">
        <f>ventas[[#This Row],[Total_Productos]]*ventas[[#This Row],[descuento_pct]]</f>
        <v>0</v>
      </c>
      <c r="T15">
        <f>ventas[[#This Row],[Total_Productos]]-ventas[[#This Row],[Valor_descuento]]</f>
        <v>36000</v>
      </c>
    </row>
    <row r="16" spans="1:20" x14ac:dyDescent="0.3">
      <c r="A16">
        <v>743</v>
      </c>
      <c r="B16" s="1">
        <v>45670</v>
      </c>
      <c r="C16">
        <v>42</v>
      </c>
      <c r="D16">
        <v>4</v>
      </c>
      <c r="E16">
        <v>171</v>
      </c>
      <c r="F16" t="s">
        <v>326</v>
      </c>
      <c r="G16" t="s">
        <v>327</v>
      </c>
      <c r="H16" t="s">
        <v>19</v>
      </c>
      <c r="I16">
        <v>27</v>
      </c>
      <c r="J16" t="s">
        <v>27</v>
      </c>
      <c r="K16" t="str">
        <f>_xlfn.XLOOKUP( ventas[[#This Row],[ciudad_cliente]],  ciudades[Ciudad], ciudades[Region])</f>
        <v>Biobío</v>
      </c>
      <c r="L16" t="s">
        <v>22</v>
      </c>
      <c r="M16" t="s">
        <v>39</v>
      </c>
      <c r="N16" t="str">
        <f>_xlfn.XLOOKUP(ventas[[#This Row],[producto]], categ[Producto], categ[Categoria])</f>
        <v>Belleza</v>
      </c>
      <c r="O16">
        <v>35000</v>
      </c>
      <c r="P16">
        <v>2</v>
      </c>
      <c r="Q16" s="11">
        <v>0.1</v>
      </c>
      <c r="R16">
        <f>(ventas[[#This Row],[precio_unitario]]*ventas[[#This Row],[cantidad]])</f>
        <v>70000</v>
      </c>
      <c r="S16">
        <f>ventas[[#This Row],[Total_Productos]]*ventas[[#This Row],[descuento_pct]]</f>
        <v>7000</v>
      </c>
      <c r="T16">
        <f>ventas[[#This Row],[Total_Productos]]-ventas[[#This Row],[Valor_descuento]]</f>
        <v>63000</v>
      </c>
    </row>
    <row r="17" spans="1:20" x14ac:dyDescent="0.3">
      <c r="A17">
        <v>777</v>
      </c>
      <c r="B17" s="1">
        <v>45704</v>
      </c>
      <c r="C17">
        <v>8</v>
      </c>
      <c r="D17">
        <v>1</v>
      </c>
      <c r="E17">
        <v>171</v>
      </c>
      <c r="F17" t="s">
        <v>326</v>
      </c>
      <c r="G17" t="s">
        <v>327</v>
      </c>
      <c r="H17" t="s">
        <v>19</v>
      </c>
      <c r="I17">
        <v>27</v>
      </c>
      <c r="J17" t="s">
        <v>76</v>
      </c>
      <c r="K17" t="str">
        <f>_xlfn.XLOOKUP( ventas[[#This Row],[ciudad_cliente]],  ciudades[Ciudad], ciudades[Region])</f>
        <v>Los Lagos</v>
      </c>
      <c r="L17" t="s">
        <v>22</v>
      </c>
      <c r="M17" t="s">
        <v>62</v>
      </c>
      <c r="N17" t="str">
        <f>_xlfn.XLOOKUP(ventas[[#This Row],[producto]], categ[Producto], categ[Categoria])</f>
        <v>Electrohogar</v>
      </c>
      <c r="O17">
        <v>650000</v>
      </c>
      <c r="P17">
        <v>2</v>
      </c>
      <c r="Q17" s="11">
        <v>0.05</v>
      </c>
      <c r="R17">
        <f>(ventas[[#This Row],[precio_unitario]]*ventas[[#This Row],[cantidad]])</f>
        <v>1300000</v>
      </c>
      <c r="S17">
        <f>ventas[[#This Row],[Total_Productos]]*ventas[[#This Row],[descuento_pct]]</f>
        <v>65000</v>
      </c>
      <c r="T17">
        <f>ventas[[#This Row],[Total_Productos]]-ventas[[#This Row],[Valor_descuento]]</f>
        <v>1235000</v>
      </c>
    </row>
    <row r="18" spans="1:20" x14ac:dyDescent="0.3">
      <c r="A18">
        <v>802</v>
      </c>
      <c r="B18" s="1">
        <v>45729</v>
      </c>
      <c r="C18">
        <v>55</v>
      </c>
      <c r="D18">
        <v>9</v>
      </c>
      <c r="E18">
        <v>171</v>
      </c>
      <c r="F18" t="s">
        <v>326</v>
      </c>
      <c r="G18" t="s">
        <v>327</v>
      </c>
      <c r="H18" t="s">
        <v>19</v>
      </c>
      <c r="I18">
        <v>27</v>
      </c>
      <c r="J18" t="s">
        <v>43</v>
      </c>
      <c r="K18" t="str">
        <f>_xlfn.XLOOKUP( ventas[[#This Row],[ciudad_cliente]],  ciudades[Ciudad], ciudades[Region])</f>
        <v>Antofagasta</v>
      </c>
      <c r="L18" t="s">
        <v>22</v>
      </c>
      <c r="M18" t="s">
        <v>23</v>
      </c>
      <c r="N18" t="str">
        <f>_xlfn.XLOOKUP(ventas[[#This Row],[producto]], categ[Producto], categ[Categoria])</f>
        <v>Belleza</v>
      </c>
      <c r="O18">
        <v>15000</v>
      </c>
      <c r="P18">
        <v>1</v>
      </c>
      <c r="Q18" s="11">
        <v>0</v>
      </c>
      <c r="R18">
        <f>(ventas[[#This Row],[precio_unitario]]*ventas[[#This Row],[cantidad]])</f>
        <v>15000</v>
      </c>
      <c r="S18">
        <f>ventas[[#This Row],[Total_Productos]]*ventas[[#This Row],[descuento_pct]]</f>
        <v>0</v>
      </c>
      <c r="T18">
        <f>ventas[[#This Row],[Total_Productos]]-ventas[[#This Row],[Valor_descuento]]</f>
        <v>15000</v>
      </c>
    </row>
    <row r="19" spans="1:20" x14ac:dyDescent="0.3">
      <c r="A19">
        <v>943</v>
      </c>
      <c r="B19" s="1">
        <v>45870</v>
      </c>
      <c r="C19">
        <v>50</v>
      </c>
      <c r="D19">
        <v>0</v>
      </c>
      <c r="E19">
        <v>171</v>
      </c>
      <c r="F19" t="s">
        <v>326</v>
      </c>
      <c r="G19" t="s">
        <v>327</v>
      </c>
      <c r="H19" t="s">
        <v>19</v>
      </c>
      <c r="I19">
        <v>27</v>
      </c>
      <c r="J19" t="s">
        <v>20</v>
      </c>
      <c r="K19" t="str">
        <f>_xlfn.XLOOKUP( ventas[[#This Row],[ciudad_cliente]],  ciudades[Ciudad], ciudades[Region])</f>
        <v>La Araucanía</v>
      </c>
      <c r="L19" t="s">
        <v>22</v>
      </c>
      <c r="M19" t="s">
        <v>69</v>
      </c>
      <c r="N19" t="str">
        <f>_xlfn.XLOOKUP(ventas[[#This Row],[producto]], categ[Producto], categ[Categoria])</f>
        <v>Tecnología</v>
      </c>
      <c r="O19">
        <v>450000</v>
      </c>
      <c r="P19">
        <v>3</v>
      </c>
      <c r="Q19" s="11">
        <v>0.05</v>
      </c>
      <c r="R19">
        <f>(ventas[[#This Row],[precio_unitario]]*ventas[[#This Row],[cantidad]])</f>
        <v>1350000</v>
      </c>
      <c r="S19">
        <f>ventas[[#This Row],[Total_Productos]]*ventas[[#This Row],[descuento_pct]]</f>
        <v>67500</v>
      </c>
      <c r="T19">
        <f>ventas[[#This Row],[Total_Productos]]-ventas[[#This Row],[Valor_descuento]]</f>
        <v>1282500</v>
      </c>
    </row>
    <row r="20" spans="1:20" x14ac:dyDescent="0.3">
      <c r="A20">
        <v>114</v>
      </c>
      <c r="B20" s="1">
        <v>45041</v>
      </c>
      <c r="C20">
        <v>38</v>
      </c>
      <c r="D20">
        <v>8</v>
      </c>
      <c r="E20">
        <v>37</v>
      </c>
      <c r="F20" t="s">
        <v>251</v>
      </c>
      <c r="G20" t="s">
        <v>252</v>
      </c>
      <c r="H20" t="s">
        <v>19</v>
      </c>
      <c r="I20">
        <v>40</v>
      </c>
      <c r="J20" t="s">
        <v>52</v>
      </c>
      <c r="K20" t="str">
        <f>_xlfn.XLOOKUP( ventas[[#This Row],[ciudad_cliente]],  ciudades[Ciudad], ciudades[Region])</f>
        <v>Biobío</v>
      </c>
      <c r="L20" t="s">
        <v>29</v>
      </c>
      <c r="M20" t="s">
        <v>98</v>
      </c>
      <c r="N20" t="str">
        <f>_xlfn.XLOOKUP(ventas[[#This Row],[producto]], categ[Producto], categ[Categoria])</f>
        <v>Calzado</v>
      </c>
      <c r="O20">
        <v>55000</v>
      </c>
      <c r="P20">
        <v>1</v>
      </c>
      <c r="Q20" s="11">
        <v>0.1</v>
      </c>
      <c r="R20">
        <f>(ventas[[#This Row],[precio_unitario]]*ventas[[#This Row],[cantidad]])</f>
        <v>55000</v>
      </c>
      <c r="S20">
        <f>ventas[[#This Row],[Total_Productos]]*ventas[[#This Row],[descuento_pct]]</f>
        <v>5500</v>
      </c>
      <c r="T20">
        <f>ventas[[#This Row],[Total_Productos]]-ventas[[#This Row],[Valor_descuento]]</f>
        <v>49500</v>
      </c>
    </row>
    <row r="21" spans="1:20" x14ac:dyDescent="0.3">
      <c r="A21">
        <v>437</v>
      </c>
      <c r="B21" s="1">
        <v>45364</v>
      </c>
      <c r="C21">
        <v>10</v>
      </c>
      <c r="D21">
        <v>7</v>
      </c>
      <c r="E21">
        <v>37</v>
      </c>
      <c r="F21" t="s">
        <v>251</v>
      </c>
      <c r="G21" t="s">
        <v>252</v>
      </c>
      <c r="H21" t="s">
        <v>19</v>
      </c>
      <c r="I21">
        <v>40</v>
      </c>
      <c r="J21" t="s">
        <v>37</v>
      </c>
      <c r="K21" t="str">
        <f>_xlfn.XLOOKUP( ventas[[#This Row],[ciudad_cliente]],  ciudades[Ciudad], ciudades[Region])</f>
        <v>Valparaíso</v>
      </c>
      <c r="L21" t="s">
        <v>38</v>
      </c>
      <c r="M21" t="s">
        <v>49</v>
      </c>
      <c r="N21" t="str">
        <f>_xlfn.XLOOKUP(ventas[[#This Row],[producto]], categ[Producto], categ[Categoria])</f>
        <v>Electrohogar</v>
      </c>
      <c r="O21">
        <v>800000</v>
      </c>
      <c r="P21">
        <v>3</v>
      </c>
      <c r="Q21" s="11">
        <v>0.1</v>
      </c>
      <c r="R21">
        <f>(ventas[[#This Row],[precio_unitario]]*ventas[[#This Row],[cantidad]])</f>
        <v>2400000</v>
      </c>
      <c r="S21">
        <f>ventas[[#This Row],[Total_Productos]]*ventas[[#This Row],[descuento_pct]]</f>
        <v>240000</v>
      </c>
      <c r="T21">
        <f>ventas[[#This Row],[Total_Productos]]-ventas[[#This Row],[Valor_descuento]]</f>
        <v>2160000</v>
      </c>
    </row>
    <row r="22" spans="1:20" x14ac:dyDescent="0.3">
      <c r="A22">
        <v>486</v>
      </c>
      <c r="B22" s="1">
        <v>45413</v>
      </c>
      <c r="C22">
        <v>65</v>
      </c>
      <c r="D22">
        <v>0</v>
      </c>
      <c r="E22">
        <v>37</v>
      </c>
      <c r="F22" t="s">
        <v>251</v>
      </c>
      <c r="G22" t="s">
        <v>252</v>
      </c>
      <c r="H22" t="s">
        <v>19</v>
      </c>
      <c r="I22">
        <v>40</v>
      </c>
      <c r="J22" t="s">
        <v>101</v>
      </c>
      <c r="K22" t="str">
        <f>_xlfn.XLOOKUP( ventas[[#This Row],[ciudad_cliente]],  ciudades[Ciudad], ciudades[Region])</f>
        <v>O'Higgins</v>
      </c>
      <c r="L22" t="s">
        <v>38</v>
      </c>
      <c r="M22" t="s">
        <v>30</v>
      </c>
      <c r="N22" t="str">
        <f>_xlfn.XLOOKUP(ventas[[#This Row],[producto]], categ[Producto], categ[Categoria])</f>
        <v>Electrohogar</v>
      </c>
      <c r="O22">
        <v>700000</v>
      </c>
      <c r="P22">
        <v>1</v>
      </c>
      <c r="Q22" s="11">
        <v>0</v>
      </c>
      <c r="R22">
        <f>(ventas[[#This Row],[precio_unitario]]*ventas[[#This Row],[cantidad]])</f>
        <v>700000</v>
      </c>
      <c r="S22">
        <f>ventas[[#This Row],[Total_Productos]]*ventas[[#This Row],[descuento_pct]]</f>
        <v>0</v>
      </c>
      <c r="T22">
        <f>ventas[[#This Row],[Total_Productos]]-ventas[[#This Row],[Valor_descuento]]</f>
        <v>700000</v>
      </c>
    </row>
    <row r="23" spans="1:20" x14ac:dyDescent="0.3">
      <c r="A23">
        <v>586</v>
      </c>
      <c r="B23" s="1">
        <v>45513</v>
      </c>
      <c r="C23">
        <v>10</v>
      </c>
      <c r="D23">
        <v>7</v>
      </c>
      <c r="E23">
        <v>37</v>
      </c>
      <c r="F23" t="s">
        <v>251</v>
      </c>
      <c r="G23" t="s">
        <v>252</v>
      </c>
      <c r="H23" t="s">
        <v>19</v>
      </c>
      <c r="I23">
        <v>40</v>
      </c>
      <c r="J23" t="s">
        <v>37</v>
      </c>
      <c r="K23" t="str">
        <f>_xlfn.XLOOKUP( ventas[[#This Row],[ciudad_cliente]],  ciudades[Ciudad], ciudades[Region])</f>
        <v>Valparaíso</v>
      </c>
      <c r="L23" t="s">
        <v>29</v>
      </c>
      <c r="M23" t="s">
        <v>62</v>
      </c>
      <c r="N23" t="str">
        <f>_xlfn.XLOOKUP(ventas[[#This Row],[producto]], categ[Producto], categ[Categoria])</f>
        <v>Electrohogar</v>
      </c>
      <c r="O23">
        <v>650000</v>
      </c>
      <c r="P23">
        <v>3</v>
      </c>
      <c r="Q23" s="11">
        <v>0.05</v>
      </c>
      <c r="R23">
        <f>(ventas[[#This Row],[precio_unitario]]*ventas[[#This Row],[cantidad]])</f>
        <v>1950000</v>
      </c>
      <c r="S23">
        <f>ventas[[#This Row],[Total_Productos]]*ventas[[#This Row],[descuento_pct]]</f>
        <v>97500</v>
      </c>
      <c r="T23">
        <f>ventas[[#This Row],[Total_Productos]]-ventas[[#This Row],[Valor_descuento]]</f>
        <v>1852500</v>
      </c>
    </row>
    <row r="24" spans="1:20" x14ac:dyDescent="0.3">
      <c r="A24">
        <v>638</v>
      </c>
      <c r="B24" s="1">
        <v>45565</v>
      </c>
      <c r="C24">
        <v>47</v>
      </c>
      <c r="D24">
        <v>1</v>
      </c>
      <c r="E24">
        <v>37</v>
      </c>
      <c r="F24" t="s">
        <v>251</v>
      </c>
      <c r="G24" t="s">
        <v>252</v>
      </c>
      <c r="H24" t="s">
        <v>19</v>
      </c>
      <c r="I24">
        <v>40</v>
      </c>
      <c r="J24" t="s">
        <v>116</v>
      </c>
      <c r="K24" t="str">
        <f>_xlfn.XLOOKUP( ventas[[#This Row],[ciudad_cliente]],  ciudades[Ciudad], ciudades[Region])</f>
        <v>Valparaíso</v>
      </c>
      <c r="L24" t="s">
        <v>22</v>
      </c>
      <c r="M24" t="s">
        <v>102</v>
      </c>
      <c r="N24" t="str">
        <f>_xlfn.XLOOKUP(ventas[[#This Row],[producto]], categ[Producto], categ[Categoria])</f>
        <v>Vestuario</v>
      </c>
      <c r="O24">
        <v>12000</v>
      </c>
      <c r="P24">
        <v>2</v>
      </c>
      <c r="Q24" s="11">
        <v>0.05</v>
      </c>
      <c r="R24">
        <f>(ventas[[#This Row],[precio_unitario]]*ventas[[#This Row],[cantidad]])</f>
        <v>24000</v>
      </c>
      <c r="S24">
        <f>ventas[[#This Row],[Total_Productos]]*ventas[[#This Row],[descuento_pct]]</f>
        <v>1200</v>
      </c>
      <c r="T24">
        <f>ventas[[#This Row],[Total_Productos]]-ventas[[#This Row],[Valor_descuento]]</f>
        <v>22800</v>
      </c>
    </row>
    <row r="25" spans="1:20" x14ac:dyDescent="0.3">
      <c r="A25">
        <v>692</v>
      </c>
      <c r="B25" s="1">
        <v>45619</v>
      </c>
      <c r="C25">
        <v>62</v>
      </c>
      <c r="D25">
        <v>4</v>
      </c>
      <c r="E25">
        <v>37</v>
      </c>
      <c r="F25" t="s">
        <v>251</v>
      </c>
      <c r="G25" t="s">
        <v>252</v>
      </c>
      <c r="H25" t="s">
        <v>19</v>
      </c>
      <c r="I25">
        <v>40</v>
      </c>
      <c r="J25" t="s">
        <v>76</v>
      </c>
      <c r="K25" t="str">
        <f>_xlfn.XLOOKUP( ventas[[#This Row],[ciudad_cliente]],  ciudades[Ciudad], ciudades[Region])</f>
        <v>Los Lagos</v>
      </c>
      <c r="L25" t="s">
        <v>38</v>
      </c>
      <c r="M25" t="s">
        <v>69</v>
      </c>
      <c r="N25" t="str">
        <f>_xlfn.XLOOKUP(ventas[[#This Row],[producto]], categ[Producto], categ[Categoria])</f>
        <v>Tecnología</v>
      </c>
      <c r="O25">
        <v>450000</v>
      </c>
      <c r="P25">
        <v>3</v>
      </c>
      <c r="Q25" s="11">
        <v>0</v>
      </c>
      <c r="R25">
        <f>(ventas[[#This Row],[precio_unitario]]*ventas[[#This Row],[cantidad]])</f>
        <v>1350000</v>
      </c>
      <c r="S25">
        <f>ventas[[#This Row],[Total_Productos]]*ventas[[#This Row],[descuento_pct]]</f>
        <v>0</v>
      </c>
      <c r="T25">
        <f>ventas[[#This Row],[Total_Productos]]-ventas[[#This Row],[Valor_descuento]]</f>
        <v>1350000</v>
      </c>
    </row>
    <row r="26" spans="1:20" x14ac:dyDescent="0.3">
      <c r="A26">
        <v>822</v>
      </c>
      <c r="B26" s="1">
        <v>45749</v>
      </c>
      <c r="C26">
        <v>70</v>
      </c>
      <c r="D26">
        <v>6</v>
      </c>
      <c r="E26">
        <v>37</v>
      </c>
      <c r="F26" t="s">
        <v>251</v>
      </c>
      <c r="G26" t="s">
        <v>252</v>
      </c>
      <c r="H26" t="s">
        <v>19</v>
      </c>
      <c r="I26">
        <v>40</v>
      </c>
      <c r="J26" t="s">
        <v>27</v>
      </c>
      <c r="K26" t="str">
        <f>_xlfn.XLOOKUP( ventas[[#This Row],[ciudad_cliente]],  ciudades[Ciudad], ciudades[Region])</f>
        <v>Biobío</v>
      </c>
      <c r="L26" t="s">
        <v>38</v>
      </c>
      <c r="M26" t="s">
        <v>69</v>
      </c>
      <c r="N26" t="str">
        <f>_xlfn.XLOOKUP(ventas[[#This Row],[producto]], categ[Producto], categ[Categoria])</f>
        <v>Tecnología</v>
      </c>
      <c r="O26">
        <v>450000</v>
      </c>
      <c r="P26">
        <v>1</v>
      </c>
      <c r="Q26" s="11">
        <v>0</v>
      </c>
      <c r="R26">
        <f>(ventas[[#This Row],[precio_unitario]]*ventas[[#This Row],[cantidad]])</f>
        <v>450000</v>
      </c>
      <c r="S26">
        <f>ventas[[#This Row],[Total_Productos]]*ventas[[#This Row],[descuento_pct]]</f>
        <v>0</v>
      </c>
      <c r="T26">
        <f>ventas[[#This Row],[Total_Productos]]-ventas[[#This Row],[Valor_descuento]]</f>
        <v>450000</v>
      </c>
    </row>
    <row r="27" spans="1:20" x14ac:dyDescent="0.3">
      <c r="A27">
        <v>860</v>
      </c>
      <c r="B27" s="1">
        <v>45787</v>
      </c>
      <c r="C27">
        <v>51</v>
      </c>
      <c r="D27">
        <v>7</v>
      </c>
      <c r="E27">
        <v>37</v>
      </c>
      <c r="F27" t="s">
        <v>251</v>
      </c>
      <c r="G27" t="s">
        <v>252</v>
      </c>
      <c r="H27" t="s">
        <v>19</v>
      </c>
      <c r="I27">
        <v>40</v>
      </c>
      <c r="J27" t="s">
        <v>101</v>
      </c>
      <c r="K27" t="str">
        <f>_xlfn.XLOOKUP( ventas[[#This Row],[ciudad_cliente]],  ciudades[Ciudad], ciudades[Region])</f>
        <v>O'Higgins</v>
      </c>
      <c r="L27" t="s">
        <v>22</v>
      </c>
      <c r="M27" t="s">
        <v>102</v>
      </c>
      <c r="N27" t="str">
        <f>_xlfn.XLOOKUP(ventas[[#This Row],[producto]], categ[Producto], categ[Categoria])</f>
        <v>Vestuario</v>
      </c>
      <c r="O27">
        <v>12000</v>
      </c>
      <c r="P27">
        <v>1</v>
      </c>
      <c r="Q27" s="11">
        <v>0</v>
      </c>
      <c r="R27">
        <f>(ventas[[#This Row],[precio_unitario]]*ventas[[#This Row],[cantidad]])</f>
        <v>12000</v>
      </c>
      <c r="S27">
        <f>ventas[[#This Row],[Total_Productos]]*ventas[[#This Row],[descuento_pct]]</f>
        <v>0</v>
      </c>
      <c r="T27">
        <f>ventas[[#This Row],[Total_Productos]]-ventas[[#This Row],[Valor_descuento]]</f>
        <v>12000</v>
      </c>
    </row>
    <row r="28" spans="1:20" x14ac:dyDescent="0.3">
      <c r="A28">
        <v>493</v>
      </c>
      <c r="B28" s="1">
        <v>45420</v>
      </c>
      <c r="C28">
        <v>28</v>
      </c>
      <c r="D28">
        <v>5</v>
      </c>
      <c r="E28">
        <v>181</v>
      </c>
      <c r="F28" t="s">
        <v>536</v>
      </c>
      <c r="G28" t="s">
        <v>537</v>
      </c>
      <c r="H28" t="s">
        <v>19</v>
      </c>
      <c r="I28">
        <v>45</v>
      </c>
      <c r="J28" t="s">
        <v>116</v>
      </c>
      <c r="K28" t="str">
        <f>_xlfn.XLOOKUP( ventas[[#This Row],[ciudad_cliente]],  ciudades[Ciudad], ciudades[Region])</f>
        <v>Valparaíso</v>
      </c>
      <c r="L28" t="s">
        <v>29</v>
      </c>
      <c r="M28" t="s">
        <v>23</v>
      </c>
      <c r="N28" t="str">
        <f>_xlfn.XLOOKUP(ventas[[#This Row],[producto]], categ[Producto], categ[Categoria])</f>
        <v>Belleza</v>
      </c>
      <c r="O28">
        <v>15000</v>
      </c>
      <c r="P28">
        <v>3</v>
      </c>
      <c r="Q28" s="11">
        <v>0.05</v>
      </c>
      <c r="R28">
        <f>(ventas[[#This Row],[precio_unitario]]*ventas[[#This Row],[cantidad]])</f>
        <v>45000</v>
      </c>
      <c r="S28">
        <f>ventas[[#This Row],[Total_Productos]]*ventas[[#This Row],[descuento_pct]]</f>
        <v>2250</v>
      </c>
      <c r="T28">
        <f>ventas[[#This Row],[Total_Productos]]-ventas[[#This Row],[Valor_descuento]]</f>
        <v>42750</v>
      </c>
    </row>
    <row r="29" spans="1:20" x14ac:dyDescent="0.3">
      <c r="A29">
        <v>636</v>
      </c>
      <c r="B29" s="1">
        <v>45563</v>
      </c>
      <c r="C29">
        <v>5</v>
      </c>
      <c r="D29">
        <v>1</v>
      </c>
      <c r="E29">
        <v>181</v>
      </c>
      <c r="F29" t="s">
        <v>536</v>
      </c>
      <c r="G29" t="s">
        <v>537</v>
      </c>
      <c r="H29" t="s">
        <v>19</v>
      </c>
      <c r="I29">
        <v>45</v>
      </c>
      <c r="J29" t="s">
        <v>27</v>
      </c>
      <c r="K29" t="str">
        <f>_xlfn.XLOOKUP( ventas[[#This Row],[ciudad_cliente]],  ciudades[Ciudad], ciudades[Region])</f>
        <v>Biobío</v>
      </c>
      <c r="L29" t="s">
        <v>29</v>
      </c>
      <c r="M29" t="s">
        <v>98</v>
      </c>
      <c r="N29" t="str">
        <f>_xlfn.XLOOKUP(ventas[[#This Row],[producto]], categ[Producto], categ[Categoria])</f>
        <v>Calzado</v>
      </c>
      <c r="O29">
        <v>55000</v>
      </c>
      <c r="P29">
        <v>3</v>
      </c>
      <c r="Q29" s="11">
        <v>0.1</v>
      </c>
      <c r="R29">
        <f>(ventas[[#This Row],[precio_unitario]]*ventas[[#This Row],[cantidad]])</f>
        <v>165000</v>
      </c>
      <c r="S29">
        <f>ventas[[#This Row],[Total_Productos]]*ventas[[#This Row],[descuento_pct]]</f>
        <v>16500</v>
      </c>
      <c r="T29">
        <f>ventas[[#This Row],[Total_Productos]]-ventas[[#This Row],[Valor_descuento]]</f>
        <v>148500</v>
      </c>
    </row>
    <row r="30" spans="1:20" x14ac:dyDescent="0.3">
      <c r="A30">
        <v>128</v>
      </c>
      <c r="B30" s="1">
        <v>45055</v>
      </c>
      <c r="C30">
        <v>27</v>
      </c>
      <c r="D30">
        <v>4</v>
      </c>
      <c r="E30">
        <v>88</v>
      </c>
      <c r="F30" t="s">
        <v>265</v>
      </c>
      <c r="G30" t="s">
        <v>266</v>
      </c>
      <c r="H30" t="s">
        <v>19</v>
      </c>
      <c r="I30">
        <v>41</v>
      </c>
      <c r="J30" t="s">
        <v>116</v>
      </c>
      <c r="K30" t="str">
        <f>_xlfn.XLOOKUP( ventas[[#This Row],[ciudad_cliente]],  ciudades[Ciudad], ciudades[Region])</f>
        <v>Valparaíso</v>
      </c>
      <c r="L30" t="s">
        <v>38</v>
      </c>
      <c r="M30" t="s">
        <v>46</v>
      </c>
      <c r="N30" t="str">
        <f>_xlfn.XLOOKUP(ventas[[#This Row],[producto]], categ[Producto], categ[Categoria])</f>
        <v>Tecnología</v>
      </c>
      <c r="O30">
        <v>750000</v>
      </c>
      <c r="P30">
        <v>2</v>
      </c>
      <c r="Q30" s="11">
        <v>0</v>
      </c>
      <c r="R30">
        <f>(ventas[[#This Row],[precio_unitario]]*ventas[[#This Row],[cantidad]])</f>
        <v>1500000</v>
      </c>
      <c r="S30">
        <f>ventas[[#This Row],[Total_Productos]]*ventas[[#This Row],[descuento_pct]]</f>
        <v>0</v>
      </c>
      <c r="T30">
        <f>ventas[[#This Row],[Total_Productos]]-ventas[[#This Row],[Valor_descuento]]</f>
        <v>1500000</v>
      </c>
    </row>
    <row r="31" spans="1:20" x14ac:dyDescent="0.3">
      <c r="A31">
        <v>785</v>
      </c>
      <c r="B31" s="1">
        <v>45712</v>
      </c>
      <c r="C31">
        <v>46</v>
      </c>
      <c r="D31">
        <v>5</v>
      </c>
      <c r="E31">
        <v>88</v>
      </c>
      <c r="F31" t="s">
        <v>265</v>
      </c>
      <c r="G31" t="s">
        <v>266</v>
      </c>
      <c r="H31" t="s">
        <v>19</v>
      </c>
      <c r="I31">
        <v>41</v>
      </c>
      <c r="J31" t="s">
        <v>84</v>
      </c>
      <c r="K31" t="str">
        <f>_xlfn.XLOOKUP( ventas[[#This Row],[ciudad_cliente]],  ciudades[Ciudad], ciudades[Region])</f>
        <v>Coquimbo</v>
      </c>
      <c r="L31" t="s">
        <v>38</v>
      </c>
      <c r="M31" t="s">
        <v>102</v>
      </c>
      <c r="N31" t="str">
        <f>_xlfn.XLOOKUP(ventas[[#This Row],[producto]], categ[Producto], categ[Categoria])</f>
        <v>Vestuario</v>
      </c>
      <c r="O31">
        <v>12000</v>
      </c>
      <c r="P31">
        <v>3</v>
      </c>
      <c r="Q31" s="11">
        <v>0.1</v>
      </c>
      <c r="R31">
        <f>(ventas[[#This Row],[precio_unitario]]*ventas[[#This Row],[cantidad]])</f>
        <v>36000</v>
      </c>
      <c r="S31">
        <f>ventas[[#This Row],[Total_Productos]]*ventas[[#This Row],[descuento_pct]]</f>
        <v>3600</v>
      </c>
      <c r="T31">
        <f>ventas[[#This Row],[Total_Productos]]-ventas[[#This Row],[Valor_descuento]]</f>
        <v>32400</v>
      </c>
    </row>
    <row r="32" spans="1:20" x14ac:dyDescent="0.3">
      <c r="A32">
        <v>253</v>
      </c>
      <c r="B32" s="1">
        <v>45180</v>
      </c>
      <c r="C32">
        <v>70</v>
      </c>
      <c r="D32">
        <v>6</v>
      </c>
      <c r="E32">
        <v>21</v>
      </c>
      <c r="F32" t="s">
        <v>402</v>
      </c>
      <c r="G32" t="s">
        <v>403</v>
      </c>
      <c r="H32" t="s">
        <v>19</v>
      </c>
      <c r="I32">
        <v>55</v>
      </c>
      <c r="J32" t="s">
        <v>27</v>
      </c>
      <c r="K32" t="str">
        <f>_xlfn.XLOOKUP( ventas[[#This Row],[ciudad_cliente]],  ciudades[Ciudad], ciudades[Region])</f>
        <v>Biobío</v>
      </c>
      <c r="L32" t="s">
        <v>38</v>
      </c>
      <c r="M32" t="s">
        <v>46</v>
      </c>
      <c r="N32" t="str">
        <f>_xlfn.XLOOKUP(ventas[[#This Row],[producto]], categ[Producto], categ[Categoria])</f>
        <v>Tecnología</v>
      </c>
      <c r="O32">
        <v>750000</v>
      </c>
      <c r="P32">
        <v>1</v>
      </c>
      <c r="Q32" s="11">
        <v>0.05</v>
      </c>
      <c r="R32">
        <f>(ventas[[#This Row],[precio_unitario]]*ventas[[#This Row],[cantidad]])</f>
        <v>750000</v>
      </c>
      <c r="S32">
        <f>ventas[[#This Row],[Total_Productos]]*ventas[[#This Row],[descuento_pct]]</f>
        <v>37500</v>
      </c>
      <c r="T32">
        <f>ventas[[#This Row],[Total_Productos]]-ventas[[#This Row],[Valor_descuento]]</f>
        <v>712500</v>
      </c>
    </row>
    <row r="33" spans="1:20" x14ac:dyDescent="0.3">
      <c r="A33">
        <v>383</v>
      </c>
      <c r="B33" s="1">
        <v>45310</v>
      </c>
      <c r="C33">
        <v>38</v>
      </c>
      <c r="D33">
        <v>8</v>
      </c>
      <c r="E33">
        <v>21</v>
      </c>
      <c r="F33" t="s">
        <v>402</v>
      </c>
      <c r="G33" t="s">
        <v>403</v>
      </c>
      <c r="H33" t="s">
        <v>19</v>
      </c>
      <c r="I33">
        <v>55</v>
      </c>
      <c r="J33" t="s">
        <v>52</v>
      </c>
      <c r="K33" t="str">
        <f>_xlfn.XLOOKUP( ventas[[#This Row],[ciudad_cliente]],  ciudades[Ciudad], ciudades[Region])</f>
        <v>Biobío</v>
      </c>
      <c r="L33" t="s">
        <v>22</v>
      </c>
      <c r="M33" t="s">
        <v>46</v>
      </c>
      <c r="N33" t="str">
        <f>_xlfn.XLOOKUP(ventas[[#This Row],[producto]], categ[Producto], categ[Categoria])</f>
        <v>Tecnología</v>
      </c>
      <c r="O33">
        <v>750000</v>
      </c>
      <c r="P33">
        <v>2</v>
      </c>
      <c r="Q33" s="11">
        <v>0</v>
      </c>
      <c r="R33">
        <f>(ventas[[#This Row],[precio_unitario]]*ventas[[#This Row],[cantidad]])</f>
        <v>1500000</v>
      </c>
      <c r="S33">
        <f>ventas[[#This Row],[Total_Productos]]*ventas[[#This Row],[descuento_pct]]</f>
        <v>0</v>
      </c>
      <c r="T33">
        <f>ventas[[#This Row],[Total_Productos]]-ventas[[#This Row],[Valor_descuento]]</f>
        <v>1500000</v>
      </c>
    </row>
    <row r="34" spans="1:20" x14ac:dyDescent="0.3">
      <c r="A34">
        <v>159</v>
      </c>
      <c r="B34" s="1">
        <v>45086</v>
      </c>
      <c r="C34">
        <v>40</v>
      </c>
      <c r="D34">
        <v>1</v>
      </c>
      <c r="E34">
        <v>174</v>
      </c>
      <c r="F34" t="s">
        <v>304</v>
      </c>
      <c r="G34" t="s">
        <v>305</v>
      </c>
      <c r="H34" t="s">
        <v>42</v>
      </c>
      <c r="I34">
        <v>42</v>
      </c>
      <c r="J34" t="s">
        <v>27</v>
      </c>
      <c r="K34" t="str">
        <f>_xlfn.XLOOKUP( ventas[[#This Row],[ciudad_cliente]],  ciudades[Ciudad], ciudades[Region])</f>
        <v>Biobío</v>
      </c>
      <c r="L34" t="s">
        <v>38</v>
      </c>
      <c r="M34" t="s">
        <v>62</v>
      </c>
      <c r="N34" t="str">
        <f>_xlfn.XLOOKUP(ventas[[#This Row],[producto]], categ[Producto], categ[Categoria])</f>
        <v>Electrohogar</v>
      </c>
      <c r="O34">
        <v>650000</v>
      </c>
      <c r="P34">
        <v>2</v>
      </c>
      <c r="Q34" s="11">
        <v>0</v>
      </c>
      <c r="R34">
        <f>(ventas[[#This Row],[precio_unitario]]*ventas[[#This Row],[cantidad]])</f>
        <v>1300000</v>
      </c>
      <c r="S34">
        <f>ventas[[#This Row],[Total_Productos]]*ventas[[#This Row],[descuento_pct]]</f>
        <v>0</v>
      </c>
      <c r="T34">
        <f>ventas[[#This Row],[Total_Productos]]-ventas[[#This Row],[Valor_descuento]]</f>
        <v>1300000</v>
      </c>
    </row>
    <row r="35" spans="1:20" x14ac:dyDescent="0.3">
      <c r="A35">
        <v>944</v>
      </c>
      <c r="B35" s="1">
        <v>45871</v>
      </c>
      <c r="C35">
        <v>49</v>
      </c>
      <c r="D35">
        <v>1</v>
      </c>
      <c r="E35">
        <v>174</v>
      </c>
      <c r="F35" t="s">
        <v>304</v>
      </c>
      <c r="G35" t="s">
        <v>305</v>
      </c>
      <c r="H35" t="s">
        <v>42</v>
      </c>
      <c r="I35">
        <v>42</v>
      </c>
      <c r="J35" t="s">
        <v>43</v>
      </c>
      <c r="K35" t="str">
        <f>_xlfn.XLOOKUP( ventas[[#This Row],[ciudad_cliente]],  ciudades[Ciudad], ciudades[Region])</f>
        <v>Antofagasta</v>
      </c>
      <c r="L35" t="s">
        <v>38</v>
      </c>
      <c r="M35" t="s">
        <v>102</v>
      </c>
      <c r="N35" t="str">
        <f>_xlfn.XLOOKUP(ventas[[#This Row],[producto]], categ[Producto], categ[Categoria])</f>
        <v>Vestuario</v>
      </c>
      <c r="O35">
        <v>12000</v>
      </c>
      <c r="P35">
        <v>3</v>
      </c>
      <c r="Q35" s="11">
        <v>0</v>
      </c>
      <c r="R35">
        <f>(ventas[[#This Row],[precio_unitario]]*ventas[[#This Row],[cantidad]])</f>
        <v>36000</v>
      </c>
      <c r="S35">
        <f>ventas[[#This Row],[Total_Productos]]*ventas[[#This Row],[descuento_pct]]</f>
        <v>0</v>
      </c>
      <c r="T35">
        <f>ventas[[#This Row],[Total_Productos]]-ventas[[#This Row],[Valor_descuento]]</f>
        <v>36000</v>
      </c>
    </row>
    <row r="36" spans="1:20" x14ac:dyDescent="0.3">
      <c r="A36">
        <v>131</v>
      </c>
      <c r="B36" s="1">
        <v>45058</v>
      </c>
      <c r="C36">
        <v>47</v>
      </c>
      <c r="D36">
        <v>1</v>
      </c>
      <c r="E36">
        <v>147</v>
      </c>
      <c r="F36" t="s">
        <v>269</v>
      </c>
      <c r="G36" t="s">
        <v>270</v>
      </c>
      <c r="H36" t="s">
        <v>42</v>
      </c>
      <c r="I36">
        <v>23</v>
      </c>
      <c r="J36" t="s">
        <v>116</v>
      </c>
      <c r="K36" t="str">
        <f>_xlfn.XLOOKUP( ventas[[#This Row],[ciudad_cliente]],  ciudades[Ciudad], ciudades[Region])</f>
        <v>Valparaíso</v>
      </c>
      <c r="L36" t="s">
        <v>38</v>
      </c>
      <c r="M36" t="s">
        <v>23</v>
      </c>
      <c r="N36" t="str">
        <f>_xlfn.XLOOKUP(ventas[[#This Row],[producto]], categ[Producto], categ[Categoria])</f>
        <v>Belleza</v>
      </c>
      <c r="O36">
        <v>15000</v>
      </c>
      <c r="P36">
        <v>2</v>
      </c>
      <c r="Q36" s="11">
        <v>0</v>
      </c>
      <c r="R36">
        <f>(ventas[[#This Row],[precio_unitario]]*ventas[[#This Row],[cantidad]])</f>
        <v>30000</v>
      </c>
      <c r="S36">
        <f>ventas[[#This Row],[Total_Productos]]*ventas[[#This Row],[descuento_pct]]</f>
        <v>0</v>
      </c>
      <c r="T36">
        <f>ventas[[#This Row],[Total_Productos]]-ventas[[#This Row],[Valor_descuento]]</f>
        <v>30000</v>
      </c>
    </row>
    <row r="37" spans="1:20" x14ac:dyDescent="0.3">
      <c r="A37">
        <v>217</v>
      </c>
      <c r="B37" s="1">
        <v>45144</v>
      </c>
      <c r="C37">
        <v>31</v>
      </c>
      <c r="D37">
        <v>4</v>
      </c>
      <c r="E37">
        <v>147</v>
      </c>
      <c r="F37" t="s">
        <v>269</v>
      </c>
      <c r="G37" t="s">
        <v>270</v>
      </c>
      <c r="H37" t="s">
        <v>42</v>
      </c>
      <c r="I37">
        <v>23</v>
      </c>
      <c r="J37" t="s">
        <v>101</v>
      </c>
      <c r="K37" t="str">
        <f>_xlfn.XLOOKUP( ventas[[#This Row],[ciudad_cliente]],  ciudades[Ciudad], ciudades[Region])</f>
        <v>O'Higgins</v>
      </c>
      <c r="L37" t="s">
        <v>38</v>
      </c>
      <c r="M37" t="s">
        <v>69</v>
      </c>
      <c r="N37" t="str">
        <f>_xlfn.XLOOKUP(ventas[[#This Row],[producto]], categ[Producto], categ[Categoria])</f>
        <v>Tecnología</v>
      </c>
      <c r="O37">
        <v>450000</v>
      </c>
      <c r="P37">
        <v>3</v>
      </c>
      <c r="Q37" s="11">
        <v>0.1</v>
      </c>
      <c r="R37">
        <f>(ventas[[#This Row],[precio_unitario]]*ventas[[#This Row],[cantidad]])</f>
        <v>1350000</v>
      </c>
      <c r="S37">
        <f>ventas[[#This Row],[Total_Productos]]*ventas[[#This Row],[descuento_pct]]</f>
        <v>135000</v>
      </c>
      <c r="T37">
        <f>ventas[[#This Row],[Total_Productos]]-ventas[[#This Row],[Valor_descuento]]</f>
        <v>1215000</v>
      </c>
    </row>
    <row r="38" spans="1:20" x14ac:dyDescent="0.3">
      <c r="A38">
        <v>254</v>
      </c>
      <c r="B38" s="1">
        <v>45181</v>
      </c>
      <c r="C38">
        <v>28</v>
      </c>
      <c r="D38">
        <v>5</v>
      </c>
      <c r="E38">
        <v>272</v>
      </c>
      <c r="F38" t="s">
        <v>404</v>
      </c>
      <c r="G38" t="s">
        <v>405</v>
      </c>
      <c r="H38" t="s">
        <v>19</v>
      </c>
      <c r="I38">
        <v>20</v>
      </c>
      <c r="J38" t="s">
        <v>116</v>
      </c>
      <c r="K38" t="str">
        <f>_xlfn.XLOOKUP( ventas[[#This Row],[ciudad_cliente]],  ciudades[Ciudad], ciudades[Region])</f>
        <v>Valparaíso</v>
      </c>
      <c r="L38" t="s">
        <v>29</v>
      </c>
      <c r="M38" t="s">
        <v>39</v>
      </c>
      <c r="N38" t="str">
        <f>_xlfn.XLOOKUP(ventas[[#This Row],[producto]], categ[Producto], categ[Categoria])</f>
        <v>Belleza</v>
      </c>
      <c r="O38">
        <v>35000</v>
      </c>
      <c r="P38">
        <v>1</v>
      </c>
      <c r="Q38" s="11">
        <v>0.05</v>
      </c>
      <c r="R38">
        <f>(ventas[[#This Row],[precio_unitario]]*ventas[[#This Row],[cantidad]])</f>
        <v>35000</v>
      </c>
      <c r="S38">
        <f>ventas[[#This Row],[Total_Productos]]*ventas[[#This Row],[descuento_pct]]</f>
        <v>1750</v>
      </c>
      <c r="T38">
        <f>ventas[[#This Row],[Total_Productos]]-ventas[[#This Row],[Valor_descuento]]</f>
        <v>33250</v>
      </c>
    </row>
    <row r="39" spans="1:20" x14ac:dyDescent="0.3">
      <c r="A39">
        <v>293</v>
      </c>
      <c r="B39" s="1">
        <v>45220</v>
      </c>
      <c r="C39">
        <v>20</v>
      </c>
      <c r="D39">
        <v>0</v>
      </c>
      <c r="E39">
        <v>272</v>
      </c>
      <c r="F39" t="s">
        <v>404</v>
      </c>
      <c r="G39" t="s">
        <v>405</v>
      </c>
      <c r="H39" t="s">
        <v>19</v>
      </c>
      <c r="I39">
        <v>20</v>
      </c>
      <c r="J39" t="s">
        <v>20</v>
      </c>
      <c r="K39" t="str">
        <f>_xlfn.XLOOKUP( ventas[[#This Row],[ciudad_cliente]],  ciudades[Ciudad], ciudades[Region])</f>
        <v>La Araucanía</v>
      </c>
      <c r="L39" t="s">
        <v>38</v>
      </c>
      <c r="M39" t="s">
        <v>62</v>
      </c>
      <c r="N39" t="str">
        <f>_xlfn.XLOOKUP(ventas[[#This Row],[producto]], categ[Producto], categ[Categoria])</f>
        <v>Electrohogar</v>
      </c>
      <c r="O39">
        <v>650000</v>
      </c>
      <c r="P39">
        <v>1</v>
      </c>
      <c r="Q39" s="11">
        <v>0</v>
      </c>
      <c r="R39">
        <f>(ventas[[#This Row],[precio_unitario]]*ventas[[#This Row],[cantidad]])</f>
        <v>650000</v>
      </c>
      <c r="S39">
        <f>ventas[[#This Row],[Total_Productos]]*ventas[[#This Row],[descuento_pct]]</f>
        <v>0</v>
      </c>
      <c r="T39">
        <f>ventas[[#This Row],[Total_Productos]]-ventas[[#This Row],[Valor_descuento]]</f>
        <v>650000</v>
      </c>
    </row>
    <row r="40" spans="1:20" x14ac:dyDescent="0.3">
      <c r="A40">
        <v>518</v>
      </c>
      <c r="B40" s="1">
        <v>45445</v>
      </c>
      <c r="C40">
        <v>2</v>
      </c>
      <c r="D40">
        <v>2</v>
      </c>
      <c r="E40">
        <v>272</v>
      </c>
      <c r="F40" t="s">
        <v>404</v>
      </c>
      <c r="G40" t="s">
        <v>405</v>
      </c>
      <c r="H40" t="s">
        <v>19</v>
      </c>
      <c r="I40">
        <v>20</v>
      </c>
      <c r="J40" t="s">
        <v>101</v>
      </c>
      <c r="K40" t="str">
        <f>_xlfn.XLOOKUP( ventas[[#This Row],[ciudad_cliente]],  ciudades[Ciudad], ciudades[Region])</f>
        <v>O'Higgins</v>
      </c>
      <c r="L40" t="s">
        <v>22</v>
      </c>
      <c r="M40" t="s">
        <v>98</v>
      </c>
      <c r="N40" t="str">
        <f>_xlfn.XLOOKUP(ventas[[#This Row],[producto]], categ[Producto], categ[Categoria])</f>
        <v>Calzado</v>
      </c>
      <c r="O40">
        <v>55000</v>
      </c>
      <c r="P40">
        <v>2</v>
      </c>
      <c r="Q40" s="11">
        <v>0</v>
      </c>
      <c r="R40">
        <f>(ventas[[#This Row],[precio_unitario]]*ventas[[#This Row],[cantidad]])</f>
        <v>110000</v>
      </c>
      <c r="S40">
        <f>ventas[[#This Row],[Total_Productos]]*ventas[[#This Row],[descuento_pct]]</f>
        <v>0</v>
      </c>
      <c r="T40">
        <f>ventas[[#This Row],[Total_Productos]]-ventas[[#This Row],[Valor_descuento]]</f>
        <v>110000</v>
      </c>
    </row>
    <row r="41" spans="1:20" x14ac:dyDescent="0.3">
      <c r="A41">
        <v>594</v>
      </c>
      <c r="B41" s="1">
        <v>45521</v>
      </c>
      <c r="C41">
        <v>48</v>
      </c>
      <c r="D41">
        <v>6</v>
      </c>
      <c r="E41">
        <v>272</v>
      </c>
      <c r="F41" t="s">
        <v>404</v>
      </c>
      <c r="G41" t="s">
        <v>405</v>
      </c>
      <c r="H41" t="s">
        <v>19</v>
      </c>
      <c r="I41">
        <v>20</v>
      </c>
      <c r="J41" t="s">
        <v>37</v>
      </c>
      <c r="K41" t="str">
        <f>_xlfn.XLOOKUP( ventas[[#This Row],[ciudad_cliente]],  ciudades[Ciudad], ciudades[Region])</f>
        <v>Valparaíso</v>
      </c>
      <c r="L41" t="s">
        <v>38</v>
      </c>
      <c r="M41" t="s">
        <v>56</v>
      </c>
      <c r="N41" t="str">
        <f>_xlfn.XLOOKUP(ventas[[#This Row],[producto]], categ[Producto], categ[Categoria])</f>
        <v>Vestuario</v>
      </c>
      <c r="O41">
        <v>25000</v>
      </c>
      <c r="P41">
        <v>3</v>
      </c>
      <c r="Q41" s="11">
        <v>0.1</v>
      </c>
      <c r="R41">
        <f>(ventas[[#This Row],[precio_unitario]]*ventas[[#This Row],[cantidad]])</f>
        <v>75000</v>
      </c>
      <c r="S41">
        <f>ventas[[#This Row],[Total_Productos]]*ventas[[#This Row],[descuento_pct]]</f>
        <v>7500</v>
      </c>
      <c r="T41">
        <f>ventas[[#This Row],[Total_Productos]]-ventas[[#This Row],[Valor_descuento]]</f>
        <v>67500</v>
      </c>
    </row>
    <row r="42" spans="1:20" x14ac:dyDescent="0.3">
      <c r="A42">
        <v>909</v>
      </c>
      <c r="B42" s="1">
        <v>45836</v>
      </c>
      <c r="C42">
        <v>53</v>
      </c>
      <c r="D42">
        <v>1</v>
      </c>
      <c r="E42">
        <v>272</v>
      </c>
      <c r="F42" t="s">
        <v>404</v>
      </c>
      <c r="G42" t="s">
        <v>405</v>
      </c>
      <c r="H42" t="s">
        <v>19</v>
      </c>
      <c r="I42">
        <v>20</v>
      </c>
      <c r="J42" t="s">
        <v>76</v>
      </c>
      <c r="K42" t="str">
        <f>_xlfn.XLOOKUP( ventas[[#This Row],[ciudad_cliente]],  ciudades[Ciudad], ciudades[Region])</f>
        <v>Los Lagos</v>
      </c>
      <c r="L42" t="s">
        <v>38</v>
      </c>
      <c r="M42" t="s">
        <v>62</v>
      </c>
      <c r="N42" t="str">
        <f>_xlfn.XLOOKUP(ventas[[#This Row],[producto]], categ[Producto], categ[Categoria])</f>
        <v>Electrohogar</v>
      </c>
      <c r="O42">
        <v>650000</v>
      </c>
      <c r="P42">
        <v>2</v>
      </c>
      <c r="Q42" s="11">
        <v>0.05</v>
      </c>
      <c r="R42">
        <f>(ventas[[#This Row],[precio_unitario]]*ventas[[#This Row],[cantidad]])</f>
        <v>1300000</v>
      </c>
      <c r="S42">
        <f>ventas[[#This Row],[Total_Productos]]*ventas[[#This Row],[descuento_pct]]</f>
        <v>65000</v>
      </c>
      <c r="T42">
        <f>ventas[[#This Row],[Total_Productos]]-ventas[[#This Row],[Valor_descuento]]</f>
        <v>1235000</v>
      </c>
    </row>
    <row r="43" spans="1:20" x14ac:dyDescent="0.3">
      <c r="A43">
        <v>67</v>
      </c>
      <c r="B43" s="1">
        <v>44994</v>
      </c>
      <c r="C43">
        <v>40</v>
      </c>
      <c r="D43">
        <v>1</v>
      </c>
      <c r="E43">
        <v>222</v>
      </c>
      <c r="F43" t="s">
        <v>173</v>
      </c>
      <c r="G43" t="s">
        <v>174</v>
      </c>
      <c r="H43" t="s">
        <v>42</v>
      </c>
      <c r="I43">
        <v>18</v>
      </c>
      <c r="J43" t="s">
        <v>27</v>
      </c>
      <c r="K43" t="str">
        <f>_xlfn.XLOOKUP( ventas[[#This Row],[ciudad_cliente]],  ciudades[Ciudad], ciudades[Region])</f>
        <v>Biobío</v>
      </c>
      <c r="L43" t="s">
        <v>29</v>
      </c>
      <c r="M43" t="s">
        <v>49</v>
      </c>
      <c r="N43" t="str">
        <f>_xlfn.XLOOKUP(ventas[[#This Row],[producto]], categ[Producto], categ[Categoria])</f>
        <v>Electrohogar</v>
      </c>
      <c r="O43">
        <v>800000</v>
      </c>
      <c r="P43">
        <v>3</v>
      </c>
      <c r="Q43" s="11">
        <v>0.1</v>
      </c>
      <c r="R43">
        <f>(ventas[[#This Row],[precio_unitario]]*ventas[[#This Row],[cantidad]])</f>
        <v>2400000</v>
      </c>
      <c r="S43">
        <f>ventas[[#This Row],[Total_Productos]]*ventas[[#This Row],[descuento_pct]]</f>
        <v>240000</v>
      </c>
      <c r="T43">
        <f>ventas[[#This Row],[Total_Productos]]-ventas[[#This Row],[Valor_descuento]]</f>
        <v>2160000</v>
      </c>
    </row>
    <row r="44" spans="1:20" x14ac:dyDescent="0.3">
      <c r="A44">
        <v>311</v>
      </c>
      <c r="B44" s="1">
        <v>45238</v>
      </c>
      <c r="C44">
        <v>61</v>
      </c>
      <c r="D44">
        <v>3</v>
      </c>
      <c r="E44">
        <v>244</v>
      </c>
      <c r="F44" t="s">
        <v>444</v>
      </c>
      <c r="G44" t="s">
        <v>445</v>
      </c>
      <c r="H44" t="s">
        <v>19</v>
      </c>
      <c r="I44">
        <v>48</v>
      </c>
      <c r="J44" t="s">
        <v>52</v>
      </c>
      <c r="K44" t="str">
        <f>_xlfn.XLOOKUP( ventas[[#This Row],[ciudad_cliente]],  ciudades[Ciudad], ciudades[Region])</f>
        <v>Biobío</v>
      </c>
      <c r="L44" t="s">
        <v>38</v>
      </c>
      <c r="M44" t="s">
        <v>98</v>
      </c>
      <c r="N44" t="str">
        <f>_xlfn.XLOOKUP(ventas[[#This Row],[producto]], categ[Producto], categ[Categoria])</f>
        <v>Calzado</v>
      </c>
      <c r="O44">
        <v>55000</v>
      </c>
      <c r="P44">
        <v>2</v>
      </c>
      <c r="Q44" s="11">
        <v>0</v>
      </c>
      <c r="R44">
        <f>(ventas[[#This Row],[precio_unitario]]*ventas[[#This Row],[cantidad]])</f>
        <v>110000</v>
      </c>
      <c r="S44">
        <f>ventas[[#This Row],[Total_Productos]]*ventas[[#This Row],[descuento_pct]]</f>
        <v>0</v>
      </c>
      <c r="T44">
        <f>ventas[[#This Row],[Total_Productos]]-ventas[[#This Row],[Valor_descuento]]</f>
        <v>110000</v>
      </c>
    </row>
    <row r="45" spans="1:20" x14ac:dyDescent="0.3">
      <c r="A45">
        <v>319</v>
      </c>
      <c r="B45" s="1">
        <v>45246</v>
      </c>
      <c r="C45">
        <v>10</v>
      </c>
      <c r="D45">
        <v>7</v>
      </c>
      <c r="E45">
        <v>244</v>
      </c>
      <c r="F45" t="s">
        <v>444</v>
      </c>
      <c r="G45" t="s">
        <v>445</v>
      </c>
      <c r="H45" t="s">
        <v>19</v>
      </c>
      <c r="I45">
        <v>48</v>
      </c>
      <c r="J45" t="s">
        <v>37</v>
      </c>
      <c r="K45" t="str">
        <f>_xlfn.XLOOKUP( ventas[[#This Row],[ciudad_cliente]],  ciudades[Ciudad], ciudades[Region])</f>
        <v>Valparaíso</v>
      </c>
      <c r="L45" t="s">
        <v>38</v>
      </c>
      <c r="M45" t="s">
        <v>102</v>
      </c>
      <c r="N45" t="str">
        <f>_xlfn.XLOOKUP(ventas[[#This Row],[producto]], categ[Producto], categ[Categoria])</f>
        <v>Vestuario</v>
      </c>
      <c r="O45">
        <v>12000</v>
      </c>
      <c r="P45">
        <v>1</v>
      </c>
      <c r="Q45" s="11">
        <v>0</v>
      </c>
      <c r="R45">
        <f>(ventas[[#This Row],[precio_unitario]]*ventas[[#This Row],[cantidad]])</f>
        <v>12000</v>
      </c>
      <c r="S45">
        <f>ventas[[#This Row],[Total_Productos]]*ventas[[#This Row],[descuento_pct]]</f>
        <v>0</v>
      </c>
      <c r="T45">
        <f>ventas[[#This Row],[Total_Productos]]-ventas[[#This Row],[Valor_descuento]]</f>
        <v>12000</v>
      </c>
    </row>
    <row r="46" spans="1:20" x14ac:dyDescent="0.3">
      <c r="A46">
        <v>319</v>
      </c>
      <c r="B46" s="1">
        <v>45246</v>
      </c>
      <c r="C46">
        <v>10</v>
      </c>
      <c r="D46">
        <v>7</v>
      </c>
      <c r="E46">
        <v>244</v>
      </c>
      <c r="F46" t="s">
        <v>444</v>
      </c>
      <c r="G46" t="s">
        <v>445</v>
      </c>
      <c r="H46" t="s">
        <v>19</v>
      </c>
      <c r="I46">
        <v>48</v>
      </c>
      <c r="J46" t="s">
        <v>37</v>
      </c>
      <c r="K46" t="str">
        <f>_xlfn.XLOOKUP( ventas[[#This Row],[ciudad_cliente]],  ciudades[Ciudad], ciudades[Region])</f>
        <v>Valparaíso</v>
      </c>
      <c r="L46" t="s">
        <v>38</v>
      </c>
      <c r="M46" t="s">
        <v>102</v>
      </c>
      <c r="N46" t="str">
        <f>_xlfn.XLOOKUP(ventas[[#This Row],[producto]], categ[Producto], categ[Categoria])</f>
        <v>Vestuario</v>
      </c>
      <c r="O46">
        <v>12000</v>
      </c>
      <c r="P46">
        <v>1</v>
      </c>
      <c r="Q46" s="11">
        <v>0</v>
      </c>
      <c r="R46">
        <f>(ventas[[#This Row],[precio_unitario]]*ventas[[#This Row],[cantidad]])</f>
        <v>12000</v>
      </c>
      <c r="S46">
        <f>ventas[[#This Row],[Total_Productos]]*ventas[[#This Row],[descuento_pct]]</f>
        <v>0</v>
      </c>
      <c r="T46">
        <f>ventas[[#This Row],[Total_Productos]]-ventas[[#This Row],[Valor_descuento]]</f>
        <v>12000</v>
      </c>
    </row>
    <row r="47" spans="1:20" x14ac:dyDescent="0.3">
      <c r="A47">
        <v>338</v>
      </c>
      <c r="B47" s="1">
        <v>45265</v>
      </c>
      <c r="C47">
        <v>2</v>
      </c>
      <c r="D47">
        <v>2</v>
      </c>
      <c r="E47">
        <v>244</v>
      </c>
      <c r="F47" t="s">
        <v>444</v>
      </c>
      <c r="G47" t="s">
        <v>445</v>
      </c>
      <c r="H47" t="s">
        <v>19</v>
      </c>
      <c r="I47">
        <v>48</v>
      </c>
      <c r="J47" t="s">
        <v>101</v>
      </c>
      <c r="K47" t="str">
        <f>_xlfn.XLOOKUP( ventas[[#This Row],[ciudad_cliente]],  ciudades[Ciudad], ciudades[Region])</f>
        <v>O'Higgins</v>
      </c>
      <c r="L47" t="s">
        <v>22</v>
      </c>
      <c r="M47" t="s">
        <v>102</v>
      </c>
      <c r="N47" t="str">
        <f>_xlfn.XLOOKUP(ventas[[#This Row],[producto]], categ[Producto], categ[Categoria])</f>
        <v>Vestuario</v>
      </c>
      <c r="O47">
        <v>12000</v>
      </c>
      <c r="P47">
        <v>3</v>
      </c>
      <c r="Q47" s="11">
        <v>0</v>
      </c>
      <c r="R47">
        <f>(ventas[[#This Row],[precio_unitario]]*ventas[[#This Row],[cantidad]])</f>
        <v>36000</v>
      </c>
      <c r="S47">
        <f>ventas[[#This Row],[Total_Productos]]*ventas[[#This Row],[descuento_pct]]</f>
        <v>0</v>
      </c>
      <c r="T47">
        <f>ventas[[#This Row],[Total_Productos]]-ventas[[#This Row],[Valor_descuento]]</f>
        <v>36000</v>
      </c>
    </row>
    <row r="48" spans="1:20" x14ac:dyDescent="0.3">
      <c r="A48">
        <v>465</v>
      </c>
      <c r="B48" s="1">
        <v>45392</v>
      </c>
      <c r="C48">
        <v>32</v>
      </c>
      <c r="D48">
        <v>5</v>
      </c>
      <c r="E48">
        <v>244</v>
      </c>
      <c r="F48" t="s">
        <v>444</v>
      </c>
      <c r="G48" t="s">
        <v>445</v>
      </c>
      <c r="H48" t="s">
        <v>19</v>
      </c>
      <c r="I48">
        <v>48</v>
      </c>
      <c r="J48" t="s">
        <v>76</v>
      </c>
      <c r="K48" t="str">
        <f>_xlfn.XLOOKUP( ventas[[#This Row],[ciudad_cliente]],  ciudades[Ciudad], ciudades[Region])</f>
        <v>Los Lagos</v>
      </c>
      <c r="L48" t="s">
        <v>38</v>
      </c>
      <c r="M48" t="s">
        <v>102</v>
      </c>
      <c r="N48" t="str">
        <f>_xlfn.XLOOKUP(ventas[[#This Row],[producto]], categ[Producto], categ[Categoria])</f>
        <v>Vestuario</v>
      </c>
      <c r="O48">
        <v>12000</v>
      </c>
      <c r="P48">
        <v>1</v>
      </c>
      <c r="Q48" s="11">
        <v>0.1</v>
      </c>
      <c r="R48">
        <f>(ventas[[#This Row],[precio_unitario]]*ventas[[#This Row],[cantidad]])</f>
        <v>12000</v>
      </c>
      <c r="S48">
        <f>ventas[[#This Row],[Total_Productos]]*ventas[[#This Row],[descuento_pct]]</f>
        <v>1200</v>
      </c>
      <c r="T48">
        <f>ventas[[#This Row],[Total_Productos]]-ventas[[#This Row],[Valor_descuento]]</f>
        <v>10800</v>
      </c>
    </row>
    <row r="49" spans="1:20" x14ac:dyDescent="0.3">
      <c r="A49">
        <v>95</v>
      </c>
      <c r="B49" s="1">
        <v>45022</v>
      </c>
      <c r="C49">
        <v>5</v>
      </c>
      <c r="D49">
        <v>1</v>
      </c>
      <c r="E49">
        <v>1</v>
      </c>
      <c r="F49" t="s">
        <v>219</v>
      </c>
      <c r="G49" t="s">
        <v>220</v>
      </c>
      <c r="H49" t="s">
        <v>19</v>
      </c>
      <c r="I49">
        <v>43</v>
      </c>
      <c r="J49" t="s">
        <v>27</v>
      </c>
      <c r="K49" t="str">
        <f>_xlfn.XLOOKUP( ventas[[#This Row],[ciudad_cliente]],  ciudades[Ciudad], ciudades[Region])</f>
        <v>Biobío</v>
      </c>
      <c r="L49" t="s">
        <v>22</v>
      </c>
      <c r="M49" t="s">
        <v>46</v>
      </c>
      <c r="N49" t="str">
        <f>_xlfn.XLOOKUP(ventas[[#This Row],[producto]], categ[Producto], categ[Categoria])</f>
        <v>Tecnología</v>
      </c>
      <c r="O49">
        <v>750000</v>
      </c>
      <c r="P49">
        <v>2</v>
      </c>
      <c r="Q49" s="11">
        <v>0</v>
      </c>
      <c r="R49">
        <f>(ventas[[#This Row],[precio_unitario]]*ventas[[#This Row],[cantidad]])</f>
        <v>1500000</v>
      </c>
      <c r="S49">
        <f>ventas[[#This Row],[Total_Productos]]*ventas[[#This Row],[descuento_pct]]</f>
        <v>0</v>
      </c>
      <c r="T49">
        <f>ventas[[#This Row],[Total_Productos]]-ventas[[#This Row],[Valor_descuento]]</f>
        <v>1500000</v>
      </c>
    </row>
    <row r="50" spans="1:20" x14ac:dyDescent="0.3">
      <c r="A50">
        <v>441</v>
      </c>
      <c r="B50" s="1">
        <v>45368</v>
      </c>
      <c r="C50">
        <v>41</v>
      </c>
      <c r="D50">
        <v>4</v>
      </c>
      <c r="E50">
        <v>1</v>
      </c>
      <c r="F50" t="s">
        <v>219</v>
      </c>
      <c r="G50" t="s">
        <v>220</v>
      </c>
      <c r="H50" t="s">
        <v>19</v>
      </c>
      <c r="I50">
        <v>43</v>
      </c>
      <c r="J50" t="s">
        <v>43</v>
      </c>
      <c r="K50" t="str">
        <f>_xlfn.XLOOKUP( ventas[[#This Row],[ciudad_cliente]],  ciudades[Ciudad], ciudades[Region])</f>
        <v>Antofagasta</v>
      </c>
      <c r="L50" t="s">
        <v>29</v>
      </c>
      <c r="M50" t="s">
        <v>49</v>
      </c>
      <c r="N50" t="str">
        <f>_xlfn.XLOOKUP(ventas[[#This Row],[producto]], categ[Producto], categ[Categoria])</f>
        <v>Electrohogar</v>
      </c>
      <c r="O50">
        <v>800000</v>
      </c>
      <c r="P50">
        <v>1</v>
      </c>
      <c r="Q50" s="11">
        <v>0.05</v>
      </c>
      <c r="R50">
        <f>(ventas[[#This Row],[precio_unitario]]*ventas[[#This Row],[cantidad]])</f>
        <v>800000</v>
      </c>
      <c r="S50">
        <f>ventas[[#This Row],[Total_Productos]]*ventas[[#This Row],[descuento_pct]]</f>
        <v>40000</v>
      </c>
      <c r="T50">
        <f>ventas[[#This Row],[Total_Productos]]-ventas[[#This Row],[Valor_descuento]]</f>
        <v>760000</v>
      </c>
    </row>
    <row r="51" spans="1:20" x14ac:dyDescent="0.3">
      <c r="A51">
        <v>156</v>
      </c>
      <c r="B51" s="1">
        <v>45083</v>
      </c>
      <c r="C51">
        <v>63</v>
      </c>
      <c r="D51">
        <v>5</v>
      </c>
      <c r="E51">
        <v>9</v>
      </c>
      <c r="F51" t="s">
        <v>300</v>
      </c>
      <c r="G51" t="s">
        <v>301</v>
      </c>
      <c r="H51" t="s">
        <v>42</v>
      </c>
      <c r="I51">
        <v>32</v>
      </c>
      <c r="J51" t="s">
        <v>101</v>
      </c>
      <c r="K51" t="str">
        <f>_xlfn.XLOOKUP( ventas[[#This Row],[ciudad_cliente]],  ciudades[Ciudad], ciudades[Region])</f>
        <v>O'Higgins</v>
      </c>
      <c r="L51" t="s">
        <v>22</v>
      </c>
      <c r="M51" t="s">
        <v>56</v>
      </c>
      <c r="N51" t="str">
        <f>_xlfn.XLOOKUP(ventas[[#This Row],[producto]], categ[Producto], categ[Categoria])</f>
        <v>Vestuario</v>
      </c>
      <c r="O51">
        <v>25000</v>
      </c>
      <c r="P51">
        <v>3</v>
      </c>
      <c r="Q51" s="11">
        <v>0</v>
      </c>
      <c r="R51">
        <f>(ventas[[#This Row],[precio_unitario]]*ventas[[#This Row],[cantidad]])</f>
        <v>75000</v>
      </c>
      <c r="S51">
        <f>ventas[[#This Row],[Total_Productos]]*ventas[[#This Row],[descuento_pct]]</f>
        <v>0</v>
      </c>
      <c r="T51">
        <f>ventas[[#This Row],[Total_Productos]]-ventas[[#This Row],[Valor_descuento]]</f>
        <v>75000</v>
      </c>
    </row>
    <row r="52" spans="1:20" x14ac:dyDescent="0.3">
      <c r="A52">
        <v>388</v>
      </c>
      <c r="B52" s="1">
        <v>45315</v>
      </c>
      <c r="C52">
        <v>7</v>
      </c>
      <c r="D52">
        <v>8</v>
      </c>
      <c r="E52">
        <v>9</v>
      </c>
      <c r="F52" t="s">
        <v>300</v>
      </c>
      <c r="G52" t="s">
        <v>301</v>
      </c>
      <c r="H52" t="s">
        <v>42</v>
      </c>
      <c r="I52">
        <v>32</v>
      </c>
      <c r="J52" t="s">
        <v>37</v>
      </c>
      <c r="K52" t="str">
        <f>_xlfn.XLOOKUP( ventas[[#This Row],[ciudad_cliente]],  ciudades[Ciudad], ciudades[Region])</f>
        <v>Valparaíso</v>
      </c>
      <c r="L52" t="s">
        <v>38</v>
      </c>
      <c r="M52" t="s">
        <v>49</v>
      </c>
      <c r="N52" t="str">
        <f>_xlfn.XLOOKUP(ventas[[#This Row],[producto]], categ[Producto], categ[Categoria])</f>
        <v>Electrohogar</v>
      </c>
      <c r="O52">
        <v>800000</v>
      </c>
      <c r="P52">
        <v>3</v>
      </c>
      <c r="Q52" s="11">
        <v>0</v>
      </c>
      <c r="R52">
        <f>(ventas[[#This Row],[precio_unitario]]*ventas[[#This Row],[cantidad]])</f>
        <v>2400000</v>
      </c>
      <c r="S52">
        <f>ventas[[#This Row],[Total_Productos]]*ventas[[#This Row],[descuento_pct]]</f>
        <v>0</v>
      </c>
      <c r="T52">
        <f>ventas[[#This Row],[Total_Productos]]-ventas[[#This Row],[Valor_descuento]]</f>
        <v>2400000</v>
      </c>
    </row>
    <row r="53" spans="1:20" x14ac:dyDescent="0.3">
      <c r="A53">
        <v>40</v>
      </c>
      <c r="B53" s="1">
        <v>44967</v>
      </c>
      <c r="C53">
        <v>10</v>
      </c>
      <c r="D53">
        <v>7</v>
      </c>
      <c r="E53">
        <v>271</v>
      </c>
      <c r="F53" t="s">
        <v>128</v>
      </c>
      <c r="G53" t="s">
        <v>129</v>
      </c>
      <c r="H53" t="s">
        <v>42</v>
      </c>
      <c r="I53">
        <v>55</v>
      </c>
      <c r="J53" t="s">
        <v>37</v>
      </c>
      <c r="K53" t="str">
        <f>_xlfn.XLOOKUP( ventas[[#This Row],[ciudad_cliente]],  ciudades[Ciudad], ciudades[Region])</f>
        <v>Valparaíso</v>
      </c>
      <c r="L53" t="s">
        <v>38</v>
      </c>
      <c r="M53" t="s">
        <v>62</v>
      </c>
      <c r="N53" t="str">
        <f>_xlfn.XLOOKUP(ventas[[#This Row],[producto]], categ[Producto], categ[Categoria])</f>
        <v>Electrohogar</v>
      </c>
      <c r="O53">
        <v>650000</v>
      </c>
      <c r="P53">
        <v>1</v>
      </c>
      <c r="Q53" s="11">
        <v>0</v>
      </c>
      <c r="R53">
        <f>(ventas[[#This Row],[precio_unitario]]*ventas[[#This Row],[cantidad]])</f>
        <v>650000</v>
      </c>
      <c r="S53">
        <f>ventas[[#This Row],[Total_Productos]]*ventas[[#This Row],[descuento_pct]]</f>
        <v>0</v>
      </c>
      <c r="T53">
        <f>ventas[[#This Row],[Total_Productos]]-ventas[[#This Row],[Valor_descuento]]</f>
        <v>650000</v>
      </c>
    </row>
    <row r="54" spans="1:20" x14ac:dyDescent="0.3">
      <c r="A54">
        <v>193</v>
      </c>
      <c r="B54" s="1">
        <v>45120</v>
      </c>
      <c r="C54">
        <v>25</v>
      </c>
      <c r="D54">
        <v>3</v>
      </c>
      <c r="E54">
        <v>271</v>
      </c>
      <c r="F54" t="s">
        <v>128</v>
      </c>
      <c r="G54" t="s">
        <v>129</v>
      </c>
      <c r="H54" t="s">
        <v>42</v>
      </c>
      <c r="I54">
        <v>55</v>
      </c>
      <c r="J54" t="s">
        <v>76</v>
      </c>
      <c r="K54" t="str">
        <f>_xlfn.XLOOKUP( ventas[[#This Row],[ciudad_cliente]],  ciudades[Ciudad], ciudades[Region])</f>
        <v>Los Lagos</v>
      </c>
      <c r="L54" t="s">
        <v>22</v>
      </c>
      <c r="M54" t="s">
        <v>98</v>
      </c>
      <c r="N54" t="str">
        <f>_xlfn.XLOOKUP(ventas[[#This Row],[producto]], categ[Producto], categ[Categoria])</f>
        <v>Calzado</v>
      </c>
      <c r="O54">
        <v>55000</v>
      </c>
      <c r="P54">
        <v>2</v>
      </c>
      <c r="Q54" s="11">
        <v>0</v>
      </c>
      <c r="R54">
        <f>(ventas[[#This Row],[precio_unitario]]*ventas[[#This Row],[cantidad]])</f>
        <v>110000</v>
      </c>
      <c r="S54">
        <f>ventas[[#This Row],[Total_Productos]]*ventas[[#This Row],[descuento_pct]]</f>
        <v>0</v>
      </c>
      <c r="T54">
        <f>ventas[[#This Row],[Total_Productos]]-ventas[[#This Row],[Valor_descuento]]</f>
        <v>110000</v>
      </c>
    </row>
    <row r="55" spans="1:20" x14ac:dyDescent="0.3">
      <c r="A55">
        <v>291</v>
      </c>
      <c r="B55" s="1">
        <v>45218</v>
      </c>
      <c r="C55">
        <v>21</v>
      </c>
      <c r="D55">
        <v>5</v>
      </c>
      <c r="E55">
        <v>271</v>
      </c>
      <c r="F55" t="s">
        <v>128</v>
      </c>
      <c r="G55" t="s">
        <v>129</v>
      </c>
      <c r="H55" t="s">
        <v>42</v>
      </c>
      <c r="I55">
        <v>55</v>
      </c>
      <c r="J55" t="s">
        <v>76</v>
      </c>
      <c r="K55" t="str">
        <f>_xlfn.XLOOKUP( ventas[[#This Row],[ciudad_cliente]],  ciudades[Ciudad], ciudades[Region])</f>
        <v>Los Lagos</v>
      </c>
      <c r="L55" t="s">
        <v>29</v>
      </c>
      <c r="M55" t="s">
        <v>39</v>
      </c>
      <c r="N55" t="str">
        <f>_xlfn.XLOOKUP(ventas[[#This Row],[producto]], categ[Producto], categ[Categoria])</f>
        <v>Belleza</v>
      </c>
      <c r="O55">
        <v>35000</v>
      </c>
      <c r="P55">
        <v>3</v>
      </c>
      <c r="Q55" s="11">
        <v>0.05</v>
      </c>
      <c r="R55">
        <f>(ventas[[#This Row],[precio_unitario]]*ventas[[#This Row],[cantidad]])</f>
        <v>105000</v>
      </c>
      <c r="S55">
        <f>ventas[[#This Row],[Total_Productos]]*ventas[[#This Row],[descuento_pct]]</f>
        <v>5250</v>
      </c>
      <c r="T55">
        <f>ventas[[#This Row],[Total_Productos]]-ventas[[#This Row],[Valor_descuento]]</f>
        <v>99750</v>
      </c>
    </row>
    <row r="56" spans="1:20" x14ac:dyDescent="0.3">
      <c r="A56">
        <v>849</v>
      </c>
      <c r="B56" s="1">
        <v>45776</v>
      </c>
      <c r="C56">
        <v>42</v>
      </c>
      <c r="D56">
        <v>4</v>
      </c>
      <c r="E56">
        <v>271</v>
      </c>
      <c r="F56" t="s">
        <v>128</v>
      </c>
      <c r="G56" t="s">
        <v>129</v>
      </c>
      <c r="H56" t="s">
        <v>42</v>
      </c>
      <c r="I56">
        <v>55</v>
      </c>
      <c r="J56" t="s">
        <v>27</v>
      </c>
      <c r="K56" t="str">
        <f>_xlfn.XLOOKUP( ventas[[#This Row],[ciudad_cliente]],  ciudades[Ciudad], ciudades[Region])</f>
        <v>Biobío</v>
      </c>
      <c r="L56" t="s">
        <v>22</v>
      </c>
      <c r="M56" t="s">
        <v>56</v>
      </c>
      <c r="N56" t="str">
        <f>_xlfn.XLOOKUP(ventas[[#This Row],[producto]], categ[Producto], categ[Categoria])</f>
        <v>Vestuario</v>
      </c>
      <c r="O56">
        <v>25000</v>
      </c>
      <c r="P56">
        <v>2</v>
      </c>
      <c r="Q56" s="11">
        <v>0</v>
      </c>
      <c r="R56">
        <f>(ventas[[#This Row],[precio_unitario]]*ventas[[#This Row],[cantidad]])</f>
        <v>50000</v>
      </c>
      <c r="S56">
        <f>ventas[[#This Row],[Total_Productos]]*ventas[[#This Row],[descuento_pct]]</f>
        <v>0</v>
      </c>
      <c r="T56">
        <f>ventas[[#This Row],[Total_Productos]]-ventas[[#This Row],[Valor_descuento]]</f>
        <v>50000</v>
      </c>
    </row>
    <row r="57" spans="1:20" x14ac:dyDescent="0.3">
      <c r="A57">
        <v>755</v>
      </c>
      <c r="B57" s="1">
        <v>45682</v>
      </c>
      <c r="C57">
        <v>31</v>
      </c>
      <c r="D57">
        <v>4</v>
      </c>
      <c r="E57">
        <v>78</v>
      </c>
      <c r="F57" t="s">
        <v>582</v>
      </c>
      <c r="G57" t="s">
        <v>583</v>
      </c>
      <c r="H57" t="s">
        <v>19</v>
      </c>
      <c r="I57">
        <v>34</v>
      </c>
      <c r="J57" t="s">
        <v>101</v>
      </c>
      <c r="K57" t="str">
        <f>_xlfn.XLOOKUP( ventas[[#This Row],[ciudad_cliente]],  ciudades[Ciudad], ciudades[Region])</f>
        <v>O'Higgins</v>
      </c>
      <c r="L57" t="s">
        <v>22</v>
      </c>
      <c r="M57" t="s">
        <v>30</v>
      </c>
      <c r="N57" t="str">
        <f>_xlfn.XLOOKUP(ventas[[#This Row],[producto]], categ[Producto], categ[Categoria])</f>
        <v>Electrohogar</v>
      </c>
      <c r="O57">
        <v>700000</v>
      </c>
      <c r="P57">
        <v>3</v>
      </c>
      <c r="Q57" s="11">
        <v>0</v>
      </c>
      <c r="R57">
        <f>(ventas[[#This Row],[precio_unitario]]*ventas[[#This Row],[cantidad]])</f>
        <v>2100000</v>
      </c>
      <c r="S57">
        <f>ventas[[#This Row],[Total_Productos]]*ventas[[#This Row],[descuento_pct]]</f>
        <v>0</v>
      </c>
      <c r="T57">
        <f>ventas[[#This Row],[Total_Productos]]-ventas[[#This Row],[Valor_descuento]]</f>
        <v>2100000</v>
      </c>
    </row>
    <row r="58" spans="1:20" x14ac:dyDescent="0.3">
      <c r="A58">
        <v>799</v>
      </c>
      <c r="B58" s="1">
        <v>45726</v>
      </c>
      <c r="C58">
        <v>6</v>
      </c>
      <c r="D58">
        <v>2</v>
      </c>
      <c r="E58">
        <v>78</v>
      </c>
      <c r="F58" t="s">
        <v>582</v>
      </c>
      <c r="G58" t="s">
        <v>583</v>
      </c>
      <c r="H58" t="s">
        <v>19</v>
      </c>
      <c r="I58">
        <v>34</v>
      </c>
      <c r="J58" t="s">
        <v>52</v>
      </c>
      <c r="K58" t="str">
        <f>_xlfn.XLOOKUP( ventas[[#This Row],[ciudad_cliente]],  ciudades[Ciudad], ciudades[Region])</f>
        <v>Biobío</v>
      </c>
      <c r="L58" t="s">
        <v>38</v>
      </c>
      <c r="M58" t="s">
        <v>23</v>
      </c>
      <c r="N58" t="str">
        <f>_xlfn.XLOOKUP(ventas[[#This Row],[producto]], categ[Producto], categ[Categoria])</f>
        <v>Belleza</v>
      </c>
      <c r="O58">
        <v>15000</v>
      </c>
      <c r="P58">
        <v>1</v>
      </c>
      <c r="Q58" s="11">
        <v>0</v>
      </c>
      <c r="R58">
        <f>(ventas[[#This Row],[precio_unitario]]*ventas[[#This Row],[cantidad]])</f>
        <v>15000</v>
      </c>
      <c r="S58">
        <f>ventas[[#This Row],[Total_Productos]]*ventas[[#This Row],[descuento_pct]]</f>
        <v>0</v>
      </c>
      <c r="T58">
        <f>ventas[[#This Row],[Total_Productos]]-ventas[[#This Row],[Valor_descuento]]</f>
        <v>15000</v>
      </c>
    </row>
    <row r="59" spans="1:20" x14ac:dyDescent="0.3">
      <c r="A59">
        <v>830</v>
      </c>
      <c r="B59" s="1">
        <v>45757</v>
      </c>
      <c r="C59">
        <v>4</v>
      </c>
      <c r="D59">
        <v>3</v>
      </c>
      <c r="E59">
        <v>78</v>
      </c>
      <c r="F59" t="s">
        <v>582</v>
      </c>
      <c r="G59" t="s">
        <v>583</v>
      </c>
      <c r="H59" t="s">
        <v>19</v>
      </c>
      <c r="I59">
        <v>34</v>
      </c>
      <c r="J59" t="s">
        <v>52</v>
      </c>
      <c r="K59" t="str">
        <f>_xlfn.XLOOKUP( ventas[[#This Row],[ciudad_cliente]],  ciudades[Ciudad], ciudades[Region])</f>
        <v>Biobío</v>
      </c>
      <c r="L59" t="s">
        <v>29</v>
      </c>
      <c r="M59" t="s">
        <v>56</v>
      </c>
      <c r="N59" t="str">
        <f>_xlfn.XLOOKUP(ventas[[#This Row],[producto]], categ[Producto], categ[Categoria])</f>
        <v>Vestuario</v>
      </c>
      <c r="O59">
        <v>25000</v>
      </c>
      <c r="P59">
        <v>2</v>
      </c>
      <c r="Q59" s="11">
        <v>0</v>
      </c>
      <c r="R59">
        <f>(ventas[[#This Row],[precio_unitario]]*ventas[[#This Row],[cantidad]])</f>
        <v>50000</v>
      </c>
      <c r="S59">
        <f>ventas[[#This Row],[Total_Productos]]*ventas[[#This Row],[descuento_pct]]</f>
        <v>0</v>
      </c>
      <c r="T59">
        <f>ventas[[#This Row],[Total_Productos]]-ventas[[#This Row],[Valor_descuento]]</f>
        <v>50000</v>
      </c>
    </row>
    <row r="60" spans="1:20" x14ac:dyDescent="0.3">
      <c r="A60">
        <v>26</v>
      </c>
      <c r="B60" s="1">
        <v>44953</v>
      </c>
      <c r="C60">
        <v>49</v>
      </c>
      <c r="D60">
        <v>1</v>
      </c>
      <c r="E60">
        <v>114</v>
      </c>
      <c r="F60" t="s">
        <v>96</v>
      </c>
      <c r="G60" t="s">
        <v>97</v>
      </c>
      <c r="H60" t="s">
        <v>42</v>
      </c>
      <c r="I60">
        <v>67</v>
      </c>
      <c r="J60" t="s">
        <v>43</v>
      </c>
      <c r="K60" t="str">
        <f>_xlfn.XLOOKUP( ventas[[#This Row],[ciudad_cliente]],  ciudades[Ciudad], ciudades[Region])</f>
        <v>Antofagasta</v>
      </c>
      <c r="L60" t="s">
        <v>38</v>
      </c>
      <c r="M60" t="s">
        <v>98</v>
      </c>
      <c r="N60" t="str">
        <f>_xlfn.XLOOKUP(ventas[[#This Row],[producto]], categ[Producto], categ[Categoria])</f>
        <v>Calzado</v>
      </c>
      <c r="O60">
        <v>55000</v>
      </c>
      <c r="P60">
        <v>1</v>
      </c>
      <c r="Q60" s="11">
        <v>0.1</v>
      </c>
      <c r="R60">
        <f>(ventas[[#This Row],[precio_unitario]]*ventas[[#This Row],[cantidad]])</f>
        <v>55000</v>
      </c>
      <c r="S60">
        <f>ventas[[#This Row],[Total_Productos]]*ventas[[#This Row],[descuento_pct]]</f>
        <v>5500</v>
      </c>
      <c r="T60">
        <f>ventas[[#This Row],[Total_Productos]]-ventas[[#This Row],[Valor_descuento]]</f>
        <v>49500</v>
      </c>
    </row>
    <row r="61" spans="1:20" x14ac:dyDescent="0.3">
      <c r="A61">
        <v>250</v>
      </c>
      <c r="B61" s="1">
        <v>45177</v>
      </c>
      <c r="C61">
        <v>55</v>
      </c>
      <c r="D61">
        <v>9</v>
      </c>
      <c r="E61">
        <v>114</v>
      </c>
      <c r="F61" t="s">
        <v>96</v>
      </c>
      <c r="G61" t="s">
        <v>97</v>
      </c>
      <c r="H61" t="s">
        <v>42</v>
      </c>
      <c r="I61">
        <v>67</v>
      </c>
      <c r="J61" t="s">
        <v>43</v>
      </c>
      <c r="K61" t="str">
        <f>_xlfn.XLOOKUP( ventas[[#This Row],[ciudad_cliente]],  ciudades[Ciudad], ciudades[Region])</f>
        <v>Antofagasta</v>
      </c>
      <c r="L61" t="s">
        <v>29</v>
      </c>
      <c r="M61" t="s">
        <v>62</v>
      </c>
      <c r="N61" t="str">
        <f>_xlfn.XLOOKUP(ventas[[#This Row],[producto]], categ[Producto], categ[Categoria])</f>
        <v>Electrohogar</v>
      </c>
      <c r="O61">
        <v>650000</v>
      </c>
      <c r="P61">
        <v>3</v>
      </c>
      <c r="Q61" s="11">
        <v>0.05</v>
      </c>
      <c r="R61">
        <f>(ventas[[#This Row],[precio_unitario]]*ventas[[#This Row],[cantidad]])</f>
        <v>1950000</v>
      </c>
      <c r="S61">
        <f>ventas[[#This Row],[Total_Productos]]*ventas[[#This Row],[descuento_pct]]</f>
        <v>97500</v>
      </c>
      <c r="T61">
        <f>ventas[[#This Row],[Total_Productos]]-ventas[[#This Row],[Valor_descuento]]</f>
        <v>1852500</v>
      </c>
    </row>
    <row r="62" spans="1:20" x14ac:dyDescent="0.3">
      <c r="A62">
        <v>527</v>
      </c>
      <c r="B62" s="1">
        <v>45454</v>
      </c>
      <c r="C62">
        <v>27</v>
      </c>
      <c r="D62">
        <v>4</v>
      </c>
      <c r="E62">
        <v>114</v>
      </c>
      <c r="F62" t="s">
        <v>96</v>
      </c>
      <c r="G62" t="s">
        <v>97</v>
      </c>
      <c r="H62" t="s">
        <v>42</v>
      </c>
      <c r="I62">
        <v>67</v>
      </c>
      <c r="J62" t="s">
        <v>116</v>
      </c>
      <c r="K62" t="str">
        <f>_xlfn.XLOOKUP( ventas[[#This Row],[ciudad_cliente]],  ciudades[Ciudad], ciudades[Region])</f>
        <v>Valparaíso</v>
      </c>
      <c r="L62" t="s">
        <v>38</v>
      </c>
      <c r="M62" t="s">
        <v>49</v>
      </c>
      <c r="N62" t="str">
        <f>_xlfn.XLOOKUP(ventas[[#This Row],[producto]], categ[Producto], categ[Categoria])</f>
        <v>Electrohogar</v>
      </c>
      <c r="O62">
        <v>800000</v>
      </c>
      <c r="P62">
        <v>1</v>
      </c>
      <c r="Q62" s="11">
        <v>0.05</v>
      </c>
      <c r="R62">
        <f>(ventas[[#This Row],[precio_unitario]]*ventas[[#This Row],[cantidad]])</f>
        <v>800000</v>
      </c>
      <c r="S62">
        <f>ventas[[#This Row],[Total_Productos]]*ventas[[#This Row],[descuento_pct]]</f>
        <v>40000</v>
      </c>
      <c r="T62">
        <f>ventas[[#This Row],[Total_Productos]]-ventas[[#This Row],[Valor_descuento]]</f>
        <v>760000</v>
      </c>
    </row>
    <row r="63" spans="1:20" x14ac:dyDescent="0.3">
      <c r="A63">
        <v>589</v>
      </c>
      <c r="B63" s="1">
        <v>45516</v>
      </c>
      <c r="C63">
        <v>66</v>
      </c>
      <c r="D63">
        <v>2</v>
      </c>
      <c r="E63">
        <v>114</v>
      </c>
      <c r="F63" t="s">
        <v>96</v>
      </c>
      <c r="G63" t="s">
        <v>97</v>
      </c>
      <c r="H63" t="s">
        <v>42</v>
      </c>
      <c r="I63">
        <v>67</v>
      </c>
      <c r="J63" t="s">
        <v>27</v>
      </c>
      <c r="K63" t="str">
        <f>_xlfn.XLOOKUP( ventas[[#This Row],[ciudad_cliente]],  ciudades[Ciudad], ciudades[Region])</f>
        <v>Biobío</v>
      </c>
      <c r="L63" t="s">
        <v>22</v>
      </c>
      <c r="M63" t="s">
        <v>102</v>
      </c>
      <c r="N63" t="str">
        <f>_xlfn.XLOOKUP(ventas[[#This Row],[producto]], categ[Producto], categ[Categoria])</f>
        <v>Vestuario</v>
      </c>
      <c r="O63">
        <v>12000</v>
      </c>
      <c r="P63">
        <v>3</v>
      </c>
      <c r="Q63" s="11">
        <v>0.1</v>
      </c>
      <c r="R63">
        <f>(ventas[[#This Row],[precio_unitario]]*ventas[[#This Row],[cantidad]])</f>
        <v>36000</v>
      </c>
      <c r="S63">
        <f>ventas[[#This Row],[Total_Productos]]*ventas[[#This Row],[descuento_pct]]</f>
        <v>3600</v>
      </c>
      <c r="T63">
        <f>ventas[[#This Row],[Total_Productos]]-ventas[[#This Row],[Valor_descuento]]</f>
        <v>32400</v>
      </c>
    </row>
    <row r="64" spans="1:20" x14ac:dyDescent="0.3">
      <c r="A64">
        <v>360</v>
      </c>
      <c r="B64" s="1">
        <v>45287</v>
      </c>
      <c r="C64">
        <v>39</v>
      </c>
      <c r="D64">
        <v>6</v>
      </c>
      <c r="E64">
        <v>84</v>
      </c>
      <c r="F64" t="s">
        <v>484</v>
      </c>
      <c r="G64" t="s">
        <v>485</v>
      </c>
      <c r="H64" t="s">
        <v>42</v>
      </c>
      <c r="I64">
        <v>31</v>
      </c>
      <c r="J64" t="s">
        <v>43</v>
      </c>
      <c r="K64" t="str">
        <f>_xlfn.XLOOKUP( ventas[[#This Row],[ciudad_cliente]],  ciudades[Ciudad], ciudades[Region])</f>
        <v>Antofagasta</v>
      </c>
      <c r="L64" t="s">
        <v>38</v>
      </c>
      <c r="M64" t="s">
        <v>46</v>
      </c>
      <c r="N64" t="str">
        <f>_xlfn.XLOOKUP(ventas[[#This Row],[producto]], categ[Producto], categ[Categoria])</f>
        <v>Tecnología</v>
      </c>
      <c r="O64">
        <v>750000</v>
      </c>
      <c r="P64">
        <v>2</v>
      </c>
      <c r="Q64" s="11">
        <v>0.1</v>
      </c>
      <c r="R64">
        <f>(ventas[[#This Row],[precio_unitario]]*ventas[[#This Row],[cantidad]])</f>
        <v>1500000</v>
      </c>
      <c r="S64">
        <f>ventas[[#This Row],[Total_Productos]]*ventas[[#This Row],[descuento_pct]]</f>
        <v>150000</v>
      </c>
      <c r="T64">
        <f>ventas[[#This Row],[Total_Productos]]-ventas[[#This Row],[Valor_descuento]]</f>
        <v>1350000</v>
      </c>
    </row>
    <row r="65" spans="1:20" x14ac:dyDescent="0.3">
      <c r="A65">
        <v>771</v>
      </c>
      <c r="B65" s="1">
        <v>45698</v>
      </c>
      <c r="C65">
        <v>59</v>
      </c>
      <c r="D65">
        <v>1</v>
      </c>
      <c r="E65">
        <v>84</v>
      </c>
      <c r="F65" t="s">
        <v>484</v>
      </c>
      <c r="G65" t="s">
        <v>485</v>
      </c>
      <c r="H65" t="s">
        <v>42</v>
      </c>
      <c r="I65">
        <v>31</v>
      </c>
      <c r="J65" t="s">
        <v>43</v>
      </c>
      <c r="K65" t="str">
        <f>_xlfn.XLOOKUP( ventas[[#This Row],[ciudad_cliente]],  ciudades[Ciudad], ciudades[Region])</f>
        <v>Antofagasta</v>
      </c>
      <c r="L65" t="s">
        <v>29</v>
      </c>
      <c r="M65" t="s">
        <v>46</v>
      </c>
      <c r="N65" t="str">
        <f>_xlfn.XLOOKUP(ventas[[#This Row],[producto]], categ[Producto], categ[Categoria])</f>
        <v>Tecnología</v>
      </c>
      <c r="O65">
        <v>750000</v>
      </c>
      <c r="P65">
        <v>2</v>
      </c>
      <c r="Q65" s="11">
        <v>0.1</v>
      </c>
      <c r="R65">
        <f>(ventas[[#This Row],[precio_unitario]]*ventas[[#This Row],[cantidad]])</f>
        <v>1500000</v>
      </c>
      <c r="S65">
        <f>ventas[[#This Row],[Total_Productos]]*ventas[[#This Row],[descuento_pct]]</f>
        <v>150000</v>
      </c>
      <c r="T65">
        <f>ventas[[#This Row],[Total_Productos]]-ventas[[#This Row],[Valor_descuento]]</f>
        <v>1350000</v>
      </c>
    </row>
    <row r="66" spans="1:20" x14ac:dyDescent="0.3">
      <c r="A66">
        <v>798</v>
      </c>
      <c r="B66" s="1">
        <v>45725</v>
      </c>
      <c r="C66">
        <v>29</v>
      </c>
      <c r="D66">
        <v>1</v>
      </c>
      <c r="E66">
        <v>84</v>
      </c>
      <c r="F66" t="s">
        <v>484</v>
      </c>
      <c r="G66" t="s">
        <v>485</v>
      </c>
      <c r="H66" t="s">
        <v>42</v>
      </c>
      <c r="I66">
        <v>31</v>
      </c>
      <c r="J66" t="s">
        <v>116</v>
      </c>
      <c r="K66" t="str">
        <f>_xlfn.XLOOKUP( ventas[[#This Row],[ciudad_cliente]],  ciudades[Ciudad], ciudades[Region])</f>
        <v>Valparaíso</v>
      </c>
      <c r="L66" t="s">
        <v>22</v>
      </c>
      <c r="M66" t="s">
        <v>30</v>
      </c>
      <c r="N66" t="str">
        <f>_xlfn.XLOOKUP(ventas[[#This Row],[producto]], categ[Producto], categ[Categoria])</f>
        <v>Electrohogar</v>
      </c>
      <c r="O66">
        <v>700000</v>
      </c>
      <c r="P66">
        <v>2</v>
      </c>
      <c r="Q66" s="11">
        <v>0.1</v>
      </c>
      <c r="R66">
        <f>(ventas[[#This Row],[precio_unitario]]*ventas[[#This Row],[cantidad]])</f>
        <v>1400000</v>
      </c>
      <c r="S66">
        <f>ventas[[#This Row],[Total_Productos]]*ventas[[#This Row],[descuento_pct]]</f>
        <v>140000</v>
      </c>
      <c r="T66">
        <f>ventas[[#This Row],[Total_Productos]]-ventas[[#This Row],[Valor_descuento]]</f>
        <v>1260000</v>
      </c>
    </row>
    <row r="67" spans="1:20" x14ac:dyDescent="0.3">
      <c r="A67">
        <v>147</v>
      </c>
      <c r="B67" s="1">
        <v>45074</v>
      </c>
      <c r="C67">
        <v>39</v>
      </c>
      <c r="D67">
        <v>6</v>
      </c>
      <c r="E67">
        <v>101</v>
      </c>
      <c r="F67" t="s">
        <v>286</v>
      </c>
      <c r="G67" t="s">
        <v>287</v>
      </c>
      <c r="H67" t="s">
        <v>42</v>
      </c>
      <c r="I67">
        <v>21</v>
      </c>
      <c r="J67" t="s">
        <v>43</v>
      </c>
      <c r="K67" t="str">
        <f>_xlfn.XLOOKUP( ventas[[#This Row],[ciudad_cliente]],  ciudades[Ciudad], ciudades[Region])</f>
        <v>Antofagasta</v>
      </c>
      <c r="L67" t="s">
        <v>22</v>
      </c>
      <c r="M67" t="s">
        <v>102</v>
      </c>
      <c r="N67" t="str">
        <f>_xlfn.XLOOKUP(ventas[[#This Row],[producto]], categ[Producto], categ[Categoria])</f>
        <v>Vestuario</v>
      </c>
      <c r="O67">
        <v>12000</v>
      </c>
      <c r="P67">
        <v>2</v>
      </c>
      <c r="Q67" s="11">
        <v>0</v>
      </c>
      <c r="R67">
        <f>(ventas[[#This Row],[precio_unitario]]*ventas[[#This Row],[cantidad]])</f>
        <v>24000</v>
      </c>
      <c r="S67">
        <f>ventas[[#This Row],[Total_Productos]]*ventas[[#This Row],[descuento_pct]]</f>
        <v>0</v>
      </c>
      <c r="T67">
        <f>ventas[[#This Row],[Total_Productos]]-ventas[[#This Row],[Valor_descuento]]</f>
        <v>24000</v>
      </c>
    </row>
    <row r="68" spans="1:20" x14ac:dyDescent="0.3">
      <c r="A68">
        <v>837</v>
      </c>
      <c r="B68" s="1">
        <v>45764</v>
      </c>
      <c r="C68">
        <v>13</v>
      </c>
      <c r="D68">
        <v>0</v>
      </c>
      <c r="E68">
        <v>101</v>
      </c>
      <c r="F68" t="s">
        <v>286</v>
      </c>
      <c r="G68" t="s">
        <v>287</v>
      </c>
      <c r="H68" t="s">
        <v>42</v>
      </c>
      <c r="I68">
        <v>21</v>
      </c>
      <c r="J68" t="s">
        <v>27</v>
      </c>
      <c r="K68" t="str">
        <f>_xlfn.XLOOKUP( ventas[[#This Row],[ciudad_cliente]],  ciudades[Ciudad], ciudades[Region])</f>
        <v>Biobío</v>
      </c>
      <c r="L68" t="s">
        <v>38</v>
      </c>
      <c r="M68" t="s">
        <v>62</v>
      </c>
      <c r="N68" t="str">
        <f>_xlfn.XLOOKUP(ventas[[#This Row],[producto]], categ[Producto], categ[Categoria])</f>
        <v>Electrohogar</v>
      </c>
      <c r="O68">
        <v>650000</v>
      </c>
      <c r="P68">
        <v>3</v>
      </c>
      <c r="Q68" s="11">
        <v>0.05</v>
      </c>
      <c r="R68">
        <f>(ventas[[#This Row],[precio_unitario]]*ventas[[#This Row],[cantidad]])</f>
        <v>1950000</v>
      </c>
      <c r="S68">
        <f>ventas[[#This Row],[Total_Productos]]*ventas[[#This Row],[descuento_pct]]</f>
        <v>97500</v>
      </c>
      <c r="T68">
        <f>ventas[[#This Row],[Total_Productos]]-ventas[[#This Row],[Valor_descuento]]</f>
        <v>1852500</v>
      </c>
    </row>
    <row r="69" spans="1:20" x14ac:dyDescent="0.3">
      <c r="A69">
        <v>840</v>
      </c>
      <c r="B69" s="1">
        <v>45767</v>
      </c>
      <c r="C69">
        <v>24</v>
      </c>
      <c r="D69">
        <v>3</v>
      </c>
      <c r="E69">
        <v>101</v>
      </c>
      <c r="F69" t="s">
        <v>286</v>
      </c>
      <c r="G69" t="s">
        <v>287</v>
      </c>
      <c r="H69" t="s">
        <v>42</v>
      </c>
      <c r="I69">
        <v>21</v>
      </c>
      <c r="J69" t="s">
        <v>84</v>
      </c>
      <c r="K69" t="str">
        <f>_xlfn.XLOOKUP( ventas[[#This Row],[ciudad_cliente]],  ciudades[Ciudad], ciudades[Region])</f>
        <v>Coquimbo</v>
      </c>
      <c r="L69" t="s">
        <v>29</v>
      </c>
      <c r="M69" t="s">
        <v>69</v>
      </c>
      <c r="N69" t="str">
        <f>_xlfn.XLOOKUP(ventas[[#This Row],[producto]], categ[Producto], categ[Categoria])</f>
        <v>Tecnología</v>
      </c>
      <c r="O69">
        <v>450000</v>
      </c>
      <c r="P69">
        <v>1</v>
      </c>
      <c r="Q69" s="11">
        <v>0.1</v>
      </c>
      <c r="R69">
        <f>(ventas[[#This Row],[precio_unitario]]*ventas[[#This Row],[cantidad]])</f>
        <v>450000</v>
      </c>
      <c r="S69">
        <f>ventas[[#This Row],[Total_Productos]]*ventas[[#This Row],[descuento_pct]]</f>
        <v>45000</v>
      </c>
      <c r="T69">
        <f>ventas[[#This Row],[Total_Productos]]-ventas[[#This Row],[Valor_descuento]]</f>
        <v>405000</v>
      </c>
    </row>
    <row r="70" spans="1:20" x14ac:dyDescent="0.3">
      <c r="A70">
        <v>881</v>
      </c>
      <c r="B70" s="1">
        <v>45808</v>
      </c>
      <c r="C70">
        <v>70</v>
      </c>
      <c r="D70">
        <v>6</v>
      </c>
      <c r="E70">
        <v>101</v>
      </c>
      <c r="F70" t="s">
        <v>286</v>
      </c>
      <c r="G70" t="s">
        <v>287</v>
      </c>
      <c r="H70" t="s">
        <v>42</v>
      </c>
      <c r="I70">
        <v>21</v>
      </c>
      <c r="J70" t="s">
        <v>27</v>
      </c>
      <c r="K70" t="str">
        <f>_xlfn.XLOOKUP( ventas[[#This Row],[ciudad_cliente]],  ciudades[Ciudad], ciudades[Region])</f>
        <v>Biobío</v>
      </c>
      <c r="L70" t="s">
        <v>29</v>
      </c>
      <c r="M70" t="s">
        <v>69</v>
      </c>
      <c r="N70" t="str">
        <f>_xlfn.XLOOKUP(ventas[[#This Row],[producto]], categ[Producto], categ[Categoria])</f>
        <v>Tecnología</v>
      </c>
      <c r="O70">
        <v>450000</v>
      </c>
      <c r="P70">
        <v>1</v>
      </c>
      <c r="Q70" s="11">
        <v>0.1</v>
      </c>
      <c r="R70">
        <f>(ventas[[#This Row],[precio_unitario]]*ventas[[#This Row],[cantidad]])</f>
        <v>450000</v>
      </c>
      <c r="S70">
        <f>ventas[[#This Row],[Total_Productos]]*ventas[[#This Row],[descuento_pct]]</f>
        <v>45000</v>
      </c>
      <c r="T70">
        <f>ventas[[#This Row],[Total_Productos]]-ventas[[#This Row],[Valor_descuento]]</f>
        <v>405000</v>
      </c>
    </row>
    <row r="71" spans="1:20" x14ac:dyDescent="0.3">
      <c r="A71">
        <v>970</v>
      </c>
      <c r="B71" s="1">
        <v>45897</v>
      </c>
      <c r="C71">
        <v>57</v>
      </c>
      <c r="D71">
        <v>3</v>
      </c>
      <c r="E71">
        <v>101</v>
      </c>
      <c r="F71" t="s">
        <v>286</v>
      </c>
      <c r="G71" t="s">
        <v>287</v>
      </c>
      <c r="H71" t="s">
        <v>42</v>
      </c>
      <c r="I71">
        <v>21</v>
      </c>
      <c r="J71" t="s">
        <v>52</v>
      </c>
      <c r="K71" t="str">
        <f>_xlfn.XLOOKUP( ventas[[#This Row],[ciudad_cliente]],  ciudades[Ciudad], ciudades[Region])</f>
        <v>Biobío</v>
      </c>
      <c r="L71" t="s">
        <v>38</v>
      </c>
      <c r="M71" t="s">
        <v>49</v>
      </c>
      <c r="N71" t="str">
        <f>_xlfn.XLOOKUP(ventas[[#This Row],[producto]], categ[Producto], categ[Categoria])</f>
        <v>Electrohogar</v>
      </c>
      <c r="O71">
        <v>800000</v>
      </c>
      <c r="P71">
        <v>3</v>
      </c>
      <c r="Q71" s="11">
        <v>0</v>
      </c>
      <c r="R71">
        <f>(ventas[[#This Row],[precio_unitario]]*ventas[[#This Row],[cantidad]])</f>
        <v>2400000</v>
      </c>
      <c r="S71">
        <f>ventas[[#This Row],[Total_Productos]]*ventas[[#This Row],[descuento_pct]]</f>
        <v>0</v>
      </c>
      <c r="T71">
        <f>ventas[[#This Row],[Total_Productos]]-ventas[[#This Row],[Valor_descuento]]</f>
        <v>2400000</v>
      </c>
    </row>
    <row r="72" spans="1:20" x14ac:dyDescent="0.3">
      <c r="A72">
        <v>240</v>
      </c>
      <c r="B72" s="1">
        <v>45167</v>
      </c>
      <c r="C72">
        <v>52</v>
      </c>
      <c r="D72">
        <v>0</v>
      </c>
      <c r="E72">
        <v>16</v>
      </c>
      <c r="F72" t="s">
        <v>392</v>
      </c>
      <c r="G72" t="s">
        <v>393</v>
      </c>
      <c r="H72" t="s">
        <v>42</v>
      </c>
      <c r="I72">
        <v>31</v>
      </c>
      <c r="J72" t="s">
        <v>27</v>
      </c>
      <c r="K72" t="str">
        <f>_xlfn.XLOOKUP( ventas[[#This Row],[ciudad_cliente]],  ciudades[Ciudad], ciudades[Region])</f>
        <v>Biobío</v>
      </c>
      <c r="L72" t="s">
        <v>38</v>
      </c>
      <c r="M72" t="s">
        <v>49</v>
      </c>
      <c r="N72" t="str">
        <f>_xlfn.XLOOKUP(ventas[[#This Row],[producto]], categ[Producto], categ[Categoria])</f>
        <v>Electrohogar</v>
      </c>
      <c r="O72">
        <v>800000</v>
      </c>
      <c r="P72">
        <v>3</v>
      </c>
      <c r="Q72" s="11">
        <v>0.1</v>
      </c>
      <c r="R72">
        <f>(ventas[[#This Row],[precio_unitario]]*ventas[[#This Row],[cantidad]])</f>
        <v>2400000</v>
      </c>
      <c r="S72">
        <f>ventas[[#This Row],[Total_Productos]]*ventas[[#This Row],[descuento_pct]]</f>
        <v>240000</v>
      </c>
      <c r="T72">
        <f>ventas[[#This Row],[Total_Productos]]-ventas[[#This Row],[Valor_descuento]]</f>
        <v>2160000</v>
      </c>
    </row>
    <row r="73" spans="1:20" x14ac:dyDescent="0.3">
      <c r="A73">
        <v>884</v>
      </c>
      <c r="B73" s="1">
        <v>45811</v>
      </c>
      <c r="C73">
        <v>19</v>
      </c>
      <c r="D73">
        <v>5</v>
      </c>
      <c r="E73">
        <v>16</v>
      </c>
      <c r="F73" t="s">
        <v>392</v>
      </c>
      <c r="G73" t="s">
        <v>393</v>
      </c>
      <c r="H73" t="s">
        <v>42</v>
      </c>
      <c r="I73">
        <v>31</v>
      </c>
      <c r="J73" t="s">
        <v>20</v>
      </c>
      <c r="K73" t="str">
        <f>_xlfn.XLOOKUP( ventas[[#This Row],[ciudad_cliente]],  ciudades[Ciudad], ciudades[Region])</f>
        <v>La Araucanía</v>
      </c>
      <c r="L73" t="s">
        <v>38</v>
      </c>
      <c r="M73" t="s">
        <v>62</v>
      </c>
      <c r="N73" t="str">
        <f>_xlfn.XLOOKUP(ventas[[#This Row],[producto]], categ[Producto], categ[Categoria])</f>
        <v>Electrohogar</v>
      </c>
      <c r="O73">
        <v>650000</v>
      </c>
      <c r="P73">
        <v>1</v>
      </c>
      <c r="Q73" s="11">
        <v>0.05</v>
      </c>
      <c r="R73">
        <f>(ventas[[#This Row],[precio_unitario]]*ventas[[#This Row],[cantidad]])</f>
        <v>650000</v>
      </c>
      <c r="S73">
        <f>ventas[[#This Row],[Total_Productos]]*ventas[[#This Row],[descuento_pct]]</f>
        <v>32500</v>
      </c>
      <c r="T73">
        <f>ventas[[#This Row],[Total_Productos]]-ventas[[#This Row],[Valor_descuento]]</f>
        <v>617500</v>
      </c>
    </row>
    <row r="74" spans="1:20" x14ac:dyDescent="0.3">
      <c r="A74">
        <v>974</v>
      </c>
      <c r="B74" s="1">
        <v>45901</v>
      </c>
      <c r="C74">
        <v>70</v>
      </c>
      <c r="D74">
        <v>6</v>
      </c>
      <c r="E74">
        <v>16</v>
      </c>
      <c r="F74" t="s">
        <v>392</v>
      </c>
      <c r="G74" t="s">
        <v>393</v>
      </c>
      <c r="H74" t="s">
        <v>42</v>
      </c>
      <c r="I74">
        <v>31</v>
      </c>
      <c r="J74" t="s">
        <v>27</v>
      </c>
      <c r="K74" t="str">
        <f>_xlfn.XLOOKUP( ventas[[#This Row],[ciudad_cliente]],  ciudades[Ciudad], ciudades[Region])</f>
        <v>Biobío</v>
      </c>
      <c r="L74" t="s">
        <v>38</v>
      </c>
      <c r="M74" t="s">
        <v>30</v>
      </c>
      <c r="N74" t="str">
        <f>_xlfn.XLOOKUP(ventas[[#This Row],[producto]], categ[Producto], categ[Categoria])</f>
        <v>Electrohogar</v>
      </c>
      <c r="O74">
        <v>700000</v>
      </c>
      <c r="P74">
        <v>1</v>
      </c>
      <c r="Q74" s="11">
        <v>0</v>
      </c>
      <c r="R74">
        <f>(ventas[[#This Row],[precio_unitario]]*ventas[[#This Row],[cantidad]])</f>
        <v>700000</v>
      </c>
      <c r="S74">
        <f>ventas[[#This Row],[Total_Productos]]*ventas[[#This Row],[descuento_pct]]</f>
        <v>0</v>
      </c>
      <c r="T74">
        <f>ventas[[#This Row],[Total_Productos]]-ventas[[#This Row],[Valor_descuento]]</f>
        <v>700000</v>
      </c>
    </row>
    <row r="75" spans="1:20" x14ac:dyDescent="0.3">
      <c r="A75">
        <v>115</v>
      </c>
      <c r="B75" s="1">
        <v>45042</v>
      </c>
      <c r="C75">
        <v>51</v>
      </c>
      <c r="D75">
        <v>7</v>
      </c>
      <c r="E75">
        <v>267</v>
      </c>
      <c r="F75" t="s">
        <v>253</v>
      </c>
      <c r="G75" t="s">
        <v>254</v>
      </c>
      <c r="H75" t="s">
        <v>42</v>
      </c>
      <c r="I75">
        <v>57</v>
      </c>
      <c r="J75" t="s">
        <v>101</v>
      </c>
      <c r="K75" t="str">
        <f>_xlfn.XLOOKUP( ventas[[#This Row],[ciudad_cliente]],  ciudades[Ciudad], ciudades[Region])</f>
        <v>O'Higgins</v>
      </c>
      <c r="L75" t="s">
        <v>29</v>
      </c>
      <c r="M75" t="s">
        <v>56</v>
      </c>
      <c r="N75" t="str">
        <f>_xlfn.XLOOKUP(ventas[[#This Row],[producto]], categ[Producto], categ[Categoria])</f>
        <v>Vestuario</v>
      </c>
      <c r="O75">
        <v>25000</v>
      </c>
      <c r="P75">
        <v>3</v>
      </c>
      <c r="Q75" s="11">
        <v>0.1</v>
      </c>
      <c r="R75">
        <f>(ventas[[#This Row],[precio_unitario]]*ventas[[#This Row],[cantidad]])</f>
        <v>75000</v>
      </c>
      <c r="S75">
        <f>ventas[[#This Row],[Total_Productos]]*ventas[[#This Row],[descuento_pct]]</f>
        <v>7500</v>
      </c>
      <c r="T75">
        <f>ventas[[#This Row],[Total_Productos]]-ventas[[#This Row],[Valor_descuento]]</f>
        <v>67500</v>
      </c>
    </row>
    <row r="76" spans="1:20" x14ac:dyDescent="0.3">
      <c r="A76">
        <v>166</v>
      </c>
      <c r="B76" s="1">
        <v>45093</v>
      </c>
      <c r="C76">
        <v>5</v>
      </c>
      <c r="D76">
        <v>1</v>
      </c>
      <c r="E76">
        <v>267</v>
      </c>
      <c r="F76" t="s">
        <v>253</v>
      </c>
      <c r="G76" t="s">
        <v>254</v>
      </c>
      <c r="H76" t="s">
        <v>42</v>
      </c>
      <c r="I76">
        <v>57</v>
      </c>
      <c r="J76" t="s">
        <v>27</v>
      </c>
      <c r="K76" t="str">
        <f>_xlfn.XLOOKUP( ventas[[#This Row],[ciudad_cliente]],  ciudades[Ciudad], ciudades[Region])</f>
        <v>Biobío</v>
      </c>
      <c r="L76" t="s">
        <v>22</v>
      </c>
      <c r="M76" t="s">
        <v>56</v>
      </c>
      <c r="N76" t="str">
        <f>_xlfn.XLOOKUP(ventas[[#This Row],[producto]], categ[Producto], categ[Categoria])</f>
        <v>Vestuario</v>
      </c>
      <c r="O76">
        <v>25000</v>
      </c>
      <c r="P76">
        <v>3</v>
      </c>
      <c r="Q76" s="11">
        <v>0</v>
      </c>
      <c r="R76">
        <f>(ventas[[#This Row],[precio_unitario]]*ventas[[#This Row],[cantidad]])</f>
        <v>75000</v>
      </c>
      <c r="S76">
        <f>ventas[[#This Row],[Total_Productos]]*ventas[[#This Row],[descuento_pct]]</f>
        <v>0</v>
      </c>
      <c r="T76">
        <f>ventas[[#This Row],[Total_Productos]]-ventas[[#This Row],[Valor_descuento]]</f>
        <v>75000</v>
      </c>
    </row>
    <row r="77" spans="1:20" x14ac:dyDescent="0.3">
      <c r="A77">
        <v>273</v>
      </c>
      <c r="B77" s="1">
        <v>45200</v>
      </c>
      <c r="C77">
        <v>45</v>
      </c>
      <c r="D77">
        <v>2</v>
      </c>
      <c r="E77">
        <v>267</v>
      </c>
      <c r="F77" t="s">
        <v>253</v>
      </c>
      <c r="G77" t="s">
        <v>254</v>
      </c>
      <c r="H77" t="s">
        <v>42</v>
      </c>
      <c r="I77">
        <v>57</v>
      </c>
      <c r="J77" t="s">
        <v>27</v>
      </c>
      <c r="K77" t="str">
        <f>_xlfn.XLOOKUP( ventas[[#This Row],[ciudad_cliente]],  ciudades[Ciudad], ciudades[Region])</f>
        <v>Biobío</v>
      </c>
      <c r="L77" t="s">
        <v>38</v>
      </c>
      <c r="M77" t="s">
        <v>39</v>
      </c>
      <c r="N77" t="str">
        <f>_xlfn.XLOOKUP(ventas[[#This Row],[producto]], categ[Producto], categ[Categoria])</f>
        <v>Belleza</v>
      </c>
      <c r="O77">
        <v>35000</v>
      </c>
      <c r="P77">
        <v>3</v>
      </c>
      <c r="Q77" s="11">
        <v>0.1</v>
      </c>
      <c r="R77">
        <f>(ventas[[#This Row],[precio_unitario]]*ventas[[#This Row],[cantidad]])</f>
        <v>105000</v>
      </c>
      <c r="S77">
        <f>ventas[[#This Row],[Total_Productos]]*ventas[[#This Row],[descuento_pct]]</f>
        <v>10500</v>
      </c>
      <c r="T77">
        <f>ventas[[#This Row],[Total_Productos]]-ventas[[#This Row],[Valor_descuento]]</f>
        <v>94500</v>
      </c>
    </row>
    <row r="78" spans="1:20" x14ac:dyDescent="0.3">
      <c r="A78">
        <v>795</v>
      </c>
      <c r="B78" s="1">
        <v>45722</v>
      </c>
      <c r="C78">
        <v>60</v>
      </c>
      <c r="D78">
        <v>1</v>
      </c>
      <c r="E78">
        <v>267</v>
      </c>
      <c r="F78" t="s">
        <v>253</v>
      </c>
      <c r="G78" t="s">
        <v>254</v>
      </c>
      <c r="H78" t="s">
        <v>42</v>
      </c>
      <c r="I78">
        <v>57</v>
      </c>
      <c r="J78" t="s">
        <v>37</v>
      </c>
      <c r="K78" t="str">
        <f>_xlfn.XLOOKUP( ventas[[#This Row],[ciudad_cliente]],  ciudades[Ciudad], ciudades[Region])</f>
        <v>Valparaíso</v>
      </c>
      <c r="L78" t="s">
        <v>22</v>
      </c>
      <c r="M78" t="s">
        <v>30</v>
      </c>
      <c r="N78" t="str">
        <f>_xlfn.XLOOKUP(ventas[[#This Row],[producto]], categ[Producto], categ[Categoria])</f>
        <v>Electrohogar</v>
      </c>
      <c r="O78">
        <v>700000</v>
      </c>
      <c r="P78">
        <v>2</v>
      </c>
      <c r="Q78" s="11">
        <v>0</v>
      </c>
      <c r="R78">
        <f>(ventas[[#This Row],[precio_unitario]]*ventas[[#This Row],[cantidad]])</f>
        <v>1400000</v>
      </c>
      <c r="S78">
        <f>ventas[[#This Row],[Total_Productos]]*ventas[[#This Row],[descuento_pct]]</f>
        <v>0</v>
      </c>
      <c r="T78">
        <f>ventas[[#This Row],[Total_Productos]]-ventas[[#This Row],[Valor_descuento]]</f>
        <v>1400000</v>
      </c>
    </row>
    <row r="79" spans="1:20" x14ac:dyDescent="0.3">
      <c r="A79">
        <v>960</v>
      </c>
      <c r="B79" s="1">
        <v>45887</v>
      </c>
      <c r="C79">
        <v>58</v>
      </c>
      <c r="D79">
        <v>1</v>
      </c>
      <c r="E79">
        <v>267</v>
      </c>
      <c r="F79" t="s">
        <v>253</v>
      </c>
      <c r="G79" t="s">
        <v>254</v>
      </c>
      <c r="H79" t="s">
        <v>42</v>
      </c>
      <c r="I79">
        <v>57</v>
      </c>
      <c r="J79" t="s">
        <v>76</v>
      </c>
      <c r="K79" t="str">
        <f>_xlfn.XLOOKUP( ventas[[#This Row],[ciudad_cliente]],  ciudades[Ciudad], ciudades[Region])</f>
        <v>Los Lagos</v>
      </c>
      <c r="L79" t="s">
        <v>22</v>
      </c>
      <c r="M79" t="s">
        <v>69</v>
      </c>
      <c r="N79" t="str">
        <f>_xlfn.XLOOKUP(ventas[[#This Row],[producto]], categ[Producto], categ[Categoria])</f>
        <v>Tecnología</v>
      </c>
      <c r="O79">
        <v>450000</v>
      </c>
      <c r="P79">
        <v>1</v>
      </c>
      <c r="Q79" s="11">
        <v>0</v>
      </c>
      <c r="R79">
        <f>(ventas[[#This Row],[precio_unitario]]*ventas[[#This Row],[cantidad]])</f>
        <v>450000</v>
      </c>
      <c r="S79">
        <f>ventas[[#This Row],[Total_Productos]]*ventas[[#This Row],[descuento_pct]]</f>
        <v>0</v>
      </c>
      <c r="T79">
        <f>ventas[[#This Row],[Total_Productos]]-ventas[[#This Row],[Valor_descuento]]</f>
        <v>450000</v>
      </c>
    </row>
    <row r="80" spans="1:20" x14ac:dyDescent="0.3">
      <c r="A80">
        <v>247</v>
      </c>
      <c r="B80" s="1">
        <v>45174</v>
      </c>
      <c r="C80">
        <v>61</v>
      </c>
      <c r="D80">
        <v>3</v>
      </c>
      <c r="E80">
        <v>8</v>
      </c>
      <c r="F80" t="s">
        <v>396</v>
      </c>
      <c r="G80" t="s">
        <v>397</v>
      </c>
      <c r="H80" t="s">
        <v>42</v>
      </c>
      <c r="I80">
        <v>47</v>
      </c>
      <c r="J80" t="s">
        <v>52</v>
      </c>
      <c r="K80" t="str">
        <f>_xlfn.XLOOKUP( ventas[[#This Row],[ciudad_cliente]],  ciudades[Ciudad], ciudades[Region])</f>
        <v>Biobío</v>
      </c>
      <c r="L80" t="s">
        <v>38</v>
      </c>
      <c r="M80" t="s">
        <v>98</v>
      </c>
      <c r="N80" t="str">
        <f>_xlfn.XLOOKUP(ventas[[#This Row],[producto]], categ[Producto], categ[Categoria])</f>
        <v>Calzado</v>
      </c>
      <c r="O80">
        <v>55000</v>
      </c>
      <c r="P80">
        <v>2</v>
      </c>
      <c r="Q80" s="11">
        <v>0</v>
      </c>
      <c r="R80">
        <f>(ventas[[#This Row],[precio_unitario]]*ventas[[#This Row],[cantidad]])</f>
        <v>110000</v>
      </c>
      <c r="S80">
        <f>ventas[[#This Row],[Total_Productos]]*ventas[[#This Row],[descuento_pct]]</f>
        <v>0</v>
      </c>
      <c r="T80">
        <f>ventas[[#This Row],[Total_Productos]]-ventas[[#This Row],[Valor_descuento]]</f>
        <v>110000</v>
      </c>
    </row>
    <row r="81" spans="1:20" x14ac:dyDescent="0.3">
      <c r="A81">
        <v>512</v>
      </c>
      <c r="B81" s="1">
        <v>45439</v>
      </c>
      <c r="C81">
        <v>48</v>
      </c>
      <c r="D81">
        <v>6</v>
      </c>
      <c r="E81">
        <v>8</v>
      </c>
      <c r="F81" t="s">
        <v>396</v>
      </c>
      <c r="G81" t="s">
        <v>397</v>
      </c>
      <c r="H81" t="s">
        <v>42</v>
      </c>
      <c r="I81">
        <v>47</v>
      </c>
      <c r="J81" t="s">
        <v>37</v>
      </c>
      <c r="K81" t="str">
        <f>_xlfn.XLOOKUP( ventas[[#This Row],[ciudad_cliente]],  ciudades[Ciudad], ciudades[Region])</f>
        <v>Valparaíso</v>
      </c>
      <c r="L81" t="s">
        <v>38</v>
      </c>
      <c r="M81" t="s">
        <v>98</v>
      </c>
      <c r="N81" t="str">
        <f>_xlfn.XLOOKUP(ventas[[#This Row],[producto]], categ[Producto], categ[Categoria])</f>
        <v>Calzado</v>
      </c>
      <c r="O81">
        <v>55000</v>
      </c>
      <c r="P81">
        <v>2</v>
      </c>
      <c r="Q81" s="11">
        <v>0</v>
      </c>
      <c r="R81">
        <f>(ventas[[#This Row],[precio_unitario]]*ventas[[#This Row],[cantidad]])</f>
        <v>110000</v>
      </c>
      <c r="S81">
        <f>ventas[[#This Row],[Total_Productos]]*ventas[[#This Row],[descuento_pct]]</f>
        <v>0</v>
      </c>
      <c r="T81">
        <f>ventas[[#This Row],[Total_Productos]]-ventas[[#This Row],[Valor_descuento]]</f>
        <v>110000</v>
      </c>
    </row>
    <row r="82" spans="1:20" x14ac:dyDescent="0.3">
      <c r="A82">
        <v>686</v>
      </c>
      <c r="B82" s="1">
        <v>45613</v>
      </c>
      <c r="C82">
        <v>30</v>
      </c>
      <c r="D82">
        <v>0</v>
      </c>
      <c r="E82">
        <v>8</v>
      </c>
      <c r="F82" t="s">
        <v>396</v>
      </c>
      <c r="G82" t="s">
        <v>397</v>
      </c>
      <c r="H82" t="s">
        <v>42</v>
      </c>
      <c r="I82">
        <v>47</v>
      </c>
      <c r="J82" t="s">
        <v>37</v>
      </c>
      <c r="K82" t="str">
        <f>_xlfn.XLOOKUP( ventas[[#This Row],[ciudad_cliente]],  ciudades[Ciudad], ciudades[Region])</f>
        <v>Valparaíso</v>
      </c>
      <c r="L82" t="s">
        <v>22</v>
      </c>
      <c r="M82" t="s">
        <v>23</v>
      </c>
      <c r="N82" t="str">
        <f>_xlfn.XLOOKUP(ventas[[#This Row],[producto]], categ[Producto], categ[Categoria])</f>
        <v>Belleza</v>
      </c>
      <c r="O82">
        <v>15000</v>
      </c>
      <c r="P82">
        <v>1</v>
      </c>
      <c r="Q82" s="11">
        <v>0</v>
      </c>
      <c r="R82">
        <f>(ventas[[#This Row],[precio_unitario]]*ventas[[#This Row],[cantidad]])</f>
        <v>15000</v>
      </c>
      <c r="S82">
        <f>ventas[[#This Row],[Total_Productos]]*ventas[[#This Row],[descuento_pct]]</f>
        <v>0</v>
      </c>
      <c r="T82">
        <f>ventas[[#This Row],[Total_Productos]]-ventas[[#This Row],[Valor_descuento]]</f>
        <v>15000</v>
      </c>
    </row>
    <row r="83" spans="1:20" x14ac:dyDescent="0.3">
      <c r="A83">
        <v>103</v>
      </c>
      <c r="B83" s="1">
        <v>45030</v>
      </c>
      <c r="C83">
        <v>55</v>
      </c>
      <c r="D83">
        <v>9</v>
      </c>
      <c r="E83">
        <v>169</v>
      </c>
      <c r="F83" t="s">
        <v>231</v>
      </c>
      <c r="G83" t="s">
        <v>232</v>
      </c>
      <c r="H83" t="s">
        <v>42</v>
      </c>
      <c r="I83">
        <v>35</v>
      </c>
      <c r="J83" t="s">
        <v>43</v>
      </c>
      <c r="K83" t="str">
        <f>_xlfn.XLOOKUP( ventas[[#This Row],[ciudad_cliente]],  ciudades[Ciudad], ciudades[Region])</f>
        <v>Antofagasta</v>
      </c>
      <c r="L83" t="s">
        <v>38</v>
      </c>
      <c r="M83" t="s">
        <v>39</v>
      </c>
      <c r="N83" t="str">
        <f>_xlfn.XLOOKUP(ventas[[#This Row],[producto]], categ[Producto], categ[Categoria])</f>
        <v>Belleza</v>
      </c>
      <c r="O83">
        <v>35000</v>
      </c>
      <c r="P83">
        <v>1</v>
      </c>
      <c r="Q83" s="11">
        <v>0.05</v>
      </c>
      <c r="R83">
        <f>(ventas[[#This Row],[precio_unitario]]*ventas[[#This Row],[cantidad]])</f>
        <v>35000</v>
      </c>
      <c r="S83">
        <f>ventas[[#This Row],[Total_Productos]]*ventas[[#This Row],[descuento_pct]]</f>
        <v>1750</v>
      </c>
      <c r="T83">
        <f>ventas[[#This Row],[Total_Productos]]-ventas[[#This Row],[Valor_descuento]]</f>
        <v>33250</v>
      </c>
    </row>
    <row r="84" spans="1:20" x14ac:dyDescent="0.3">
      <c r="A84">
        <v>224</v>
      </c>
      <c r="B84" s="1">
        <v>45151</v>
      </c>
      <c r="C84">
        <v>44</v>
      </c>
      <c r="D84">
        <v>7</v>
      </c>
      <c r="E84">
        <v>169</v>
      </c>
      <c r="F84" t="s">
        <v>231</v>
      </c>
      <c r="G84" t="s">
        <v>232</v>
      </c>
      <c r="H84" t="s">
        <v>42</v>
      </c>
      <c r="I84">
        <v>35</v>
      </c>
      <c r="J84" t="s">
        <v>43</v>
      </c>
      <c r="K84" t="str">
        <f>_xlfn.XLOOKUP( ventas[[#This Row],[ciudad_cliente]],  ciudades[Ciudad], ciudades[Region])</f>
        <v>Antofagasta</v>
      </c>
      <c r="L84" t="s">
        <v>38</v>
      </c>
      <c r="M84" t="s">
        <v>102</v>
      </c>
      <c r="N84" t="str">
        <f>_xlfn.XLOOKUP(ventas[[#This Row],[producto]], categ[Producto], categ[Categoria])</f>
        <v>Vestuario</v>
      </c>
      <c r="O84">
        <v>12000</v>
      </c>
      <c r="P84">
        <v>1</v>
      </c>
      <c r="Q84" s="11">
        <v>0.05</v>
      </c>
      <c r="R84">
        <f>(ventas[[#This Row],[precio_unitario]]*ventas[[#This Row],[cantidad]])</f>
        <v>12000</v>
      </c>
      <c r="S84">
        <f>ventas[[#This Row],[Total_Productos]]*ventas[[#This Row],[descuento_pct]]</f>
        <v>600</v>
      </c>
      <c r="T84">
        <f>ventas[[#This Row],[Total_Productos]]-ventas[[#This Row],[Valor_descuento]]</f>
        <v>11400</v>
      </c>
    </row>
    <row r="85" spans="1:20" x14ac:dyDescent="0.3">
      <c r="A85">
        <v>890</v>
      </c>
      <c r="B85" s="1">
        <v>45817</v>
      </c>
      <c r="C85">
        <v>53</v>
      </c>
      <c r="D85">
        <v>1</v>
      </c>
      <c r="E85">
        <v>169</v>
      </c>
      <c r="F85" t="s">
        <v>231</v>
      </c>
      <c r="G85" t="s">
        <v>232</v>
      </c>
      <c r="H85" t="s">
        <v>42</v>
      </c>
      <c r="I85">
        <v>35</v>
      </c>
      <c r="J85" t="s">
        <v>76</v>
      </c>
      <c r="K85" t="str">
        <f>_xlfn.XLOOKUP( ventas[[#This Row],[ciudad_cliente]],  ciudades[Ciudad], ciudades[Region])</f>
        <v>Los Lagos</v>
      </c>
      <c r="L85" t="s">
        <v>38</v>
      </c>
      <c r="M85" t="s">
        <v>102</v>
      </c>
      <c r="N85" t="str">
        <f>_xlfn.XLOOKUP(ventas[[#This Row],[producto]], categ[Producto], categ[Categoria])</f>
        <v>Vestuario</v>
      </c>
      <c r="O85">
        <v>12000</v>
      </c>
      <c r="P85">
        <v>1</v>
      </c>
      <c r="Q85" s="11">
        <v>0.05</v>
      </c>
      <c r="R85">
        <f>(ventas[[#This Row],[precio_unitario]]*ventas[[#This Row],[cantidad]])</f>
        <v>12000</v>
      </c>
      <c r="S85">
        <f>ventas[[#This Row],[Total_Productos]]*ventas[[#This Row],[descuento_pct]]</f>
        <v>600</v>
      </c>
      <c r="T85">
        <f>ventas[[#This Row],[Total_Productos]]-ventas[[#This Row],[Valor_descuento]]</f>
        <v>11400</v>
      </c>
    </row>
    <row r="86" spans="1:20" x14ac:dyDescent="0.3">
      <c r="A86">
        <v>979</v>
      </c>
      <c r="B86" s="1">
        <v>45906</v>
      </c>
      <c r="C86">
        <v>15</v>
      </c>
      <c r="D86">
        <v>0</v>
      </c>
      <c r="E86">
        <v>169</v>
      </c>
      <c r="F86" t="s">
        <v>231</v>
      </c>
      <c r="G86" t="s">
        <v>232</v>
      </c>
      <c r="H86" t="s">
        <v>42</v>
      </c>
      <c r="I86">
        <v>35</v>
      </c>
      <c r="J86" t="s">
        <v>34</v>
      </c>
      <c r="K86" t="str">
        <f>_xlfn.XLOOKUP( ventas[[#This Row],[ciudad_cliente]],  ciudades[Ciudad], ciudades[Region])</f>
        <v>Metropolitana</v>
      </c>
      <c r="L86" t="s">
        <v>22</v>
      </c>
      <c r="M86" t="s">
        <v>39</v>
      </c>
      <c r="N86" t="str">
        <f>_xlfn.XLOOKUP(ventas[[#This Row],[producto]], categ[Producto], categ[Categoria])</f>
        <v>Belleza</v>
      </c>
      <c r="O86">
        <v>35000</v>
      </c>
      <c r="P86">
        <v>2</v>
      </c>
      <c r="Q86" s="11">
        <v>0</v>
      </c>
      <c r="R86">
        <f>(ventas[[#This Row],[precio_unitario]]*ventas[[#This Row],[cantidad]])</f>
        <v>70000</v>
      </c>
      <c r="S86">
        <f>ventas[[#This Row],[Total_Productos]]*ventas[[#This Row],[descuento_pct]]</f>
        <v>0</v>
      </c>
      <c r="T86">
        <f>ventas[[#This Row],[Total_Productos]]-ventas[[#This Row],[Valor_descuento]]</f>
        <v>70000</v>
      </c>
    </row>
    <row r="87" spans="1:20" x14ac:dyDescent="0.3">
      <c r="A87">
        <v>579</v>
      </c>
      <c r="B87" s="1">
        <v>45506</v>
      </c>
      <c r="C87">
        <v>7</v>
      </c>
      <c r="D87">
        <v>8</v>
      </c>
      <c r="E87">
        <v>245</v>
      </c>
      <c r="F87" t="s">
        <v>556</v>
      </c>
      <c r="G87" t="s">
        <v>557</v>
      </c>
      <c r="H87" t="s">
        <v>42</v>
      </c>
      <c r="I87">
        <v>23</v>
      </c>
      <c r="J87" t="s">
        <v>37</v>
      </c>
      <c r="K87" t="str">
        <f>_xlfn.XLOOKUP( ventas[[#This Row],[ciudad_cliente]],  ciudades[Ciudad], ciudades[Region])</f>
        <v>Valparaíso</v>
      </c>
      <c r="L87" t="s">
        <v>22</v>
      </c>
      <c r="M87" t="s">
        <v>49</v>
      </c>
      <c r="N87" t="str">
        <f>_xlfn.XLOOKUP(ventas[[#This Row],[producto]], categ[Producto], categ[Categoria])</f>
        <v>Electrohogar</v>
      </c>
      <c r="O87">
        <v>800000</v>
      </c>
      <c r="P87">
        <v>3</v>
      </c>
      <c r="Q87" s="11">
        <v>0.1</v>
      </c>
      <c r="R87">
        <f>(ventas[[#This Row],[precio_unitario]]*ventas[[#This Row],[cantidad]])</f>
        <v>2400000</v>
      </c>
      <c r="S87">
        <f>ventas[[#This Row],[Total_Productos]]*ventas[[#This Row],[descuento_pct]]</f>
        <v>240000</v>
      </c>
      <c r="T87">
        <f>ventas[[#This Row],[Total_Productos]]-ventas[[#This Row],[Valor_descuento]]</f>
        <v>2160000</v>
      </c>
    </row>
    <row r="88" spans="1:20" x14ac:dyDescent="0.3">
      <c r="A88">
        <v>104</v>
      </c>
      <c r="B88" s="1">
        <v>45031</v>
      </c>
      <c r="C88">
        <v>9</v>
      </c>
      <c r="D88">
        <v>9</v>
      </c>
      <c r="E88">
        <v>64</v>
      </c>
      <c r="F88" t="s">
        <v>233</v>
      </c>
      <c r="G88" t="s">
        <v>234</v>
      </c>
      <c r="H88" t="s">
        <v>19</v>
      </c>
      <c r="I88">
        <v>23</v>
      </c>
      <c r="J88" t="s">
        <v>37</v>
      </c>
      <c r="K88" t="str">
        <f>_xlfn.XLOOKUP( ventas[[#This Row],[ciudad_cliente]],  ciudades[Ciudad], ciudades[Region])</f>
        <v>Valparaíso</v>
      </c>
      <c r="L88" t="s">
        <v>38</v>
      </c>
      <c r="M88" t="s">
        <v>23</v>
      </c>
      <c r="N88" t="str">
        <f>_xlfn.XLOOKUP(ventas[[#This Row],[producto]], categ[Producto], categ[Categoria])</f>
        <v>Belleza</v>
      </c>
      <c r="O88">
        <v>15000</v>
      </c>
      <c r="P88">
        <v>3</v>
      </c>
      <c r="Q88" s="11">
        <v>0.05</v>
      </c>
      <c r="R88">
        <f>(ventas[[#This Row],[precio_unitario]]*ventas[[#This Row],[cantidad]])</f>
        <v>45000</v>
      </c>
      <c r="S88">
        <f>ventas[[#This Row],[Total_Productos]]*ventas[[#This Row],[descuento_pct]]</f>
        <v>2250</v>
      </c>
      <c r="T88">
        <f>ventas[[#This Row],[Total_Productos]]-ventas[[#This Row],[Valor_descuento]]</f>
        <v>42750</v>
      </c>
    </row>
    <row r="89" spans="1:20" x14ac:dyDescent="0.3">
      <c r="A89">
        <v>141</v>
      </c>
      <c r="B89" s="1">
        <v>45068</v>
      </c>
      <c r="C89">
        <v>44</v>
      </c>
      <c r="D89">
        <v>7</v>
      </c>
      <c r="E89">
        <v>64</v>
      </c>
      <c r="F89" t="s">
        <v>233</v>
      </c>
      <c r="G89" t="s">
        <v>234</v>
      </c>
      <c r="H89" t="s">
        <v>19</v>
      </c>
      <c r="I89">
        <v>23</v>
      </c>
      <c r="J89" t="s">
        <v>43</v>
      </c>
      <c r="K89" t="str">
        <f>_xlfn.XLOOKUP( ventas[[#This Row],[ciudad_cliente]],  ciudades[Ciudad], ciudades[Region])</f>
        <v>Antofagasta</v>
      </c>
      <c r="L89" t="s">
        <v>22</v>
      </c>
      <c r="M89" t="s">
        <v>102</v>
      </c>
      <c r="N89" t="str">
        <f>_xlfn.XLOOKUP(ventas[[#This Row],[producto]], categ[Producto], categ[Categoria])</f>
        <v>Vestuario</v>
      </c>
      <c r="O89">
        <v>12000</v>
      </c>
      <c r="P89">
        <v>3</v>
      </c>
      <c r="Q89" s="11">
        <v>0.05</v>
      </c>
      <c r="R89">
        <f>(ventas[[#This Row],[precio_unitario]]*ventas[[#This Row],[cantidad]])</f>
        <v>36000</v>
      </c>
      <c r="S89">
        <f>ventas[[#This Row],[Total_Productos]]*ventas[[#This Row],[descuento_pct]]</f>
        <v>1800</v>
      </c>
      <c r="T89">
        <f>ventas[[#This Row],[Total_Productos]]-ventas[[#This Row],[Valor_descuento]]</f>
        <v>34200</v>
      </c>
    </row>
    <row r="90" spans="1:20" x14ac:dyDescent="0.3">
      <c r="A90">
        <v>603</v>
      </c>
      <c r="B90" s="1">
        <v>45530</v>
      </c>
      <c r="C90">
        <v>57</v>
      </c>
      <c r="D90">
        <v>3</v>
      </c>
      <c r="E90">
        <v>64</v>
      </c>
      <c r="F90" t="s">
        <v>233</v>
      </c>
      <c r="G90" t="s">
        <v>234</v>
      </c>
      <c r="H90" t="s">
        <v>19</v>
      </c>
      <c r="I90">
        <v>23</v>
      </c>
      <c r="J90" t="s">
        <v>52</v>
      </c>
      <c r="K90" t="str">
        <f>_xlfn.XLOOKUP( ventas[[#This Row],[ciudad_cliente]],  ciudades[Ciudad], ciudades[Region])</f>
        <v>Biobío</v>
      </c>
      <c r="L90" t="s">
        <v>38</v>
      </c>
      <c r="M90" t="s">
        <v>23</v>
      </c>
      <c r="N90" t="str">
        <f>_xlfn.XLOOKUP(ventas[[#This Row],[producto]], categ[Producto], categ[Categoria])</f>
        <v>Belleza</v>
      </c>
      <c r="O90">
        <v>15000</v>
      </c>
      <c r="P90">
        <v>3</v>
      </c>
      <c r="Q90" s="11">
        <v>0.1</v>
      </c>
      <c r="R90">
        <f>(ventas[[#This Row],[precio_unitario]]*ventas[[#This Row],[cantidad]])</f>
        <v>45000</v>
      </c>
      <c r="S90">
        <f>ventas[[#This Row],[Total_Productos]]*ventas[[#This Row],[descuento_pct]]</f>
        <v>4500</v>
      </c>
      <c r="T90">
        <f>ventas[[#This Row],[Total_Productos]]-ventas[[#This Row],[Valor_descuento]]</f>
        <v>40500</v>
      </c>
    </row>
    <row r="91" spans="1:20" x14ac:dyDescent="0.3">
      <c r="A91">
        <v>690</v>
      </c>
      <c r="B91" s="1">
        <v>45617</v>
      </c>
      <c r="C91">
        <v>32</v>
      </c>
      <c r="D91">
        <v>5</v>
      </c>
      <c r="E91">
        <v>64</v>
      </c>
      <c r="F91" t="s">
        <v>233</v>
      </c>
      <c r="G91" t="s">
        <v>234</v>
      </c>
      <c r="H91" t="s">
        <v>19</v>
      </c>
      <c r="I91">
        <v>23</v>
      </c>
      <c r="J91" t="s">
        <v>76</v>
      </c>
      <c r="K91" t="str">
        <f>_xlfn.XLOOKUP( ventas[[#This Row],[ciudad_cliente]],  ciudades[Ciudad], ciudades[Region])</f>
        <v>Los Lagos</v>
      </c>
      <c r="L91" t="s">
        <v>38</v>
      </c>
      <c r="M91" t="s">
        <v>56</v>
      </c>
      <c r="N91" t="str">
        <f>_xlfn.XLOOKUP(ventas[[#This Row],[producto]], categ[Producto], categ[Categoria])</f>
        <v>Vestuario</v>
      </c>
      <c r="O91">
        <v>25000</v>
      </c>
      <c r="P91">
        <v>2</v>
      </c>
      <c r="Q91" s="11">
        <v>0.05</v>
      </c>
      <c r="R91">
        <f>(ventas[[#This Row],[precio_unitario]]*ventas[[#This Row],[cantidad]])</f>
        <v>50000</v>
      </c>
      <c r="S91">
        <f>ventas[[#This Row],[Total_Productos]]*ventas[[#This Row],[descuento_pct]]</f>
        <v>2500</v>
      </c>
      <c r="T91">
        <f>ventas[[#This Row],[Total_Productos]]-ventas[[#This Row],[Valor_descuento]]</f>
        <v>47500</v>
      </c>
    </row>
    <row r="92" spans="1:20" x14ac:dyDescent="0.3">
      <c r="A92">
        <v>66</v>
      </c>
      <c r="B92" s="1">
        <v>44993</v>
      </c>
      <c r="C92">
        <v>56</v>
      </c>
      <c r="D92">
        <v>2</v>
      </c>
      <c r="E92">
        <v>176</v>
      </c>
      <c r="F92" t="s">
        <v>171</v>
      </c>
      <c r="G92" t="s">
        <v>172</v>
      </c>
      <c r="H92" t="s">
        <v>42</v>
      </c>
      <c r="I92">
        <v>47</v>
      </c>
      <c r="J92" t="s">
        <v>27</v>
      </c>
      <c r="K92" t="str">
        <f>_xlfn.XLOOKUP( ventas[[#This Row],[ciudad_cliente]],  ciudades[Ciudad], ciudades[Region])</f>
        <v>Biobío</v>
      </c>
      <c r="L92" t="s">
        <v>22</v>
      </c>
      <c r="M92" t="s">
        <v>39</v>
      </c>
      <c r="N92" t="str">
        <f>_xlfn.XLOOKUP(ventas[[#This Row],[producto]], categ[Producto], categ[Categoria])</f>
        <v>Belleza</v>
      </c>
      <c r="O92">
        <v>35000</v>
      </c>
      <c r="P92">
        <v>2</v>
      </c>
      <c r="Q92" s="11">
        <v>0</v>
      </c>
      <c r="R92">
        <f>(ventas[[#This Row],[precio_unitario]]*ventas[[#This Row],[cantidad]])</f>
        <v>70000</v>
      </c>
      <c r="S92">
        <f>ventas[[#This Row],[Total_Productos]]*ventas[[#This Row],[descuento_pct]]</f>
        <v>0</v>
      </c>
      <c r="T92">
        <f>ventas[[#This Row],[Total_Productos]]-ventas[[#This Row],[Valor_descuento]]</f>
        <v>70000</v>
      </c>
    </row>
    <row r="93" spans="1:20" x14ac:dyDescent="0.3">
      <c r="A93">
        <v>196</v>
      </c>
      <c r="B93" s="1">
        <v>45123</v>
      </c>
      <c r="C93">
        <v>31</v>
      </c>
      <c r="D93">
        <v>4</v>
      </c>
      <c r="E93">
        <v>176</v>
      </c>
      <c r="F93" t="s">
        <v>171</v>
      </c>
      <c r="G93" t="s">
        <v>172</v>
      </c>
      <c r="H93" t="s">
        <v>42</v>
      </c>
      <c r="I93">
        <v>47</v>
      </c>
      <c r="J93" t="s">
        <v>101</v>
      </c>
      <c r="K93" t="str">
        <f>_xlfn.XLOOKUP( ventas[[#This Row],[ciudad_cliente]],  ciudades[Ciudad], ciudades[Region])</f>
        <v>O'Higgins</v>
      </c>
      <c r="L93" t="s">
        <v>22</v>
      </c>
      <c r="M93" t="s">
        <v>62</v>
      </c>
      <c r="N93" t="str">
        <f>_xlfn.XLOOKUP(ventas[[#This Row],[producto]], categ[Producto], categ[Categoria])</f>
        <v>Electrohogar</v>
      </c>
      <c r="O93">
        <v>650000</v>
      </c>
      <c r="P93">
        <v>2</v>
      </c>
      <c r="Q93" s="11">
        <v>0.1</v>
      </c>
      <c r="R93">
        <f>(ventas[[#This Row],[precio_unitario]]*ventas[[#This Row],[cantidad]])</f>
        <v>1300000</v>
      </c>
      <c r="S93">
        <f>ventas[[#This Row],[Total_Productos]]*ventas[[#This Row],[descuento_pct]]</f>
        <v>130000</v>
      </c>
      <c r="T93">
        <f>ventas[[#This Row],[Total_Productos]]-ventas[[#This Row],[Valor_descuento]]</f>
        <v>1170000</v>
      </c>
    </row>
    <row r="94" spans="1:20" x14ac:dyDescent="0.3">
      <c r="A94">
        <v>237</v>
      </c>
      <c r="B94" s="1">
        <v>45164</v>
      </c>
      <c r="C94">
        <v>42</v>
      </c>
      <c r="D94">
        <v>4</v>
      </c>
      <c r="E94">
        <v>176</v>
      </c>
      <c r="F94" t="s">
        <v>171</v>
      </c>
      <c r="G94" t="s">
        <v>172</v>
      </c>
      <c r="H94" t="s">
        <v>42</v>
      </c>
      <c r="I94">
        <v>47</v>
      </c>
      <c r="J94" t="s">
        <v>27</v>
      </c>
      <c r="K94" t="str">
        <f>_xlfn.XLOOKUP( ventas[[#This Row],[ciudad_cliente]],  ciudades[Ciudad], ciudades[Region])</f>
        <v>Biobío</v>
      </c>
      <c r="L94" t="s">
        <v>38</v>
      </c>
      <c r="M94" t="s">
        <v>56</v>
      </c>
      <c r="N94" t="str">
        <f>_xlfn.XLOOKUP(ventas[[#This Row],[producto]], categ[Producto], categ[Categoria])</f>
        <v>Vestuario</v>
      </c>
      <c r="O94">
        <v>25000</v>
      </c>
      <c r="P94">
        <v>1</v>
      </c>
      <c r="Q94" s="11">
        <v>0</v>
      </c>
      <c r="R94">
        <f>(ventas[[#This Row],[precio_unitario]]*ventas[[#This Row],[cantidad]])</f>
        <v>25000</v>
      </c>
      <c r="S94">
        <f>ventas[[#This Row],[Total_Productos]]*ventas[[#This Row],[descuento_pct]]</f>
        <v>0</v>
      </c>
      <c r="T94">
        <f>ventas[[#This Row],[Total_Productos]]-ventas[[#This Row],[Valor_descuento]]</f>
        <v>25000</v>
      </c>
    </row>
    <row r="95" spans="1:20" x14ac:dyDescent="0.3">
      <c r="A95">
        <v>161</v>
      </c>
      <c r="B95" s="1">
        <v>45088</v>
      </c>
      <c r="C95">
        <v>27</v>
      </c>
      <c r="D95">
        <v>4</v>
      </c>
      <c r="E95">
        <v>60</v>
      </c>
      <c r="F95" t="s">
        <v>308</v>
      </c>
      <c r="G95" t="s">
        <v>309</v>
      </c>
      <c r="H95" t="s">
        <v>19</v>
      </c>
      <c r="I95">
        <v>49</v>
      </c>
      <c r="J95" t="s">
        <v>116</v>
      </c>
      <c r="K95" t="str">
        <f>_xlfn.XLOOKUP( ventas[[#This Row],[ciudad_cliente]],  ciudades[Ciudad], ciudades[Region])</f>
        <v>Valparaíso</v>
      </c>
      <c r="L95" t="s">
        <v>22</v>
      </c>
      <c r="M95" t="s">
        <v>46</v>
      </c>
      <c r="N95" t="str">
        <f>_xlfn.XLOOKUP(ventas[[#This Row],[producto]], categ[Producto], categ[Categoria])</f>
        <v>Tecnología</v>
      </c>
      <c r="O95">
        <v>750000</v>
      </c>
      <c r="P95">
        <v>2</v>
      </c>
      <c r="Q95" s="11">
        <v>0.05</v>
      </c>
      <c r="R95">
        <f>(ventas[[#This Row],[precio_unitario]]*ventas[[#This Row],[cantidad]])</f>
        <v>1500000</v>
      </c>
      <c r="S95">
        <f>ventas[[#This Row],[Total_Productos]]*ventas[[#This Row],[descuento_pct]]</f>
        <v>75000</v>
      </c>
      <c r="T95">
        <f>ventas[[#This Row],[Total_Productos]]-ventas[[#This Row],[Valor_descuento]]</f>
        <v>1425000</v>
      </c>
    </row>
    <row r="96" spans="1:20" x14ac:dyDescent="0.3">
      <c r="A96">
        <v>268</v>
      </c>
      <c r="B96" s="1">
        <v>45195</v>
      </c>
      <c r="C96">
        <v>58</v>
      </c>
      <c r="D96">
        <v>1</v>
      </c>
      <c r="E96">
        <v>60</v>
      </c>
      <c r="F96" t="s">
        <v>308</v>
      </c>
      <c r="G96" t="s">
        <v>309</v>
      </c>
      <c r="H96" t="s">
        <v>19</v>
      </c>
      <c r="I96">
        <v>49</v>
      </c>
      <c r="J96" t="s">
        <v>76</v>
      </c>
      <c r="K96" t="str">
        <f>_xlfn.XLOOKUP( ventas[[#This Row],[ciudad_cliente]],  ciudades[Ciudad], ciudades[Region])</f>
        <v>Los Lagos</v>
      </c>
      <c r="L96" t="s">
        <v>38</v>
      </c>
      <c r="M96" t="s">
        <v>102</v>
      </c>
      <c r="N96" t="str">
        <f>_xlfn.XLOOKUP(ventas[[#This Row],[producto]], categ[Producto], categ[Categoria])</f>
        <v>Vestuario</v>
      </c>
      <c r="O96">
        <v>12000</v>
      </c>
      <c r="P96">
        <v>2</v>
      </c>
      <c r="Q96" s="11">
        <v>0</v>
      </c>
      <c r="R96">
        <f>(ventas[[#This Row],[precio_unitario]]*ventas[[#This Row],[cantidad]])</f>
        <v>24000</v>
      </c>
      <c r="S96">
        <f>ventas[[#This Row],[Total_Productos]]*ventas[[#This Row],[descuento_pct]]</f>
        <v>0</v>
      </c>
      <c r="T96">
        <f>ventas[[#This Row],[Total_Productos]]-ventas[[#This Row],[Valor_descuento]]</f>
        <v>24000</v>
      </c>
    </row>
    <row r="97" spans="1:20" x14ac:dyDescent="0.3">
      <c r="A97">
        <v>455</v>
      </c>
      <c r="B97" s="1">
        <v>45382</v>
      </c>
      <c r="C97">
        <v>22</v>
      </c>
      <c r="D97">
        <v>1</v>
      </c>
      <c r="E97">
        <v>60</v>
      </c>
      <c r="F97" t="s">
        <v>308</v>
      </c>
      <c r="G97" t="s">
        <v>309</v>
      </c>
      <c r="H97" t="s">
        <v>19</v>
      </c>
      <c r="I97">
        <v>49</v>
      </c>
      <c r="J97" t="s">
        <v>116</v>
      </c>
      <c r="K97" t="str">
        <f>_xlfn.XLOOKUP( ventas[[#This Row],[ciudad_cliente]],  ciudades[Ciudad], ciudades[Region])</f>
        <v>Valparaíso</v>
      </c>
      <c r="L97" t="s">
        <v>29</v>
      </c>
      <c r="M97" t="s">
        <v>56</v>
      </c>
      <c r="N97" t="str">
        <f>_xlfn.XLOOKUP(ventas[[#This Row],[producto]], categ[Producto], categ[Categoria])</f>
        <v>Vestuario</v>
      </c>
      <c r="O97">
        <v>25000</v>
      </c>
      <c r="P97">
        <v>2</v>
      </c>
      <c r="Q97" s="11">
        <v>0.1</v>
      </c>
      <c r="R97">
        <f>(ventas[[#This Row],[precio_unitario]]*ventas[[#This Row],[cantidad]])</f>
        <v>50000</v>
      </c>
      <c r="S97">
        <f>ventas[[#This Row],[Total_Productos]]*ventas[[#This Row],[descuento_pct]]</f>
        <v>5000</v>
      </c>
      <c r="T97">
        <f>ventas[[#This Row],[Total_Productos]]-ventas[[#This Row],[Valor_descuento]]</f>
        <v>45000</v>
      </c>
    </row>
    <row r="98" spans="1:20" x14ac:dyDescent="0.3">
      <c r="A98">
        <v>908</v>
      </c>
      <c r="B98" s="1">
        <v>45835</v>
      </c>
      <c r="C98">
        <v>6</v>
      </c>
      <c r="D98">
        <v>2</v>
      </c>
      <c r="E98">
        <v>60</v>
      </c>
      <c r="F98" t="s">
        <v>308</v>
      </c>
      <c r="G98" t="s">
        <v>309</v>
      </c>
      <c r="H98" t="s">
        <v>19</v>
      </c>
      <c r="I98">
        <v>49</v>
      </c>
      <c r="J98" t="s">
        <v>52</v>
      </c>
      <c r="K98" t="str">
        <f>_xlfn.XLOOKUP( ventas[[#This Row],[ciudad_cliente]],  ciudades[Ciudad], ciudades[Region])</f>
        <v>Biobío</v>
      </c>
      <c r="L98" t="s">
        <v>22</v>
      </c>
      <c r="M98" t="s">
        <v>102</v>
      </c>
      <c r="N98" t="str">
        <f>_xlfn.XLOOKUP(ventas[[#This Row],[producto]], categ[Producto], categ[Categoria])</f>
        <v>Vestuario</v>
      </c>
      <c r="O98">
        <v>12000</v>
      </c>
      <c r="P98">
        <v>3</v>
      </c>
      <c r="Q98" s="11">
        <v>0</v>
      </c>
      <c r="R98">
        <f>(ventas[[#This Row],[precio_unitario]]*ventas[[#This Row],[cantidad]])</f>
        <v>36000</v>
      </c>
      <c r="S98">
        <f>ventas[[#This Row],[Total_Productos]]*ventas[[#This Row],[descuento_pct]]</f>
        <v>0</v>
      </c>
      <c r="T98">
        <f>ventas[[#This Row],[Total_Productos]]-ventas[[#This Row],[Valor_descuento]]</f>
        <v>36000</v>
      </c>
    </row>
    <row r="99" spans="1:20" x14ac:dyDescent="0.3">
      <c r="A99">
        <v>376</v>
      </c>
      <c r="B99" s="1">
        <v>45303</v>
      </c>
      <c r="C99">
        <v>15</v>
      </c>
      <c r="D99">
        <v>0</v>
      </c>
      <c r="E99">
        <v>85</v>
      </c>
      <c r="F99" t="s">
        <v>492</v>
      </c>
      <c r="G99" t="s">
        <v>493</v>
      </c>
      <c r="H99" t="s">
        <v>19</v>
      </c>
      <c r="I99">
        <v>28</v>
      </c>
      <c r="J99" t="s">
        <v>34</v>
      </c>
      <c r="K99" t="str">
        <f>_xlfn.XLOOKUP( ventas[[#This Row],[ciudad_cliente]],  ciudades[Ciudad], ciudades[Region])</f>
        <v>Metropolitana</v>
      </c>
      <c r="L99" t="s">
        <v>38</v>
      </c>
      <c r="M99" t="s">
        <v>46</v>
      </c>
      <c r="N99" t="str">
        <f>_xlfn.XLOOKUP(ventas[[#This Row],[producto]], categ[Producto], categ[Categoria])</f>
        <v>Tecnología</v>
      </c>
      <c r="O99">
        <v>750000</v>
      </c>
      <c r="P99">
        <v>2</v>
      </c>
      <c r="Q99" s="11">
        <v>0</v>
      </c>
      <c r="R99">
        <f>(ventas[[#This Row],[precio_unitario]]*ventas[[#This Row],[cantidad]])</f>
        <v>1500000</v>
      </c>
      <c r="S99">
        <f>ventas[[#This Row],[Total_Productos]]*ventas[[#This Row],[descuento_pct]]</f>
        <v>0</v>
      </c>
      <c r="T99">
        <f>ventas[[#This Row],[Total_Productos]]-ventas[[#This Row],[Valor_descuento]]</f>
        <v>1500000</v>
      </c>
    </row>
    <row r="100" spans="1:20" x14ac:dyDescent="0.3">
      <c r="A100">
        <v>887</v>
      </c>
      <c r="B100" s="1">
        <v>45814</v>
      </c>
      <c r="C100">
        <v>69</v>
      </c>
      <c r="D100">
        <v>1</v>
      </c>
      <c r="E100">
        <v>85</v>
      </c>
      <c r="F100" t="s">
        <v>492</v>
      </c>
      <c r="G100" t="s">
        <v>493</v>
      </c>
      <c r="H100" t="s">
        <v>19</v>
      </c>
      <c r="I100">
        <v>28</v>
      </c>
      <c r="J100" t="s">
        <v>76</v>
      </c>
      <c r="K100" t="str">
        <f>_xlfn.XLOOKUP( ventas[[#This Row],[ciudad_cliente]],  ciudades[Ciudad], ciudades[Region])</f>
        <v>Los Lagos</v>
      </c>
      <c r="L100" t="s">
        <v>38</v>
      </c>
      <c r="M100" t="s">
        <v>56</v>
      </c>
      <c r="N100" t="str">
        <f>_xlfn.XLOOKUP(ventas[[#This Row],[producto]], categ[Producto], categ[Categoria])</f>
        <v>Vestuario</v>
      </c>
      <c r="O100">
        <v>25000</v>
      </c>
      <c r="P100">
        <v>2</v>
      </c>
      <c r="Q100" s="11">
        <v>0</v>
      </c>
      <c r="R100">
        <f>(ventas[[#This Row],[precio_unitario]]*ventas[[#This Row],[cantidad]])</f>
        <v>50000</v>
      </c>
      <c r="S100">
        <f>ventas[[#This Row],[Total_Productos]]*ventas[[#This Row],[descuento_pct]]</f>
        <v>0</v>
      </c>
      <c r="T100">
        <f>ventas[[#This Row],[Total_Productos]]-ventas[[#This Row],[Valor_descuento]]</f>
        <v>50000</v>
      </c>
    </row>
    <row r="101" spans="1:20" x14ac:dyDescent="0.3">
      <c r="A101">
        <v>922</v>
      </c>
      <c r="B101" s="1">
        <v>45849</v>
      </c>
      <c r="C101">
        <v>50</v>
      </c>
      <c r="D101">
        <v>0</v>
      </c>
      <c r="E101">
        <v>85</v>
      </c>
      <c r="F101" t="s">
        <v>492</v>
      </c>
      <c r="G101" t="s">
        <v>493</v>
      </c>
      <c r="H101" t="s">
        <v>19</v>
      </c>
      <c r="I101">
        <v>28</v>
      </c>
      <c r="J101" t="s">
        <v>20</v>
      </c>
      <c r="K101" t="str">
        <f>_xlfn.XLOOKUP( ventas[[#This Row],[ciudad_cliente]],  ciudades[Ciudad], ciudades[Region])</f>
        <v>La Araucanía</v>
      </c>
      <c r="L101" t="s">
        <v>22</v>
      </c>
      <c r="M101" t="s">
        <v>23</v>
      </c>
      <c r="N101" t="str">
        <f>_xlfn.XLOOKUP(ventas[[#This Row],[producto]], categ[Producto], categ[Categoria])</f>
        <v>Belleza</v>
      </c>
      <c r="O101">
        <v>15000</v>
      </c>
      <c r="P101">
        <v>3</v>
      </c>
      <c r="Q101" s="11">
        <v>0</v>
      </c>
      <c r="R101">
        <f>(ventas[[#This Row],[precio_unitario]]*ventas[[#This Row],[cantidad]])</f>
        <v>45000</v>
      </c>
      <c r="S101">
        <f>ventas[[#This Row],[Total_Productos]]*ventas[[#This Row],[descuento_pct]]</f>
        <v>0</v>
      </c>
      <c r="T101">
        <f>ventas[[#This Row],[Total_Productos]]-ventas[[#This Row],[Valor_descuento]]</f>
        <v>45000</v>
      </c>
    </row>
    <row r="102" spans="1:20" x14ac:dyDescent="0.3">
      <c r="A102">
        <v>187</v>
      </c>
      <c r="B102" s="1">
        <v>45114</v>
      </c>
      <c r="C102">
        <v>21</v>
      </c>
      <c r="D102">
        <v>5</v>
      </c>
      <c r="E102">
        <v>70</v>
      </c>
      <c r="F102" t="s">
        <v>344</v>
      </c>
      <c r="G102" t="s">
        <v>345</v>
      </c>
      <c r="H102" t="s">
        <v>42</v>
      </c>
      <c r="I102">
        <v>30</v>
      </c>
      <c r="J102" t="s">
        <v>76</v>
      </c>
      <c r="K102" t="str">
        <f>_xlfn.XLOOKUP( ventas[[#This Row],[ciudad_cliente]],  ciudades[Ciudad], ciudades[Region])</f>
        <v>Los Lagos</v>
      </c>
      <c r="L102" t="s">
        <v>38</v>
      </c>
      <c r="M102" t="s">
        <v>102</v>
      </c>
      <c r="N102" t="str">
        <f>_xlfn.XLOOKUP(ventas[[#This Row],[producto]], categ[Producto], categ[Categoria])</f>
        <v>Vestuario</v>
      </c>
      <c r="O102">
        <v>12000</v>
      </c>
      <c r="P102">
        <v>3</v>
      </c>
      <c r="Q102" s="11">
        <v>0</v>
      </c>
      <c r="R102">
        <f>(ventas[[#This Row],[precio_unitario]]*ventas[[#This Row],[cantidad]])</f>
        <v>36000</v>
      </c>
      <c r="S102">
        <f>ventas[[#This Row],[Total_Productos]]*ventas[[#This Row],[descuento_pct]]</f>
        <v>0</v>
      </c>
      <c r="T102">
        <f>ventas[[#This Row],[Total_Productos]]-ventas[[#This Row],[Valor_descuento]]</f>
        <v>36000</v>
      </c>
    </row>
    <row r="103" spans="1:20" x14ac:dyDescent="0.3">
      <c r="A103">
        <v>262</v>
      </c>
      <c r="B103" s="1">
        <v>45189</v>
      </c>
      <c r="C103">
        <v>62</v>
      </c>
      <c r="D103">
        <v>4</v>
      </c>
      <c r="E103">
        <v>70</v>
      </c>
      <c r="F103" t="s">
        <v>344</v>
      </c>
      <c r="G103" t="s">
        <v>345</v>
      </c>
      <c r="H103" t="s">
        <v>42</v>
      </c>
      <c r="I103">
        <v>30</v>
      </c>
      <c r="J103" t="s">
        <v>76</v>
      </c>
      <c r="K103" t="str">
        <f>_xlfn.XLOOKUP( ventas[[#This Row],[ciudad_cliente]],  ciudades[Ciudad], ciudades[Region])</f>
        <v>Los Lagos</v>
      </c>
      <c r="L103" t="s">
        <v>29</v>
      </c>
      <c r="M103" t="s">
        <v>62</v>
      </c>
      <c r="N103" t="str">
        <f>_xlfn.XLOOKUP(ventas[[#This Row],[producto]], categ[Producto], categ[Categoria])</f>
        <v>Electrohogar</v>
      </c>
      <c r="O103">
        <v>650000</v>
      </c>
      <c r="P103">
        <v>2</v>
      </c>
      <c r="Q103" s="11">
        <v>0.1</v>
      </c>
      <c r="R103">
        <f>(ventas[[#This Row],[precio_unitario]]*ventas[[#This Row],[cantidad]])</f>
        <v>1300000</v>
      </c>
      <c r="S103">
        <f>ventas[[#This Row],[Total_Productos]]*ventas[[#This Row],[descuento_pct]]</f>
        <v>130000</v>
      </c>
      <c r="T103">
        <f>ventas[[#This Row],[Total_Productos]]-ventas[[#This Row],[Valor_descuento]]</f>
        <v>1170000</v>
      </c>
    </row>
    <row r="104" spans="1:20" x14ac:dyDescent="0.3">
      <c r="A104">
        <v>539</v>
      </c>
      <c r="B104" s="1">
        <v>45466</v>
      </c>
      <c r="C104">
        <v>66</v>
      </c>
      <c r="D104">
        <v>2</v>
      </c>
      <c r="E104">
        <v>70</v>
      </c>
      <c r="F104" t="s">
        <v>344</v>
      </c>
      <c r="G104" t="s">
        <v>345</v>
      </c>
      <c r="H104" t="s">
        <v>42</v>
      </c>
      <c r="I104">
        <v>30</v>
      </c>
      <c r="J104" t="s">
        <v>27</v>
      </c>
      <c r="K104" t="str">
        <f>_xlfn.XLOOKUP( ventas[[#This Row],[ciudad_cliente]],  ciudades[Ciudad], ciudades[Region])</f>
        <v>Biobío</v>
      </c>
      <c r="L104" t="s">
        <v>22</v>
      </c>
      <c r="M104" t="s">
        <v>69</v>
      </c>
      <c r="N104" t="str">
        <f>_xlfn.XLOOKUP(ventas[[#This Row],[producto]], categ[Producto], categ[Categoria])</f>
        <v>Tecnología</v>
      </c>
      <c r="O104">
        <v>450000</v>
      </c>
      <c r="P104">
        <v>2</v>
      </c>
      <c r="Q104" s="11">
        <v>0</v>
      </c>
      <c r="R104">
        <f>(ventas[[#This Row],[precio_unitario]]*ventas[[#This Row],[cantidad]])</f>
        <v>900000</v>
      </c>
      <c r="S104">
        <f>ventas[[#This Row],[Total_Productos]]*ventas[[#This Row],[descuento_pct]]</f>
        <v>0</v>
      </c>
      <c r="T104">
        <f>ventas[[#This Row],[Total_Productos]]-ventas[[#This Row],[Valor_descuento]]</f>
        <v>900000</v>
      </c>
    </row>
    <row r="105" spans="1:20" x14ac:dyDescent="0.3">
      <c r="A105">
        <v>870</v>
      </c>
      <c r="B105" s="1">
        <v>45797</v>
      </c>
      <c r="C105">
        <v>36</v>
      </c>
      <c r="D105">
        <v>4</v>
      </c>
      <c r="E105">
        <v>70</v>
      </c>
      <c r="F105" t="s">
        <v>344</v>
      </c>
      <c r="G105" t="s">
        <v>345</v>
      </c>
      <c r="H105" t="s">
        <v>42</v>
      </c>
      <c r="I105">
        <v>30</v>
      </c>
      <c r="J105" t="s">
        <v>101</v>
      </c>
      <c r="K105" t="str">
        <f>_xlfn.XLOOKUP( ventas[[#This Row],[ciudad_cliente]],  ciudades[Ciudad], ciudades[Region])</f>
        <v>O'Higgins</v>
      </c>
      <c r="L105" t="s">
        <v>22</v>
      </c>
      <c r="M105" t="s">
        <v>49</v>
      </c>
      <c r="N105" t="str">
        <f>_xlfn.XLOOKUP(ventas[[#This Row],[producto]], categ[Producto], categ[Categoria])</f>
        <v>Electrohogar</v>
      </c>
      <c r="O105">
        <v>800000</v>
      </c>
      <c r="P105">
        <v>1</v>
      </c>
      <c r="Q105" s="11">
        <v>0.05</v>
      </c>
      <c r="R105">
        <f>(ventas[[#This Row],[precio_unitario]]*ventas[[#This Row],[cantidad]])</f>
        <v>800000</v>
      </c>
      <c r="S105">
        <f>ventas[[#This Row],[Total_Productos]]*ventas[[#This Row],[descuento_pct]]</f>
        <v>40000</v>
      </c>
      <c r="T105">
        <f>ventas[[#This Row],[Total_Productos]]-ventas[[#This Row],[Valor_descuento]]</f>
        <v>760000</v>
      </c>
    </row>
    <row r="106" spans="1:20" x14ac:dyDescent="0.3">
      <c r="A106">
        <v>885</v>
      </c>
      <c r="B106" s="1">
        <v>45812</v>
      </c>
      <c r="C106">
        <v>57</v>
      </c>
      <c r="D106">
        <v>3</v>
      </c>
      <c r="E106">
        <v>70</v>
      </c>
      <c r="F106" t="s">
        <v>344</v>
      </c>
      <c r="G106" t="s">
        <v>345</v>
      </c>
      <c r="H106" t="s">
        <v>42</v>
      </c>
      <c r="I106">
        <v>30</v>
      </c>
      <c r="J106" t="s">
        <v>52</v>
      </c>
      <c r="K106" t="str">
        <f>_xlfn.XLOOKUP( ventas[[#This Row],[ciudad_cliente]],  ciudades[Ciudad], ciudades[Region])</f>
        <v>Biobío</v>
      </c>
      <c r="L106" t="s">
        <v>38</v>
      </c>
      <c r="M106" t="s">
        <v>23</v>
      </c>
      <c r="N106" t="str">
        <f>_xlfn.XLOOKUP(ventas[[#This Row],[producto]], categ[Producto], categ[Categoria])</f>
        <v>Belleza</v>
      </c>
      <c r="O106">
        <v>15000</v>
      </c>
      <c r="P106">
        <v>2</v>
      </c>
      <c r="Q106" s="11">
        <v>0</v>
      </c>
      <c r="R106">
        <f>(ventas[[#This Row],[precio_unitario]]*ventas[[#This Row],[cantidad]])</f>
        <v>30000</v>
      </c>
      <c r="S106">
        <f>ventas[[#This Row],[Total_Productos]]*ventas[[#This Row],[descuento_pct]]</f>
        <v>0</v>
      </c>
      <c r="T106">
        <f>ventas[[#This Row],[Total_Productos]]-ventas[[#This Row],[Valor_descuento]]</f>
        <v>30000</v>
      </c>
    </row>
    <row r="107" spans="1:20" x14ac:dyDescent="0.3">
      <c r="A107">
        <v>331</v>
      </c>
      <c r="B107" s="1">
        <v>45258</v>
      </c>
      <c r="C107">
        <v>62</v>
      </c>
      <c r="D107">
        <v>4</v>
      </c>
      <c r="E107">
        <v>179</v>
      </c>
      <c r="F107" t="s">
        <v>460</v>
      </c>
      <c r="G107" t="s">
        <v>461</v>
      </c>
      <c r="H107" t="s">
        <v>19</v>
      </c>
      <c r="I107">
        <v>34</v>
      </c>
      <c r="J107" t="s">
        <v>76</v>
      </c>
      <c r="K107" t="str">
        <f>_xlfn.XLOOKUP( ventas[[#This Row],[ciudad_cliente]],  ciudades[Ciudad], ciudades[Region])</f>
        <v>Los Lagos</v>
      </c>
      <c r="L107" t="s">
        <v>38</v>
      </c>
      <c r="M107" t="s">
        <v>46</v>
      </c>
      <c r="N107" t="str">
        <f>_xlfn.XLOOKUP(ventas[[#This Row],[producto]], categ[Producto], categ[Categoria])</f>
        <v>Tecnología</v>
      </c>
      <c r="O107">
        <v>750000</v>
      </c>
      <c r="P107">
        <v>3</v>
      </c>
      <c r="Q107" s="11">
        <v>0.1</v>
      </c>
      <c r="R107">
        <f>(ventas[[#This Row],[precio_unitario]]*ventas[[#This Row],[cantidad]])</f>
        <v>2250000</v>
      </c>
      <c r="S107">
        <f>ventas[[#This Row],[Total_Productos]]*ventas[[#This Row],[descuento_pct]]</f>
        <v>225000</v>
      </c>
      <c r="T107">
        <f>ventas[[#This Row],[Total_Productos]]-ventas[[#This Row],[Valor_descuento]]</f>
        <v>2025000</v>
      </c>
    </row>
    <row r="108" spans="1:20" x14ac:dyDescent="0.3">
      <c r="A108">
        <v>672</v>
      </c>
      <c r="B108" s="1">
        <v>45599</v>
      </c>
      <c r="C108">
        <v>60</v>
      </c>
      <c r="D108">
        <v>1</v>
      </c>
      <c r="E108">
        <v>179</v>
      </c>
      <c r="F108" t="s">
        <v>460</v>
      </c>
      <c r="G108" t="s">
        <v>461</v>
      </c>
      <c r="H108" t="s">
        <v>19</v>
      </c>
      <c r="I108">
        <v>34</v>
      </c>
      <c r="J108" t="s">
        <v>37</v>
      </c>
      <c r="K108" t="str">
        <f>_xlfn.XLOOKUP( ventas[[#This Row],[ciudad_cliente]],  ciudades[Ciudad], ciudades[Region])</f>
        <v>Valparaíso</v>
      </c>
      <c r="L108" t="s">
        <v>38</v>
      </c>
      <c r="M108" t="s">
        <v>30</v>
      </c>
      <c r="N108" t="str">
        <f>_xlfn.XLOOKUP(ventas[[#This Row],[producto]], categ[Producto], categ[Categoria])</f>
        <v>Electrohogar</v>
      </c>
      <c r="O108">
        <v>700000</v>
      </c>
      <c r="P108">
        <v>3</v>
      </c>
      <c r="Q108" s="11">
        <v>0.1</v>
      </c>
      <c r="R108">
        <f>(ventas[[#This Row],[precio_unitario]]*ventas[[#This Row],[cantidad]])</f>
        <v>2100000</v>
      </c>
      <c r="S108">
        <f>ventas[[#This Row],[Total_Productos]]*ventas[[#This Row],[descuento_pct]]</f>
        <v>210000</v>
      </c>
      <c r="T108">
        <f>ventas[[#This Row],[Total_Productos]]-ventas[[#This Row],[Valor_descuento]]</f>
        <v>1890000</v>
      </c>
    </row>
    <row r="109" spans="1:20" x14ac:dyDescent="0.3">
      <c r="A109">
        <v>245</v>
      </c>
      <c r="B109" s="1">
        <v>45172</v>
      </c>
      <c r="C109">
        <v>65</v>
      </c>
      <c r="D109">
        <v>0</v>
      </c>
      <c r="E109">
        <v>17</v>
      </c>
      <c r="F109" t="s">
        <v>394</v>
      </c>
      <c r="G109" t="s">
        <v>395</v>
      </c>
      <c r="H109" t="s">
        <v>42</v>
      </c>
      <c r="I109">
        <v>25</v>
      </c>
      <c r="J109" t="s">
        <v>101</v>
      </c>
      <c r="K109" t="str">
        <f>_xlfn.XLOOKUP( ventas[[#This Row],[ciudad_cliente]],  ciudades[Ciudad], ciudades[Region])</f>
        <v>O'Higgins</v>
      </c>
      <c r="L109" t="s">
        <v>38</v>
      </c>
      <c r="M109" t="s">
        <v>49</v>
      </c>
      <c r="N109" t="str">
        <f>_xlfn.XLOOKUP(ventas[[#This Row],[producto]], categ[Producto], categ[Categoria])</f>
        <v>Electrohogar</v>
      </c>
      <c r="O109">
        <v>800000</v>
      </c>
      <c r="P109">
        <v>1</v>
      </c>
      <c r="Q109" s="11">
        <v>0.1</v>
      </c>
      <c r="R109">
        <f>(ventas[[#This Row],[precio_unitario]]*ventas[[#This Row],[cantidad]])</f>
        <v>800000</v>
      </c>
      <c r="S109">
        <f>ventas[[#This Row],[Total_Productos]]*ventas[[#This Row],[descuento_pct]]</f>
        <v>80000</v>
      </c>
      <c r="T109">
        <f>ventas[[#This Row],[Total_Productos]]-ventas[[#This Row],[Valor_descuento]]</f>
        <v>720000</v>
      </c>
    </row>
    <row r="110" spans="1:20" x14ac:dyDescent="0.3">
      <c r="A110">
        <v>299</v>
      </c>
      <c r="B110" s="1">
        <v>45226</v>
      </c>
      <c r="C110">
        <v>5</v>
      </c>
      <c r="D110">
        <v>1</v>
      </c>
      <c r="E110">
        <v>17</v>
      </c>
      <c r="F110" t="s">
        <v>394</v>
      </c>
      <c r="G110" t="s">
        <v>395</v>
      </c>
      <c r="H110" t="s">
        <v>42</v>
      </c>
      <c r="I110">
        <v>25</v>
      </c>
      <c r="J110" t="s">
        <v>27</v>
      </c>
      <c r="K110" t="str">
        <f>_xlfn.XLOOKUP( ventas[[#This Row],[ciudad_cliente]],  ciudades[Ciudad], ciudades[Region])</f>
        <v>Biobío</v>
      </c>
      <c r="L110" t="s">
        <v>38</v>
      </c>
      <c r="M110" t="s">
        <v>69</v>
      </c>
      <c r="N110" t="str">
        <f>_xlfn.XLOOKUP(ventas[[#This Row],[producto]], categ[Producto], categ[Categoria])</f>
        <v>Tecnología</v>
      </c>
      <c r="O110">
        <v>450000</v>
      </c>
      <c r="P110">
        <v>1</v>
      </c>
      <c r="Q110" s="11">
        <v>0.1</v>
      </c>
      <c r="R110">
        <f>(ventas[[#This Row],[precio_unitario]]*ventas[[#This Row],[cantidad]])</f>
        <v>450000</v>
      </c>
      <c r="S110">
        <f>ventas[[#This Row],[Total_Productos]]*ventas[[#This Row],[descuento_pct]]</f>
        <v>45000</v>
      </c>
      <c r="T110">
        <f>ventas[[#This Row],[Total_Productos]]-ventas[[#This Row],[Valor_descuento]]</f>
        <v>405000</v>
      </c>
    </row>
    <row r="111" spans="1:20" x14ac:dyDescent="0.3">
      <c r="A111">
        <v>828</v>
      </c>
      <c r="B111" s="1">
        <v>45755</v>
      </c>
      <c r="C111">
        <v>38</v>
      </c>
      <c r="D111">
        <v>8</v>
      </c>
      <c r="E111">
        <v>17</v>
      </c>
      <c r="F111" t="s">
        <v>394</v>
      </c>
      <c r="G111" t="s">
        <v>395</v>
      </c>
      <c r="H111" t="s">
        <v>42</v>
      </c>
      <c r="I111">
        <v>25</v>
      </c>
      <c r="J111" t="s">
        <v>52</v>
      </c>
      <c r="K111" t="str">
        <f>_xlfn.XLOOKUP( ventas[[#This Row],[ciudad_cliente]],  ciudades[Ciudad], ciudades[Region])</f>
        <v>Biobío</v>
      </c>
      <c r="L111" t="s">
        <v>38</v>
      </c>
      <c r="M111" t="s">
        <v>102</v>
      </c>
      <c r="N111" t="str">
        <f>_xlfn.XLOOKUP(ventas[[#This Row],[producto]], categ[Producto], categ[Categoria])</f>
        <v>Vestuario</v>
      </c>
      <c r="O111">
        <v>12000</v>
      </c>
      <c r="P111">
        <v>1</v>
      </c>
      <c r="Q111" s="11">
        <v>0</v>
      </c>
      <c r="R111">
        <f>(ventas[[#This Row],[precio_unitario]]*ventas[[#This Row],[cantidad]])</f>
        <v>12000</v>
      </c>
      <c r="S111">
        <f>ventas[[#This Row],[Total_Productos]]*ventas[[#This Row],[descuento_pct]]</f>
        <v>0</v>
      </c>
      <c r="T111">
        <f>ventas[[#This Row],[Total_Productos]]-ventas[[#This Row],[Valor_descuento]]</f>
        <v>12000</v>
      </c>
    </row>
    <row r="112" spans="1:20" x14ac:dyDescent="0.3">
      <c r="A112">
        <v>184</v>
      </c>
      <c r="B112" s="1">
        <v>45111</v>
      </c>
      <c r="C112">
        <v>14</v>
      </c>
      <c r="D112">
        <v>0</v>
      </c>
      <c r="E112">
        <v>92</v>
      </c>
      <c r="F112" t="s">
        <v>338</v>
      </c>
      <c r="G112" t="s">
        <v>339</v>
      </c>
      <c r="H112" t="s">
        <v>42</v>
      </c>
      <c r="I112">
        <v>49</v>
      </c>
      <c r="J112" t="s">
        <v>34</v>
      </c>
      <c r="K112" t="str">
        <f>_xlfn.XLOOKUP( ventas[[#This Row],[ciudad_cliente]],  ciudades[Ciudad], ciudades[Region])</f>
        <v>Metropolitana</v>
      </c>
      <c r="L112" t="s">
        <v>29</v>
      </c>
      <c r="M112" t="s">
        <v>102</v>
      </c>
      <c r="N112" t="str">
        <f>_xlfn.XLOOKUP(ventas[[#This Row],[producto]], categ[Producto], categ[Categoria])</f>
        <v>Vestuario</v>
      </c>
      <c r="O112">
        <v>12000</v>
      </c>
      <c r="P112">
        <v>3</v>
      </c>
      <c r="Q112" s="11">
        <v>0</v>
      </c>
      <c r="R112">
        <f>(ventas[[#This Row],[precio_unitario]]*ventas[[#This Row],[cantidad]])</f>
        <v>36000</v>
      </c>
      <c r="S112">
        <f>ventas[[#This Row],[Total_Productos]]*ventas[[#This Row],[descuento_pct]]</f>
        <v>0</v>
      </c>
      <c r="T112">
        <f>ventas[[#This Row],[Total_Productos]]-ventas[[#This Row],[Valor_descuento]]</f>
        <v>36000</v>
      </c>
    </row>
    <row r="113" spans="1:20" x14ac:dyDescent="0.3">
      <c r="A113">
        <v>768</v>
      </c>
      <c r="B113" s="1">
        <v>45695</v>
      </c>
      <c r="C113">
        <v>13</v>
      </c>
      <c r="D113">
        <v>0</v>
      </c>
      <c r="E113">
        <v>92</v>
      </c>
      <c r="F113" t="s">
        <v>338</v>
      </c>
      <c r="G113" t="s">
        <v>339</v>
      </c>
      <c r="H113" t="s">
        <v>42</v>
      </c>
      <c r="I113">
        <v>49</v>
      </c>
      <c r="J113" t="s">
        <v>27</v>
      </c>
      <c r="K113" t="str">
        <f>_xlfn.XLOOKUP( ventas[[#This Row],[ciudad_cliente]],  ciudades[Ciudad], ciudades[Region])</f>
        <v>Biobío</v>
      </c>
      <c r="L113" t="s">
        <v>22</v>
      </c>
      <c r="M113" t="s">
        <v>56</v>
      </c>
      <c r="N113" t="str">
        <f>_xlfn.XLOOKUP(ventas[[#This Row],[producto]], categ[Producto], categ[Categoria])</f>
        <v>Vestuario</v>
      </c>
      <c r="O113">
        <v>25000</v>
      </c>
      <c r="P113">
        <v>3</v>
      </c>
      <c r="Q113" s="11">
        <v>0</v>
      </c>
      <c r="R113">
        <f>(ventas[[#This Row],[precio_unitario]]*ventas[[#This Row],[cantidad]])</f>
        <v>75000</v>
      </c>
      <c r="S113">
        <f>ventas[[#This Row],[Total_Productos]]*ventas[[#This Row],[descuento_pct]]</f>
        <v>0</v>
      </c>
      <c r="T113">
        <f>ventas[[#This Row],[Total_Productos]]-ventas[[#This Row],[Valor_descuento]]</f>
        <v>75000</v>
      </c>
    </row>
    <row r="114" spans="1:20" x14ac:dyDescent="0.3">
      <c r="A114">
        <v>964</v>
      </c>
      <c r="B114" s="1">
        <v>45891</v>
      </c>
      <c r="C114">
        <v>32</v>
      </c>
      <c r="D114">
        <v>5</v>
      </c>
      <c r="E114">
        <v>92</v>
      </c>
      <c r="F114" t="s">
        <v>338</v>
      </c>
      <c r="G114" t="s">
        <v>339</v>
      </c>
      <c r="H114" t="s">
        <v>42</v>
      </c>
      <c r="I114">
        <v>49</v>
      </c>
      <c r="J114" t="s">
        <v>76</v>
      </c>
      <c r="K114" t="str">
        <f>_xlfn.XLOOKUP( ventas[[#This Row],[ciudad_cliente]],  ciudades[Ciudad], ciudades[Region])</f>
        <v>Los Lagos</v>
      </c>
      <c r="L114" t="s">
        <v>29</v>
      </c>
      <c r="M114" t="s">
        <v>56</v>
      </c>
      <c r="N114" t="str">
        <f>_xlfn.XLOOKUP(ventas[[#This Row],[producto]], categ[Producto], categ[Categoria])</f>
        <v>Vestuario</v>
      </c>
      <c r="O114">
        <v>25000</v>
      </c>
      <c r="P114">
        <v>3</v>
      </c>
      <c r="Q114" s="11">
        <v>0.1</v>
      </c>
      <c r="R114">
        <f>(ventas[[#This Row],[precio_unitario]]*ventas[[#This Row],[cantidad]])</f>
        <v>75000</v>
      </c>
      <c r="S114">
        <f>ventas[[#This Row],[Total_Productos]]*ventas[[#This Row],[descuento_pct]]</f>
        <v>7500</v>
      </c>
      <c r="T114">
        <f>ventas[[#This Row],[Total_Productos]]-ventas[[#This Row],[Valor_descuento]]</f>
        <v>67500</v>
      </c>
    </row>
    <row r="115" spans="1:20" x14ac:dyDescent="0.3">
      <c r="A115">
        <v>332</v>
      </c>
      <c r="B115" s="1">
        <v>45259</v>
      </c>
      <c r="C115">
        <v>20</v>
      </c>
      <c r="D115">
        <v>0</v>
      </c>
      <c r="E115">
        <v>49</v>
      </c>
      <c r="F115" t="s">
        <v>462</v>
      </c>
      <c r="G115" t="s">
        <v>463</v>
      </c>
      <c r="H115" t="s">
        <v>19</v>
      </c>
      <c r="I115">
        <v>42</v>
      </c>
      <c r="J115" t="s">
        <v>20</v>
      </c>
      <c r="K115" t="str">
        <f>_xlfn.XLOOKUP( ventas[[#This Row],[ciudad_cliente]],  ciudades[Ciudad], ciudades[Region])</f>
        <v>La Araucanía</v>
      </c>
      <c r="L115" t="s">
        <v>29</v>
      </c>
      <c r="M115" t="s">
        <v>30</v>
      </c>
      <c r="N115" t="str">
        <f>_xlfn.XLOOKUP(ventas[[#This Row],[producto]], categ[Producto], categ[Categoria])</f>
        <v>Electrohogar</v>
      </c>
      <c r="O115">
        <v>700000</v>
      </c>
      <c r="P115">
        <v>2</v>
      </c>
      <c r="Q115" s="11">
        <v>0</v>
      </c>
      <c r="R115">
        <f>(ventas[[#This Row],[precio_unitario]]*ventas[[#This Row],[cantidad]])</f>
        <v>1400000</v>
      </c>
      <c r="S115">
        <f>ventas[[#This Row],[Total_Productos]]*ventas[[#This Row],[descuento_pct]]</f>
        <v>0</v>
      </c>
      <c r="T115">
        <f>ventas[[#This Row],[Total_Productos]]-ventas[[#This Row],[Valor_descuento]]</f>
        <v>1400000</v>
      </c>
    </row>
    <row r="116" spans="1:20" x14ac:dyDescent="0.3">
      <c r="A116">
        <v>697</v>
      </c>
      <c r="B116" s="1">
        <v>45624</v>
      </c>
      <c r="C116">
        <v>60</v>
      </c>
      <c r="D116">
        <v>1</v>
      </c>
      <c r="E116">
        <v>49</v>
      </c>
      <c r="F116" t="s">
        <v>462</v>
      </c>
      <c r="G116" t="s">
        <v>463</v>
      </c>
      <c r="H116" t="s">
        <v>19</v>
      </c>
      <c r="I116">
        <v>42</v>
      </c>
      <c r="J116" t="s">
        <v>37</v>
      </c>
      <c r="K116" t="str">
        <f>_xlfn.XLOOKUP( ventas[[#This Row],[ciudad_cliente]],  ciudades[Ciudad], ciudades[Region])</f>
        <v>Valparaíso</v>
      </c>
      <c r="L116" t="s">
        <v>38</v>
      </c>
      <c r="M116" t="s">
        <v>56</v>
      </c>
      <c r="N116" t="str">
        <f>_xlfn.XLOOKUP(ventas[[#This Row],[producto]], categ[Producto], categ[Categoria])</f>
        <v>Vestuario</v>
      </c>
      <c r="O116">
        <v>25000</v>
      </c>
      <c r="P116">
        <v>3</v>
      </c>
      <c r="Q116" s="11">
        <v>0</v>
      </c>
      <c r="R116">
        <f>(ventas[[#This Row],[precio_unitario]]*ventas[[#This Row],[cantidad]])</f>
        <v>75000</v>
      </c>
      <c r="S116">
        <f>ventas[[#This Row],[Total_Productos]]*ventas[[#This Row],[descuento_pct]]</f>
        <v>0</v>
      </c>
      <c r="T116">
        <f>ventas[[#This Row],[Total_Productos]]-ventas[[#This Row],[Valor_descuento]]</f>
        <v>75000</v>
      </c>
    </row>
    <row r="117" spans="1:20" x14ac:dyDescent="0.3">
      <c r="A117">
        <v>488</v>
      </c>
      <c r="B117" s="1">
        <v>45415</v>
      </c>
      <c r="C117">
        <v>44</v>
      </c>
      <c r="D117">
        <v>7</v>
      </c>
      <c r="E117">
        <v>170</v>
      </c>
      <c r="F117" t="s">
        <v>532</v>
      </c>
      <c r="G117" t="s">
        <v>533</v>
      </c>
      <c r="H117" t="s">
        <v>19</v>
      </c>
      <c r="I117">
        <v>28</v>
      </c>
      <c r="J117" t="s">
        <v>43</v>
      </c>
      <c r="K117" t="str">
        <f>_xlfn.XLOOKUP( ventas[[#This Row],[ciudad_cliente]],  ciudades[Ciudad], ciudades[Region])</f>
        <v>Antofagasta</v>
      </c>
      <c r="L117" t="s">
        <v>22</v>
      </c>
      <c r="M117" t="s">
        <v>23</v>
      </c>
      <c r="N117" t="str">
        <f>_xlfn.XLOOKUP(ventas[[#This Row],[producto]], categ[Producto], categ[Categoria])</f>
        <v>Belleza</v>
      </c>
      <c r="O117">
        <v>15000</v>
      </c>
      <c r="P117">
        <v>3</v>
      </c>
      <c r="Q117" s="11">
        <v>0</v>
      </c>
      <c r="R117">
        <f>(ventas[[#This Row],[precio_unitario]]*ventas[[#This Row],[cantidad]])</f>
        <v>45000</v>
      </c>
      <c r="S117">
        <f>ventas[[#This Row],[Total_Productos]]*ventas[[#This Row],[descuento_pct]]</f>
        <v>0</v>
      </c>
      <c r="T117">
        <f>ventas[[#This Row],[Total_Productos]]-ventas[[#This Row],[Valor_descuento]]</f>
        <v>45000</v>
      </c>
    </row>
    <row r="118" spans="1:20" x14ac:dyDescent="0.3">
      <c r="A118">
        <v>504</v>
      </c>
      <c r="B118" s="1">
        <v>45431</v>
      </c>
      <c r="C118">
        <v>24</v>
      </c>
      <c r="D118">
        <v>3</v>
      </c>
      <c r="E118">
        <v>170</v>
      </c>
      <c r="F118" t="s">
        <v>532</v>
      </c>
      <c r="G118" t="s">
        <v>533</v>
      </c>
      <c r="H118" t="s">
        <v>19</v>
      </c>
      <c r="I118">
        <v>28</v>
      </c>
      <c r="J118" t="s">
        <v>84</v>
      </c>
      <c r="K118" t="str">
        <f>_xlfn.XLOOKUP( ventas[[#This Row],[ciudad_cliente]],  ciudades[Ciudad], ciudades[Region])</f>
        <v>Coquimbo</v>
      </c>
      <c r="L118" t="s">
        <v>38</v>
      </c>
      <c r="M118" t="s">
        <v>23</v>
      </c>
      <c r="N118" t="str">
        <f>_xlfn.XLOOKUP(ventas[[#This Row],[producto]], categ[Producto], categ[Categoria])</f>
        <v>Belleza</v>
      </c>
      <c r="O118">
        <v>15000</v>
      </c>
      <c r="P118">
        <v>2</v>
      </c>
      <c r="Q118" s="11">
        <v>0.05</v>
      </c>
      <c r="R118">
        <f>(ventas[[#This Row],[precio_unitario]]*ventas[[#This Row],[cantidad]])</f>
        <v>30000</v>
      </c>
      <c r="S118">
        <f>ventas[[#This Row],[Total_Productos]]*ventas[[#This Row],[descuento_pct]]</f>
        <v>1500</v>
      </c>
      <c r="T118">
        <f>ventas[[#This Row],[Total_Productos]]-ventas[[#This Row],[Valor_descuento]]</f>
        <v>28500</v>
      </c>
    </row>
    <row r="119" spans="1:20" x14ac:dyDescent="0.3">
      <c r="A119">
        <v>655</v>
      </c>
      <c r="B119" s="1">
        <v>45582</v>
      </c>
      <c r="C119">
        <v>68</v>
      </c>
      <c r="D119">
        <v>2</v>
      </c>
      <c r="E119">
        <v>170</v>
      </c>
      <c r="F119" t="s">
        <v>532</v>
      </c>
      <c r="G119" t="s">
        <v>533</v>
      </c>
      <c r="H119" t="s">
        <v>19</v>
      </c>
      <c r="I119">
        <v>28</v>
      </c>
      <c r="J119" t="s">
        <v>34</v>
      </c>
      <c r="K119" t="str">
        <f>_xlfn.XLOOKUP( ventas[[#This Row],[ciudad_cliente]],  ciudades[Ciudad], ciudades[Region])</f>
        <v>Metropolitana</v>
      </c>
      <c r="L119" t="s">
        <v>22</v>
      </c>
      <c r="M119" t="s">
        <v>49</v>
      </c>
      <c r="N119" t="str">
        <f>_xlfn.XLOOKUP(ventas[[#This Row],[producto]], categ[Producto], categ[Categoria])</f>
        <v>Electrohogar</v>
      </c>
      <c r="O119">
        <v>800000</v>
      </c>
      <c r="P119">
        <v>3</v>
      </c>
      <c r="Q119" s="11">
        <v>0.05</v>
      </c>
      <c r="R119">
        <f>(ventas[[#This Row],[precio_unitario]]*ventas[[#This Row],[cantidad]])</f>
        <v>2400000</v>
      </c>
      <c r="S119">
        <f>ventas[[#This Row],[Total_Productos]]*ventas[[#This Row],[descuento_pct]]</f>
        <v>120000</v>
      </c>
      <c r="T119">
        <f>ventas[[#This Row],[Total_Productos]]-ventas[[#This Row],[Valor_descuento]]</f>
        <v>2280000</v>
      </c>
    </row>
    <row r="120" spans="1:20" x14ac:dyDescent="0.3">
      <c r="A120">
        <v>741</v>
      </c>
      <c r="B120" s="1">
        <v>45668</v>
      </c>
      <c r="C120">
        <v>34</v>
      </c>
      <c r="D120">
        <v>1</v>
      </c>
      <c r="E120">
        <v>170</v>
      </c>
      <c r="F120" t="s">
        <v>532</v>
      </c>
      <c r="G120" t="s">
        <v>533</v>
      </c>
      <c r="H120" t="s">
        <v>19</v>
      </c>
      <c r="I120">
        <v>28</v>
      </c>
      <c r="J120" t="s">
        <v>52</v>
      </c>
      <c r="K120" t="str">
        <f>_xlfn.XLOOKUP( ventas[[#This Row],[ciudad_cliente]],  ciudades[Ciudad], ciudades[Region])</f>
        <v>Biobío</v>
      </c>
      <c r="L120" t="s">
        <v>29</v>
      </c>
      <c r="M120" t="s">
        <v>39</v>
      </c>
      <c r="N120" t="str">
        <f>_xlfn.XLOOKUP(ventas[[#This Row],[producto]], categ[Producto], categ[Categoria])</f>
        <v>Belleza</v>
      </c>
      <c r="O120">
        <v>35000</v>
      </c>
      <c r="P120">
        <v>3</v>
      </c>
      <c r="Q120" s="11">
        <v>0.05</v>
      </c>
      <c r="R120">
        <f>(ventas[[#This Row],[precio_unitario]]*ventas[[#This Row],[cantidad]])</f>
        <v>105000</v>
      </c>
      <c r="S120">
        <f>ventas[[#This Row],[Total_Productos]]*ventas[[#This Row],[descuento_pct]]</f>
        <v>5250</v>
      </c>
      <c r="T120">
        <f>ventas[[#This Row],[Total_Productos]]-ventas[[#This Row],[Valor_descuento]]</f>
        <v>99750</v>
      </c>
    </row>
    <row r="121" spans="1:20" x14ac:dyDescent="0.3">
      <c r="A121">
        <v>182</v>
      </c>
      <c r="B121" s="1">
        <v>45109</v>
      </c>
      <c r="C121">
        <v>44</v>
      </c>
      <c r="D121">
        <v>7</v>
      </c>
      <c r="E121">
        <v>177</v>
      </c>
      <c r="F121" t="s">
        <v>336</v>
      </c>
      <c r="G121" t="s">
        <v>337</v>
      </c>
      <c r="H121" t="s">
        <v>42</v>
      </c>
      <c r="I121">
        <v>38</v>
      </c>
      <c r="J121" t="s">
        <v>43</v>
      </c>
      <c r="K121" t="str">
        <f>_xlfn.XLOOKUP( ventas[[#This Row],[ciudad_cliente]],  ciudades[Ciudad], ciudades[Region])</f>
        <v>Antofagasta</v>
      </c>
      <c r="L121" t="s">
        <v>38</v>
      </c>
      <c r="M121" t="s">
        <v>30</v>
      </c>
      <c r="N121" t="str">
        <f>_xlfn.XLOOKUP(ventas[[#This Row],[producto]], categ[Producto], categ[Categoria])</f>
        <v>Electrohogar</v>
      </c>
      <c r="O121">
        <v>700000</v>
      </c>
      <c r="P121">
        <v>3</v>
      </c>
      <c r="Q121" s="11">
        <v>0.05</v>
      </c>
      <c r="R121">
        <f>(ventas[[#This Row],[precio_unitario]]*ventas[[#This Row],[cantidad]])</f>
        <v>2100000</v>
      </c>
      <c r="S121">
        <f>ventas[[#This Row],[Total_Productos]]*ventas[[#This Row],[descuento_pct]]</f>
        <v>105000</v>
      </c>
      <c r="T121">
        <f>ventas[[#This Row],[Total_Productos]]-ventas[[#This Row],[Valor_descuento]]</f>
        <v>1995000</v>
      </c>
    </row>
    <row r="122" spans="1:20" x14ac:dyDescent="0.3">
      <c r="A122">
        <v>461</v>
      </c>
      <c r="B122" s="1">
        <v>45388</v>
      </c>
      <c r="C122">
        <v>42</v>
      </c>
      <c r="D122">
        <v>4</v>
      </c>
      <c r="E122">
        <v>177</v>
      </c>
      <c r="F122" t="s">
        <v>336</v>
      </c>
      <c r="G122" t="s">
        <v>337</v>
      </c>
      <c r="H122" t="s">
        <v>42</v>
      </c>
      <c r="I122">
        <v>38</v>
      </c>
      <c r="J122" t="s">
        <v>27</v>
      </c>
      <c r="K122" t="str">
        <f>_xlfn.XLOOKUP( ventas[[#This Row],[ciudad_cliente]],  ciudades[Ciudad], ciudades[Region])</f>
        <v>Biobío</v>
      </c>
      <c r="L122" t="s">
        <v>29</v>
      </c>
      <c r="M122" t="s">
        <v>46</v>
      </c>
      <c r="N122" t="str">
        <f>_xlfn.XLOOKUP(ventas[[#This Row],[producto]], categ[Producto], categ[Categoria])</f>
        <v>Tecnología</v>
      </c>
      <c r="O122">
        <v>750000</v>
      </c>
      <c r="P122">
        <v>1</v>
      </c>
      <c r="Q122" s="11">
        <v>0</v>
      </c>
      <c r="R122">
        <f>(ventas[[#This Row],[precio_unitario]]*ventas[[#This Row],[cantidad]])</f>
        <v>750000</v>
      </c>
      <c r="S122">
        <f>ventas[[#This Row],[Total_Productos]]*ventas[[#This Row],[descuento_pct]]</f>
        <v>0</v>
      </c>
      <c r="T122">
        <f>ventas[[#This Row],[Total_Productos]]-ventas[[#This Row],[Valor_descuento]]</f>
        <v>750000</v>
      </c>
    </row>
    <row r="123" spans="1:20" x14ac:dyDescent="0.3">
      <c r="A123">
        <v>515</v>
      </c>
      <c r="B123" s="1">
        <v>45442</v>
      </c>
      <c r="C123">
        <v>7</v>
      </c>
      <c r="D123">
        <v>8</v>
      </c>
      <c r="E123">
        <v>177</v>
      </c>
      <c r="F123" t="s">
        <v>336</v>
      </c>
      <c r="G123" t="s">
        <v>337</v>
      </c>
      <c r="H123" t="s">
        <v>42</v>
      </c>
      <c r="I123">
        <v>38</v>
      </c>
      <c r="J123" t="s">
        <v>37</v>
      </c>
      <c r="K123" t="str">
        <f>_xlfn.XLOOKUP( ventas[[#This Row],[ciudad_cliente]],  ciudades[Ciudad], ciudades[Region])</f>
        <v>Valparaíso</v>
      </c>
      <c r="L123" t="s">
        <v>22</v>
      </c>
      <c r="M123" t="s">
        <v>46</v>
      </c>
      <c r="N123" t="str">
        <f>_xlfn.XLOOKUP(ventas[[#This Row],[producto]], categ[Producto], categ[Categoria])</f>
        <v>Tecnología</v>
      </c>
      <c r="O123">
        <v>750000</v>
      </c>
      <c r="P123">
        <v>3</v>
      </c>
      <c r="Q123" s="11">
        <v>0.1</v>
      </c>
      <c r="R123">
        <f>(ventas[[#This Row],[precio_unitario]]*ventas[[#This Row],[cantidad]])</f>
        <v>2250000</v>
      </c>
      <c r="S123">
        <f>ventas[[#This Row],[Total_Productos]]*ventas[[#This Row],[descuento_pct]]</f>
        <v>225000</v>
      </c>
      <c r="T123">
        <f>ventas[[#This Row],[Total_Productos]]-ventas[[#This Row],[Valor_descuento]]</f>
        <v>2025000</v>
      </c>
    </row>
    <row r="124" spans="1:20" x14ac:dyDescent="0.3">
      <c r="A124">
        <v>570</v>
      </c>
      <c r="B124" s="1">
        <v>45497</v>
      </c>
      <c r="C124">
        <v>40</v>
      </c>
      <c r="D124">
        <v>1</v>
      </c>
      <c r="E124">
        <v>177</v>
      </c>
      <c r="F124" t="s">
        <v>336</v>
      </c>
      <c r="G124" t="s">
        <v>337</v>
      </c>
      <c r="H124" t="s">
        <v>42</v>
      </c>
      <c r="I124">
        <v>38</v>
      </c>
      <c r="J124" t="s">
        <v>27</v>
      </c>
      <c r="K124" t="str">
        <f>_xlfn.XLOOKUP( ventas[[#This Row],[ciudad_cliente]],  ciudades[Ciudad], ciudades[Region])</f>
        <v>Biobío</v>
      </c>
      <c r="L124" t="s">
        <v>38</v>
      </c>
      <c r="M124" t="s">
        <v>23</v>
      </c>
      <c r="N124" t="str">
        <f>_xlfn.XLOOKUP(ventas[[#This Row],[producto]], categ[Producto], categ[Categoria])</f>
        <v>Belleza</v>
      </c>
      <c r="O124">
        <v>15000</v>
      </c>
      <c r="P124">
        <v>2</v>
      </c>
      <c r="Q124" s="11">
        <v>0</v>
      </c>
      <c r="R124">
        <f>(ventas[[#This Row],[precio_unitario]]*ventas[[#This Row],[cantidad]])</f>
        <v>30000</v>
      </c>
      <c r="S124">
        <f>ventas[[#This Row],[Total_Productos]]*ventas[[#This Row],[descuento_pct]]</f>
        <v>0</v>
      </c>
      <c r="T124">
        <f>ventas[[#This Row],[Total_Productos]]-ventas[[#This Row],[Valor_descuento]]</f>
        <v>30000</v>
      </c>
    </row>
    <row r="125" spans="1:20" x14ac:dyDescent="0.3">
      <c r="A125">
        <v>710</v>
      </c>
      <c r="B125" s="1">
        <v>45637</v>
      </c>
      <c r="C125">
        <v>31</v>
      </c>
      <c r="D125">
        <v>4</v>
      </c>
      <c r="E125">
        <v>177</v>
      </c>
      <c r="F125" t="s">
        <v>336</v>
      </c>
      <c r="G125" t="s">
        <v>337</v>
      </c>
      <c r="H125" t="s">
        <v>42</v>
      </c>
      <c r="I125">
        <v>38</v>
      </c>
      <c r="J125" t="s">
        <v>101</v>
      </c>
      <c r="K125" t="str">
        <f>_xlfn.XLOOKUP( ventas[[#This Row],[ciudad_cliente]],  ciudades[Ciudad], ciudades[Region])</f>
        <v>O'Higgins</v>
      </c>
      <c r="L125" t="s">
        <v>38</v>
      </c>
      <c r="M125" t="s">
        <v>62</v>
      </c>
      <c r="N125" t="str">
        <f>_xlfn.XLOOKUP(ventas[[#This Row],[producto]], categ[Producto], categ[Categoria])</f>
        <v>Electrohogar</v>
      </c>
      <c r="O125">
        <v>650000</v>
      </c>
      <c r="P125">
        <v>1</v>
      </c>
      <c r="Q125" s="11">
        <v>0</v>
      </c>
      <c r="R125">
        <f>(ventas[[#This Row],[precio_unitario]]*ventas[[#This Row],[cantidad]])</f>
        <v>650000</v>
      </c>
      <c r="S125">
        <f>ventas[[#This Row],[Total_Productos]]*ventas[[#This Row],[descuento_pct]]</f>
        <v>0</v>
      </c>
      <c r="T125">
        <f>ventas[[#This Row],[Total_Productos]]-ventas[[#This Row],[Valor_descuento]]</f>
        <v>650000</v>
      </c>
    </row>
    <row r="126" spans="1:20" x14ac:dyDescent="0.3">
      <c r="A126">
        <v>994</v>
      </c>
      <c r="B126" s="1">
        <v>45921</v>
      </c>
      <c r="C126">
        <v>14</v>
      </c>
      <c r="D126">
        <v>0</v>
      </c>
      <c r="E126">
        <v>177</v>
      </c>
      <c r="F126" t="s">
        <v>336</v>
      </c>
      <c r="G126" t="s">
        <v>337</v>
      </c>
      <c r="H126" t="s">
        <v>42</v>
      </c>
      <c r="I126">
        <v>38</v>
      </c>
      <c r="J126" t="s">
        <v>34</v>
      </c>
      <c r="K126" t="str">
        <f>_xlfn.XLOOKUP( ventas[[#This Row],[ciudad_cliente]],  ciudades[Ciudad], ciudades[Region])</f>
        <v>Metropolitana</v>
      </c>
      <c r="L126" t="s">
        <v>22</v>
      </c>
      <c r="M126" t="s">
        <v>30</v>
      </c>
      <c r="N126" t="str">
        <f>_xlfn.XLOOKUP(ventas[[#This Row],[producto]], categ[Producto], categ[Categoria])</f>
        <v>Electrohogar</v>
      </c>
      <c r="O126">
        <v>700000</v>
      </c>
      <c r="P126">
        <v>3</v>
      </c>
      <c r="Q126" s="11">
        <v>0</v>
      </c>
      <c r="R126">
        <f>(ventas[[#This Row],[precio_unitario]]*ventas[[#This Row],[cantidad]])</f>
        <v>2100000</v>
      </c>
      <c r="S126">
        <f>ventas[[#This Row],[Total_Productos]]*ventas[[#This Row],[descuento_pct]]</f>
        <v>0</v>
      </c>
      <c r="T126">
        <f>ventas[[#This Row],[Total_Productos]]-ventas[[#This Row],[Valor_descuento]]</f>
        <v>2100000</v>
      </c>
    </row>
    <row r="127" spans="1:20" x14ac:dyDescent="0.3">
      <c r="A127">
        <v>168</v>
      </c>
      <c r="B127" s="1">
        <v>45095</v>
      </c>
      <c r="C127">
        <v>40</v>
      </c>
      <c r="D127">
        <v>1</v>
      </c>
      <c r="E127">
        <v>76</v>
      </c>
      <c r="F127" t="s">
        <v>318</v>
      </c>
      <c r="G127" t="s">
        <v>319</v>
      </c>
      <c r="H127" t="s">
        <v>19</v>
      </c>
      <c r="I127">
        <v>47</v>
      </c>
      <c r="J127" t="s">
        <v>27</v>
      </c>
      <c r="K127" t="str">
        <f>_xlfn.XLOOKUP( ventas[[#This Row],[ciudad_cliente]],  ciudades[Ciudad], ciudades[Region])</f>
        <v>Biobío</v>
      </c>
      <c r="L127" t="s">
        <v>29</v>
      </c>
      <c r="M127" t="s">
        <v>49</v>
      </c>
      <c r="N127" t="str">
        <f>_xlfn.XLOOKUP(ventas[[#This Row],[producto]], categ[Producto], categ[Categoria])</f>
        <v>Electrohogar</v>
      </c>
      <c r="O127">
        <v>800000</v>
      </c>
      <c r="P127">
        <v>3</v>
      </c>
      <c r="Q127" s="11">
        <v>0.1</v>
      </c>
      <c r="R127">
        <f>(ventas[[#This Row],[precio_unitario]]*ventas[[#This Row],[cantidad]])</f>
        <v>2400000</v>
      </c>
      <c r="S127">
        <f>ventas[[#This Row],[Total_Productos]]*ventas[[#This Row],[descuento_pct]]</f>
        <v>240000</v>
      </c>
      <c r="T127">
        <f>ventas[[#This Row],[Total_Productos]]-ventas[[#This Row],[Valor_descuento]]</f>
        <v>2160000</v>
      </c>
    </row>
    <row r="128" spans="1:20" x14ac:dyDescent="0.3">
      <c r="A128">
        <v>266</v>
      </c>
      <c r="B128" s="1">
        <v>45193</v>
      </c>
      <c r="C128">
        <v>18</v>
      </c>
      <c r="D128">
        <v>1</v>
      </c>
      <c r="E128">
        <v>76</v>
      </c>
      <c r="F128" t="s">
        <v>318</v>
      </c>
      <c r="G128" t="s">
        <v>319</v>
      </c>
      <c r="H128" t="s">
        <v>19</v>
      </c>
      <c r="I128">
        <v>47</v>
      </c>
      <c r="J128" t="s">
        <v>27</v>
      </c>
      <c r="K128" t="str">
        <f>_xlfn.XLOOKUP( ventas[[#This Row],[ciudad_cliente]],  ciudades[Ciudad], ciudades[Region])</f>
        <v>Biobío</v>
      </c>
      <c r="L128" t="s">
        <v>22</v>
      </c>
      <c r="M128" t="s">
        <v>49</v>
      </c>
      <c r="N128" t="str">
        <f>_xlfn.XLOOKUP(ventas[[#This Row],[producto]], categ[Producto], categ[Categoria])</f>
        <v>Electrohogar</v>
      </c>
      <c r="O128">
        <v>800000</v>
      </c>
      <c r="P128">
        <v>3</v>
      </c>
      <c r="Q128" s="11">
        <v>0</v>
      </c>
      <c r="R128">
        <f>(ventas[[#This Row],[precio_unitario]]*ventas[[#This Row],[cantidad]])</f>
        <v>2400000</v>
      </c>
      <c r="S128">
        <f>ventas[[#This Row],[Total_Productos]]*ventas[[#This Row],[descuento_pct]]</f>
        <v>0</v>
      </c>
      <c r="T128">
        <f>ventas[[#This Row],[Total_Productos]]-ventas[[#This Row],[Valor_descuento]]</f>
        <v>2400000</v>
      </c>
    </row>
    <row r="129" spans="1:20" x14ac:dyDescent="0.3">
      <c r="A129">
        <v>529</v>
      </c>
      <c r="B129" s="1">
        <v>45456</v>
      </c>
      <c r="C129">
        <v>37</v>
      </c>
      <c r="D129">
        <v>1</v>
      </c>
      <c r="E129">
        <v>76</v>
      </c>
      <c r="F129" t="s">
        <v>318</v>
      </c>
      <c r="G129" t="s">
        <v>319</v>
      </c>
      <c r="H129" t="s">
        <v>19</v>
      </c>
      <c r="I129">
        <v>47</v>
      </c>
      <c r="J129" t="s">
        <v>116</v>
      </c>
      <c r="K129" t="str">
        <f>_xlfn.XLOOKUP( ventas[[#This Row],[ciudad_cliente]],  ciudades[Ciudad], ciudades[Region])</f>
        <v>Valparaíso</v>
      </c>
      <c r="L129" t="s">
        <v>29</v>
      </c>
      <c r="M129" t="s">
        <v>46</v>
      </c>
      <c r="N129" t="str">
        <f>_xlfn.XLOOKUP(ventas[[#This Row],[producto]], categ[Producto], categ[Categoria])</f>
        <v>Tecnología</v>
      </c>
      <c r="O129">
        <v>750000</v>
      </c>
      <c r="P129">
        <v>1</v>
      </c>
      <c r="Q129" s="11">
        <v>0</v>
      </c>
      <c r="R129">
        <f>(ventas[[#This Row],[precio_unitario]]*ventas[[#This Row],[cantidad]])</f>
        <v>750000</v>
      </c>
      <c r="S129">
        <f>ventas[[#This Row],[Total_Productos]]*ventas[[#This Row],[descuento_pct]]</f>
        <v>0</v>
      </c>
      <c r="T129">
        <f>ventas[[#This Row],[Total_Productos]]-ventas[[#This Row],[Valor_descuento]]</f>
        <v>750000</v>
      </c>
    </row>
    <row r="130" spans="1:20" x14ac:dyDescent="0.3">
      <c r="A130">
        <v>845</v>
      </c>
      <c r="B130" s="1">
        <v>45772</v>
      </c>
      <c r="C130">
        <v>49</v>
      </c>
      <c r="D130">
        <v>1</v>
      </c>
      <c r="E130">
        <v>76</v>
      </c>
      <c r="F130" t="s">
        <v>318</v>
      </c>
      <c r="G130" t="s">
        <v>319</v>
      </c>
      <c r="H130" t="s">
        <v>19</v>
      </c>
      <c r="I130">
        <v>47</v>
      </c>
      <c r="J130" t="s">
        <v>43</v>
      </c>
      <c r="K130" t="str">
        <f>_xlfn.XLOOKUP( ventas[[#This Row],[ciudad_cliente]],  ciudades[Ciudad], ciudades[Region])</f>
        <v>Antofagasta</v>
      </c>
      <c r="L130" t="s">
        <v>38</v>
      </c>
      <c r="M130" t="s">
        <v>46</v>
      </c>
      <c r="N130" t="str">
        <f>_xlfn.XLOOKUP(ventas[[#This Row],[producto]], categ[Producto], categ[Categoria])</f>
        <v>Tecnología</v>
      </c>
      <c r="O130">
        <v>750000</v>
      </c>
      <c r="P130">
        <v>1</v>
      </c>
      <c r="Q130" s="11">
        <v>0.05</v>
      </c>
      <c r="R130">
        <f>(ventas[[#This Row],[precio_unitario]]*ventas[[#This Row],[cantidad]])</f>
        <v>750000</v>
      </c>
      <c r="S130">
        <f>ventas[[#This Row],[Total_Productos]]*ventas[[#This Row],[descuento_pct]]</f>
        <v>37500</v>
      </c>
      <c r="T130">
        <f>ventas[[#This Row],[Total_Productos]]-ventas[[#This Row],[Valor_descuento]]</f>
        <v>712500</v>
      </c>
    </row>
    <row r="131" spans="1:20" x14ac:dyDescent="0.3">
      <c r="A131">
        <v>959</v>
      </c>
      <c r="B131" s="1">
        <v>45886</v>
      </c>
      <c r="C131">
        <v>33</v>
      </c>
      <c r="D131">
        <v>13</v>
      </c>
      <c r="E131">
        <v>76</v>
      </c>
      <c r="F131" t="s">
        <v>318</v>
      </c>
      <c r="G131" t="s">
        <v>319</v>
      </c>
      <c r="H131" t="s">
        <v>19</v>
      </c>
      <c r="I131">
        <v>47</v>
      </c>
      <c r="J131" t="s">
        <v>101</v>
      </c>
      <c r="K131" t="str">
        <f>_xlfn.XLOOKUP( ventas[[#This Row],[ciudad_cliente]],  ciudades[Ciudad], ciudades[Region])</f>
        <v>O'Higgins</v>
      </c>
      <c r="L131" t="s">
        <v>29</v>
      </c>
      <c r="M131" t="s">
        <v>102</v>
      </c>
      <c r="N131" t="str">
        <f>_xlfn.XLOOKUP(ventas[[#This Row],[producto]], categ[Producto], categ[Categoria])</f>
        <v>Vestuario</v>
      </c>
      <c r="O131">
        <v>12000</v>
      </c>
      <c r="P131">
        <v>1</v>
      </c>
      <c r="Q131" s="11">
        <v>0</v>
      </c>
      <c r="R131">
        <f>(ventas[[#This Row],[precio_unitario]]*ventas[[#This Row],[cantidad]])</f>
        <v>12000</v>
      </c>
      <c r="S131">
        <f>ventas[[#This Row],[Total_Productos]]*ventas[[#This Row],[descuento_pct]]</f>
        <v>0</v>
      </c>
      <c r="T131">
        <f>ventas[[#This Row],[Total_Productos]]-ventas[[#This Row],[Valor_descuento]]</f>
        <v>12000</v>
      </c>
    </row>
    <row r="132" spans="1:20" x14ac:dyDescent="0.3">
      <c r="A132">
        <v>113</v>
      </c>
      <c r="B132" s="1">
        <v>45040</v>
      </c>
      <c r="C132">
        <v>56</v>
      </c>
      <c r="D132">
        <v>2</v>
      </c>
      <c r="E132">
        <v>225</v>
      </c>
      <c r="F132" t="s">
        <v>249</v>
      </c>
      <c r="G132" t="s">
        <v>250</v>
      </c>
      <c r="H132" t="s">
        <v>19</v>
      </c>
      <c r="I132">
        <v>32</v>
      </c>
      <c r="J132" t="s">
        <v>27</v>
      </c>
      <c r="K132" t="str">
        <f>_xlfn.XLOOKUP( ventas[[#This Row],[ciudad_cliente]],  ciudades[Ciudad], ciudades[Region])</f>
        <v>Biobío</v>
      </c>
      <c r="L132" t="s">
        <v>22</v>
      </c>
      <c r="M132" t="s">
        <v>69</v>
      </c>
      <c r="N132" t="str">
        <f>_xlfn.XLOOKUP(ventas[[#This Row],[producto]], categ[Producto], categ[Categoria])</f>
        <v>Tecnología</v>
      </c>
      <c r="O132">
        <v>450000</v>
      </c>
      <c r="P132">
        <v>2</v>
      </c>
      <c r="Q132" s="11">
        <v>0.1</v>
      </c>
      <c r="R132">
        <f>(ventas[[#This Row],[precio_unitario]]*ventas[[#This Row],[cantidad]])</f>
        <v>900000</v>
      </c>
      <c r="S132">
        <f>ventas[[#This Row],[Total_Productos]]*ventas[[#This Row],[descuento_pct]]</f>
        <v>90000</v>
      </c>
      <c r="T132">
        <f>ventas[[#This Row],[Total_Productos]]-ventas[[#This Row],[Valor_descuento]]</f>
        <v>810000</v>
      </c>
    </row>
    <row r="133" spans="1:20" x14ac:dyDescent="0.3">
      <c r="A133">
        <v>120</v>
      </c>
      <c r="B133" s="1">
        <v>45047</v>
      </c>
      <c r="C133">
        <v>12</v>
      </c>
      <c r="D133">
        <v>0</v>
      </c>
      <c r="E133">
        <v>225</v>
      </c>
      <c r="F133" t="s">
        <v>249</v>
      </c>
      <c r="G133" t="s">
        <v>250</v>
      </c>
      <c r="H133" t="s">
        <v>19</v>
      </c>
      <c r="I133">
        <v>32</v>
      </c>
      <c r="J133" t="s">
        <v>116</v>
      </c>
      <c r="K133" t="str">
        <f>_xlfn.XLOOKUP( ventas[[#This Row],[ciudad_cliente]],  ciudades[Ciudad], ciudades[Region])</f>
        <v>Valparaíso</v>
      </c>
      <c r="L133" t="s">
        <v>29</v>
      </c>
      <c r="M133" t="s">
        <v>98</v>
      </c>
      <c r="N133" t="str">
        <f>_xlfn.XLOOKUP(ventas[[#This Row],[producto]], categ[Producto], categ[Categoria])</f>
        <v>Calzado</v>
      </c>
      <c r="O133">
        <v>55000</v>
      </c>
      <c r="P133">
        <v>3</v>
      </c>
      <c r="Q133" s="11">
        <v>0</v>
      </c>
      <c r="R133">
        <f>(ventas[[#This Row],[precio_unitario]]*ventas[[#This Row],[cantidad]])</f>
        <v>165000</v>
      </c>
      <c r="S133">
        <f>ventas[[#This Row],[Total_Productos]]*ventas[[#This Row],[descuento_pct]]</f>
        <v>0</v>
      </c>
      <c r="T133">
        <f>ventas[[#This Row],[Total_Productos]]-ventas[[#This Row],[Valor_descuento]]</f>
        <v>165000</v>
      </c>
    </row>
    <row r="134" spans="1:20" x14ac:dyDescent="0.3">
      <c r="A134">
        <v>289</v>
      </c>
      <c r="B134" s="1">
        <v>45216</v>
      </c>
      <c r="C134">
        <v>62</v>
      </c>
      <c r="D134">
        <v>4</v>
      </c>
      <c r="E134">
        <v>225</v>
      </c>
      <c r="F134" t="s">
        <v>249</v>
      </c>
      <c r="G134" t="s">
        <v>250</v>
      </c>
      <c r="H134" t="s">
        <v>19</v>
      </c>
      <c r="I134">
        <v>32</v>
      </c>
      <c r="J134" t="s">
        <v>76</v>
      </c>
      <c r="K134" t="str">
        <f>_xlfn.XLOOKUP( ventas[[#This Row],[ciudad_cliente]],  ciudades[Ciudad], ciudades[Region])</f>
        <v>Los Lagos</v>
      </c>
      <c r="L134" t="s">
        <v>22</v>
      </c>
      <c r="M134" t="s">
        <v>49</v>
      </c>
      <c r="N134" t="str">
        <f>_xlfn.XLOOKUP(ventas[[#This Row],[producto]], categ[Producto], categ[Categoria])</f>
        <v>Electrohogar</v>
      </c>
      <c r="O134">
        <v>800000</v>
      </c>
      <c r="P134">
        <v>3</v>
      </c>
      <c r="Q134" s="11">
        <v>0</v>
      </c>
      <c r="R134">
        <f>(ventas[[#This Row],[precio_unitario]]*ventas[[#This Row],[cantidad]])</f>
        <v>2400000</v>
      </c>
      <c r="S134">
        <f>ventas[[#This Row],[Total_Productos]]*ventas[[#This Row],[descuento_pct]]</f>
        <v>0</v>
      </c>
      <c r="T134">
        <f>ventas[[#This Row],[Total_Productos]]-ventas[[#This Row],[Valor_descuento]]</f>
        <v>2400000</v>
      </c>
    </row>
    <row r="135" spans="1:20" x14ac:dyDescent="0.3">
      <c r="A135">
        <v>433</v>
      </c>
      <c r="B135" s="1">
        <v>45360</v>
      </c>
      <c r="C135">
        <v>67</v>
      </c>
      <c r="D135">
        <v>0</v>
      </c>
      <c r="E135">
        <v>225</v>
      </c>
      <c r="F135" t="s">
        <v>249</v>
      </c>
      <c r="G135" t="s">
        <v>250</v>
      </c>
      <c r="H135" t="s">
        <v>19</v>
      </c>
      <c r="I135">
        <v>32</v>
      </c>
      <c r="J135" t="s">
        <v>27</v>
      </c>
      <c r="K135" t="str">
        <f>_xlfn.XLOOKUP( ventas[[#This Row],[ciudad_cliente]],  ciudades[Ciudad], ciudades[Region])</f>
        <v>Biobío</v>
      </c>
      <c r="L135" t="s">
        <v>38</v>
      </c>
      <c r="M135" t="s">
        <v>69</v>
      </c>
      <c r="N135" t="str">
        <f>_xlfn.XLOOKUP(ventas[[#This Row],[producto]], categ[Producto], categ[Categoria])</f>
        <v>Tecnología</v>
      </c>
      <c r="O135">
        <v>450000</v>
      </c>
      <c r="P135">
        <v>1</v>
      </c>
      <c r="Q135" s="11">
        <v>0.05</v>
      </c>
      <c r="R135">
        <f>(ventas[[#This Row],[precio_unitario]]*ventas[[#This Row],[cantidad]])</f>
        <v>450000</v>
      </c>
      <c r="S135">
        <f>ventas[[#This Row],[Total_Productos]]*ventas[[#This Row],[descuento_pct]]</f>
        <v>22500</v>
      </c>
      <c r="T135">
        <f>ventas[[#This Row],[Total_Productos]]-ventas[[#This Row],[Valor_descuento]]</f>
        <v>427500</v>
      </c>
    </row>
    <row r="136" spans="1:20" x14ac:dyDescent="0.3">
      <c r="A136">
        <v>776</v>
      </c>
      <c r="B136" s="1">
        <v>45703</v>
      </c>
      <c r="C136">
        <v>47</v>
      </c>
      <c r="D136">
        <v>1</v>
      </c>
      <c r="E136">
        <v>225</v>
      </c>
      <c r="F136" t="s">
        <v>249</v>
      </c>
      <c r="G136" t="s">
        <v>250</v>
      </c>
      <c r="H136" t="s">
        <v>19</v>
      </c>
      <c r="I136">
        <v>32</v>
      </c>
      <c r="J136" t="s">
        <v>116</v>
      </c>
      <c r="K136" t="str">
        <f>_xlfn.XLOOKUP( ventas[[#This Row],[ciudad_cliente]],  ciudades[Ciudad], ciudades[Region])</f>
        <v>Valparaíso</v>
      </c>
      <c r="L136" t="s">
        <v>22</v>
      </c>
      <c r="M136" t="s">
        <v>56</v>
      </c>
      <c r="N136" t="str">
        <f>_xlfn.XLOOKUP(ventas[[#This Row],[producto]], categ[Producto], categ[Categoria])</f>
        <v>Vestuario</v>
      </c>
      <c r="O136">
        <v>25000</v>
      </c>
      <c r="P136">
        <v>3</v>
      </c>
      <c r="Q136" s="11">
        <v>0.05</v>
      </c>
      <c r="R136">
        <f>(ventas[[#This Row],[precio_unitario]]*ventas[[#This Row],[cantidad]])</f>
        <v>75000</v>
      </c>
      <c r="S136">
        <f>ventas[[#This Row],[Total_Productos]]*ventas[[#This Row],[descuento_pct]]</f>
        <v>3750</v>
      </c>
      <c r="T136">
        <f>ventas[[#This Row],[Total_Productos]]-ventas[[#This Row],[Valor_descuento]]</f>
        <v>71250</v>
      </c>
    </row>
    <row r="137" spans="1:20" x14ac:dyDescent="0.3">
      <c r="A137">
        <v>816</v>
      </c>
      <c r="B137" s="1">
        <v>45743</v>
      </c>
      <c r="C137">
        <v>60</v>
      </c>
      <c r="D137">
        <v>1</v>
      </c>
      <c r="E137">
        <v>225</v>
      </c>
      <c r="F137" t="s">
        <v>249</v>
      </c>
      <c r="G137" t="s">
        <v>250</v>
      </c>
      <c r="H137" t="s">
        <v>19</v>
      </c>
      <c r="I137">
        <v>32</v>
      </c>
      <c r="J137" t="s">
        <v>37</v>
      </c>
      <c r="K137" t="str">
        <f>_xlfn.XLOOKUP( ventas[[#This Row],[ciudad_cliente]],  ciudades[Ciudad], ciudades[Region])</f>
        <v>Valparaíso</v>
      </c>
      <c r="L137" t="s">
        <v>29</v>
      </c>
      <c r="M137" t="s">
        <v>39</v>
      </c>
      <c r="N137" t="str">
        <f>_xlfn.XLOOKUP(ventas[[#This Row],[producto]], categ[Producto], categ[Categoria])</f>
        <v>Belleza</v>
      </c>
      <c r="O137">
        <v>35000</v>
      </c>
      <c r="P137">
        <v>1</v>
      </c>
      <c r="Q137" s="11">
        <v>0.1</v>
      </c>
      <c r="R137">
        <f>(ventas[[#This Row],[precio_unitario]]*ventas[[#This Row],[cantidad]])</f>
        <v>35000</v>
      </c>
      <c r="S137">
        <f>ventas[[#This Row],[Total_Productos]]*ventas[[#This Row],[descuento_pct]]</f>
        <v>3500</v>
      </c>
      <c r="T137">
        <f>ventas[[#This Row],[Total_Productos]]-ventas[[#This Row],[Valor_descuento]]</f>
        <v>31500</v>
      </c>
    </row>
    <row r="138" spans="1:20" x14ac:dyDescent="0.3">
      <c r="A138">
        <v>381</v>
      </c>
      <c r="B138" s="1">
        <v>45308</v>
      </c>
      <c r="C138">
        <v>35</v>
      </c>
      <c r="D138">
        <v>1</v>
      </c>
      <c r="E138">
        <v>230</v>
      </c>
      <c r="F138" t="s">
        <v>496</v>
      </c>
      <c r="G138" t="s">
        <v>497</v>
      </c>
      <c r="H138" t="s">
        <v>19</v>
      </c>
      <c r="I138">
        <v>46</v>
      </c>
      <c r="J138" t="s">
        <v>43</v>
      </c>
      <c r="K138" t="str">
        <f>_xlfn.XLOOKUP( ventas[[#This Row],[ciudad_cliente]],  ciudades[Ciudad], ciudades[Region])</f>
        <v>Antofagasta</v>
      </c>
      <c r="L138" t="s">
        <v>38</v>
      </c>
      <c r="M138" t="s">
        <v>56</v>
      </c>
      <c r="N138" t="str">
        <f>_xlfn.XLOOKUP(ventas[[#This Row],[producto]], categ[Producto], categ[Categoria])</f>
        <v>Vestuario</v>
      </c>
      <c r="O138">
        <v>25000</v>
      </c>
      <c r="P138">
        <v>3</v>
      </c>
      <c r="Q138" s="11">
        <v>0</v>
      </c>
      <c r="R138">
        <f>(ventas[[#This Row],[precio_unitario]]*ventas[[#This Row],[cantidad]])</f>
        <v>75000</v>
      </c>
      <c r="S138">
        <f>ventas[[#This Row],[Total_Productos]]*ventas[[#This Row],[descuento_pct]]</f>
        <v>0</v>
      </c>
      <c r="T138">
        <f>ventas[[#This Row],[Total_Productos]]-ventas[[#This Row],[Valor_descuento]]</f>
        <v>75000</v>
      </c>
    </row>
    <row r="139" spans="1:20" x14ac:dyDescent="0.3">
      <c r="A139">
        <v>585</v>
      </c>
      <c r="B139" s="1">
        <v>45512</v>
      </c>
      <c r="C139">
        <v>58</v>
      </c>
      <c r="D139">
        <v>1</v>
      </c>
      <c r="E139">
        <v>230</v>
      </c>
      <c r="F139" t="s">
        <v>496</v>
      </c>
      <c r="G139" t="s">
        <v>497</v>
      </c>
      <c r="H139" t="s">
        <v>19</v>
      </c>
      <c r="I139">
        <v>46</v>
      </c>
      <c r="J139" t="s">
        <v>76</v>
      </c>
      <c r="K139" t="str">
        <f>_xlfn.XLOOKUP( ventas[[#This Row],[ciudad_cliente]],  ciudades[Ciudad], ciudades[Region])</f>
        <v>Los Lagos</v>
      </c>
      <c r="L139" t="s">
        <v>29</v>
      </c>
      <c r="M139" t="s">
        <v>39</v>
      </c>
      <c r="N139" t="str">
        <f>_xlfn.XLOOKUP(ventas[[#This Row],[producto]], categ[Producto], categ[Categoria])</f>
        <v>Belleza</v>
      </c>
      <c r="O139">
        <v>35000</v>
      </c>
      <c r="P139">
        <v>3</v>
      </c>
      <c r="Q139" s="11">
        <v>0</v>
      </c>
      <c r="R139">
        <f>(ventas[[#This Row],[precio_unitario]]*ventas[[#This Row],[cantidad]])</f>
        <v>105000</v>
      </c>
      <c r="S139">
        <f>ventas[[#This Row],[Total_Productos]]*ventas[[#This Row],[descuento_pct]]</f>
        <v>0</v>
      </c>
      <c r="T139">
        <f>ventas[[#This Row],[Total_Productos]]-ventas[[#This Row],[Valor_descuento]]</f>
        <v>105000</v>
      </c>
    </row>
    <row r="140" spans="1:20" x14ac:dyDescent="0.3">
      <c r="A140">
        <v>701</v>
      </c>
      <c r="B140" s="1">
        <v>45628</v>
      </c>
      <c r="C140">
        <v>55</v>
      </c>
      <c r="D140">
        <v>9</v>
      </c>
      <c r="E140">
        <v>230</v>
      </c>
      <c r="F140" t="s">
        <v>496</v>
      </c>
      <c r="G140" t="s">
        <v>497</v>
      </c>
      <c r="H140" t="s">
        <v>19</v>
      </c>
      <c r="I140">
        <v>46</v>
      </c>
      <c r="J140" t="s">
        <v>43</v>
      </c>
      <c r="K140" t="str">
        <f>_xlfn.XLOOKUP( ventas[[#This Row],[ciudad_cliente]],  ciudades[Ciudad], ciudades[Region])</f>
        <v>Antofagasta</v>
      </c>
      <c r="L140" t="s">
        <v>38</v>
      </c>
      <c r="M140" t="s">
        <v>23</v>
      </c>
      <c r="N140" t="str">
        <f>_xlfn.XLOOKUP(ventas[[#This Row],[producto]], categ[Producto], categ[Categoria])</f>
        <v>Belleza</v>
      </c>
      <c r="O140">
        <v>15000</v>
      </c>
      <c r="P140">
        <v>1</v>
      </c>
      <c r="Q140" s="11">
        <v>0</v>
      </c>
      <c r="R140">
        <f>(ventas[[#This Row],[precio_unitario]]*ventas[[#This Row],[cantidad]])</f>
        <v>15000</v>
      </c>
      <c r="S140">
        <f>ventas[[#This Row],[Total_Productos]]*ventas[[#This Row],[descuento_pct]]</f>
        <v>0</v>
      </c>
      <c r="T140">
        <f>ventas[[#This Row],[Total_Productos]]-ventas[[#This Row],[Valor_descuento]]</f>
        <v>15000</v>
      </c>
    </row>
    <row r="141" spans="1:20" x14ac:dyDescent="0.3">
      <c r="A141">
        <v>882</v>
      </c>
      <c r="B141" s="1">
        <v>45809</v>
      </c>
      <c r="C141">
        <v>13</v>
      </c>
      <c r="D141">
        <v>0</v>
      </c>
      <c r="E141">
        <v>230</v>
      </c>
      <c r="F141" t="s">
        <v>496</v>
      </c>
      <c r="G141" t="s">
        <v>497</v>
      </c>
      <c r="H141" t="s">
        <v>19</v>
      </c>
      <c r="I141">
        <v>46</v>
      </c>
      <c r="J141" t="s">
        <v>27</v>
      </c>
      <c r="K141" t="str">
        <f>_xlfn.XLOOKUP( ventas[[#This Row],[ciudad_cliente]],  ciudades[Ciudad], ciudades[Region])</f>
        <v>Biobío</v>
      </c>
      <c r="L141" t="s">
        <v>38</v>
      </c>
      <c r="M141" t="s">
        <v>30</v>
      </c>
      <c r="N141" t="str">
        <f>_xlfn.XLOOKUP(ventas[[#This Row],[producto]], categ[Producto], categ[Categoria])</f>
        <v>Electrohogar</v>
      </c>
      <c r="O141">
        <v>700000</v>
      </c>
      <c r="P141">
        <v>1</v>
      </c>
      <c r="Q141" s="11">
        <v>0.05</v>
      </c>
      <c r="R141">
        <f>(ventas[[#This Row],[precio_unitario]]*ventas[[#This Row],[cantidad]])</f>
        <v>700000</v>
      </c>
      <c r="S141">
        <f>ventas[[#This Row],[Total_Productos]]*ventas[[#This Row],[descuento_pct]]</f>
        <v>35000</v>
      </c>
      <c r="T141">
        <f>ventas[[#This Row],[Total_Productos]]-ventas[[#This Row],[Valor_descuento]]</f>
        <v>665000</v>
      </c>
    </row>
    <row r="142" spans="1:20" x14ac:dyDescent="0.3">
      <c r="A142">
        <v>343</v>
      </c>
      <c r="B142" s="1">
        <v>45270</v>
      </c>
      <c r="C142">
        <v>41</v>
      </c>
      <c r="D142">
        <v>4</v>
      </c>
      <c r="E142">
        <v>158</v>
      </c>
      <c r="F142" t="s">
        <v>470</v>
      </c>
      <c r="G142" t="s">
        <v>471</v>
      </c>
      <c r="H142" t="s">
        <v>19</v>
      </c>
      <c r="I142">
        <v>43</v>
      </c>
      <c r="J142" t="s">
        <v>43</v>
      </c>
      <c r="K142" t="str">
        <f>_xlfn.XLOOKUP( ventas[[#This Row],[ciudad_cliente]],  ciudades[Ciudad], ciudades[Region])</f>
        <v>Antofagasta</v>
      </c>
      <c r="L142" t="s">
        <v>22</v>
      </c>
      <c r="M142" t="s">
        <v>30</v>
      </c>
      <c r="N142" t="str">
        <f>_xlfn.XLOOKUP(ventas[[#This Row],[producto]], categ[Producto], categ[Categoria])</f>
        <v>Electrohogar</v>
      </c>
      <c r="O142">
        <v>700000</v>
      </c>
      <c r="P142">
        <v>2</v>
      </c>
      <c r="Q142" s="11">
        <v>0</v>
      </c>
      <c r="R142">
        <f>(ventas[[#This Row],[precio_unitario]]*ventas[[#This Row],[cantidad]])</f>
        <v>1400000</v>
      </c>
      <c r="S142">
        <f>ventas[[#This Row],[Total_Productos]]*ventas[[#This Row],[descuento_pct]]</f>
        <v>0</v>
      </c>
      <c r="T142">
        <f>ventas[[#This Row],[Total_Productos]]-ventas[[#This Row],[Valor_descuento]]</f>
        <v>1400000</v>
      </c>
    </row>
    <row r="143" spans="1:20" x14ac:dyDescent="0.3">
      <c r="A143">
        <v>580</v>
      </c>
      <c r="B143" s="1">
        <v>45507</v>
      </c>
      <c r="C143">
        <v>30</v>
      </c>
      <c r="D143">
        <v>0</v>
      </c>
      <c r="E143">
        <v>158</v>
      </c>
      <c r="F143" t="s">
        <v>470</v>
      </c>
      <c r="G143" t="s">
        <v>471</v>
      </c>
      <c r="H143" t="s">
        <v>19</v>
      </c>
      <c r="I143">
        <v>43</v>
      </c>
      <c r="J143" t="s">
        <v>37</v>
      </c>
      <c r="K143" t="str">
        <f>_xlfn.XLOOKUP( ventas[[#This Row],[ciudad_cliente]],  ciudades[Ciudad], ciudades[Region])</f>
        <v>Valparaíso</v>
      </c>
      <c r="L143" t="s">
        <v>38</v>
      </c>
      <c r="M143" t="s">
        <v>62</v>
      </c>
      <c r="N143" t="str">
        <f>_xlfn.XLOOKUP(ventas[[#This Row],[producto]], categ[Producto], categ[Categoria])</f>
        <v>Electrohogar</v>
      </c>
      <c r="O143">
        <v>650000</v>
      </c>
      <c r="P143">
        <v>1</v>
      </c>
      <c r="Q143" s="11">
        <v>0</v>
      </c>
      <c r="R143">
        <f>(ventas[[#This Row],[precio_unitario]]*ventas[[#This Row],[cantidad]])</f>
        <v>650000</v>
      </c>
      <c r="S143">
        <f>ventas[[#This Row],[Total_Productos]]*ventas[[#This Row],[descuento_pct]]</f>
        <v>0</v>
      </c>
      <c r="T143">
        <f>ventas[[#This Row],[Total_Productos]]-ventas[[#This Row],[Valor_descuento]]</f>
        <v>650000</v>
      </c>
    </row>
    <row r="144" spans="1:20" x14ac:dyDescent="0.3">
      <c r="A144">
        <v>677</v>
      </c>
      <c r="B144" s="1">
        <v>45604</v>
      </c>
      <c r="C144">
        <v>16</v>
      </c>
      <c r="D144">
        <v>3</v>
      </c>
      <c r="E144">
        <v>158</v>
      </c>
      <c r="F144" t="s">
        <v>470</v>
      </c>
      <c r="G144" t="s">
        <v>471</v>
      </c>
      <c r="H144" t="s">
        <v>19</v>
      </c>
      <c r="I144">
        <v>43</v>
      </c>
      <c r="J144" t="s">
        <v>20</v>
      </c>
      <c r="K144" t="str">
        <f>_xlfn.XLOOKUP( ventas[[#This Row],[ciudad_cliente]],  ciudades[Ciudad], ciudades[Region])</f>
        <v>La Araucanía</v>
      </c>
      <c r="L144" t="s">
        <v>38</v>
      </c>
      <c r="M144" t="s">
        <v>102</v>
      </c>
      <c r="N144" t="str">
        <f>_xlfn.XLOOKUP(ventas[[#This Row],[producto]], categ[Producto], categ[Categoria])</f>
        <v>Vestuario</v>
      </c>
      <c r="O144">
        <v>12000</v>
      </c>
      <c r="P144">
        <v>3</v>
      </c>
      <c r="Q144" s="11">
        <v>0</v>
      </c>
      <c r="R144">
        <f>(ventas[[#This Row],[precio_unitario]]*ventas[[#This Row],[cantidad]])</f>
        <v>36000</v>
      </c>
      <c r="S144">
        <f>ventas[[#This Row],[Total_Productos]]*ventas[[#This Row],[descuento_pct]]</f>
        <v>0</v>
      </c>
      <c r="T144">
        <f>ventas[[#This Row],[Total_Productos]]-ventas[[#This Row],[Valor_descuento]]</f>
        <v>36000</v>
      </c>
    </row>
    <row r="145" spans="1:20" x14ac:dyDescent="0.3">
      <c r="A145">
        <v>747</v>
      </c>
      <c r="B145" s="1">
        <v>45674</v>
      </c>
      <c r="C145">
        <v>68</v>
      </c>
      <c r="D145">
        <v>2</v>
      </c>
      <c r="E145">
        <v>158</v>
      </c>
      <c r="F145" t="s">
        <v>470</v>
      </c>
      <c r="G145" t="s">
        <v>471</v>
      </c>
      <c r="H145" t="s">
        <v>19</v>
      </c>
      <c r="I145">
        <v>43</v>
      </c>
      <c r="J145" t="s">
        <v>34</v>
      </c>
      <c r="K145" t="str">
        <f>_xlfn.XLOOKUP( ventas[[#This Row],[ciudad_cliente]],  ciudades[Ciudad], ciudades[Region])</f>
        <v>Metropolitana</v>
      </c>
      <c r="L145" t="s">
        <v>29</v>
      </c>
      <c r="M145" t="s">
        <v>98</v>
      </c>
      <c r="N145" t="str">
        <f>_xlfn.XLOOKUP(ventas[[#This Row],[producto]], categ[Producto], categ[Categoria])</f>
        <v>Calzado</v>
      </c>
      <c r="O145">
        <v>55000</v>
      </c>
      <c r="P145">
        <v>1</v>
      </c>
      <c r="Q145" s="11">
        <v>0</v>
      </c>
      <c r="R145">
        <f>(ventas[[#This Row],[precio_unitario]]*ventas[[#This Row],[cantidad]])</f>
        <v>55000</v>
      </c>
      <c r="S145">
        <f>ventas[[#This Row],[Total_Productos]]*ventas[[#This Row],[descuento_pct]]</f>
        <v>0</v>
      </c>
      <c r="T145">
        <f>ventas[[#This Row],[Total_Productos]]-ventas[[#This Row],[Valor_descuento]]</f>
        <v>55000</v>
      </c>
    </row>
    <row r="146" spans="1:20" x14ac:dyDescent="0.3">
      <c r="A146">
        <v>757</v>
      </c>
      <c r="B146" s="1">
        <v>45684</v>
      </c>
      <c r="C146">
        <v>10</v>
      </c>
      <c r="D146">
        <v>7</v>
      </c>
      <c r="E146">
        <v>158</v>
      </c>
      <c r="F146" t="s">
        <v>470</v>
      </c>
      <c r="G146" t="s">
        <v>471</v>
      </c>
      <c r="H146" t="s">
        <v>19</v>
      </c>
      <c r="I146">
        <v>43</v>
      </c>
      <c r="J146" t="s">
        <v>37</v>
      </c>
      <c r="K146" t="str">
        <f>_xlfn.XLOOKUP( ventas[[#This Row],[ciudad_cliente]],  ciudades[Ciudad], ciudades[Region])</f>
        <v>Valparaíso</v>
      </c>
      <c r="L146" t="s">
        <v>38</v>
      </c>
      <c r="M146" t="s">
        <v>49</v>
      </c>
      <c r="N146" t="str">
        <f>_xlfn.XLOOKUP(ventas[[#This Row],[producto]], categ[Producto], categ[Categoria])</f>
        <v>Electrohogar</v>
      </c>
      <c r="O146">
        <v>800000</v>
      </c>
      <c r="P146">
        <v>2</v>
      </c>
      <c r="Q146" s="11">
        <v>0.1</v>
      </c>
      <c r="R146">
        <f>(ventas[[#This Row],[precio_unitario]]*ventas[[#This Row],[cantidad]])</f>
        <v>1600000</v>
      </c>
      <c r="S146">
        <f>ventas[[#This Row],[Total_Productos]]*ventas[[#This Row],[descuento_pct]]</f>
        <v>160000</v>
      </c>
      <c r="T146">
        <f>ventas[[#This Row],[Total_Productos]]-ventas[[#This Row],[Valor_descuento]]</f>
        <v>1440000</v>
      </c>
    </row>
    <row r="147" spans="1:20" x14ac:dyDescent="0.3">
      <c r="A147">
        <v>24</v>
      </c>
      <c r="B147" s="1">
        <v>44951</v>
      </c>
      <c r="C147">
        <v>4</v>
      </c>
      <c r="D147">
        <v>3</v>
      </c>
      <c r="E147">
        <v>23</v>
      </c>
      <c r="F147" t="s">
        <v>92</v>
      </c>
      <c r="G147" t="s">
        <v>93</v>
      </c>
      <c r="H147" t="s">
        <v>42</v>
      </c>
      <c r="I147">
        <v>38</v>
      </c>
      <c r="J147" t="s">
        <v>52</v>
      </c>
      <c r="K147" t="str">
        <f>_xlfn.XLOOKUP( ventas[[#This Row],[ciudad_cliente]],  ciudades[Ciudad], ciudades[Region])</f>
        <v>Biobío</v>
      </c>
      <c r="L147" t="s">
        <v>38</v>
      </c>
      <c r="M147" t="s">
        <v>39</v>
      </c>
      <c r="N147" t="str">
        <f>_xlfn.XLOOKUP(ventas[[#This Row],[producto]], categ[Producto], categ[Categoria])</f>
        <v>Belleza</v>
      </c>
      <c r="O147">
        <v>35000</v>
      </c>
      <c r="P147">
        <v>3</v>
      </c>
      <c r="Q147" s="11">
        <v>0.05</v>
      </c>
      <c r="R147">
        <f>(ventas[[#This Row],[precio_unitario]]*ventas[[#This Row],[cantidad]])</f>
        <v>105000</v>
      </c>
      <c r="S147">
        <f>ventas[[#This Row],[Total_Productos]]*ventas[[#This Row],[descuento_pct]]</f>
        <v>5250</v>
      </c>
      <c r="T147">
        <f>ventas[[#This Row],[Total_Productos]]-ventas[[#This Row],[Valor_descuento]]</f>
        <v>99750</v>
      </c>
    </row>
    <row r="148" spans="1:20" x14ac:dyDescent="0.3">
      <c r="A148">
        <v>429</v>
      </c>
      <c r="B148" s="1">
        <v>45356</v>
      </c>
      <c r="C148">
        <v>39</v>
      </c>
      <c r="D148">
        <v>6</v>
      </c>
      <c r="E148">
        <v>23</v>
      </c>
      <c r="F148" t="s">
        <v>92</v>
      </c>
      <c r="G148" t="s">
        <v>93</v>
      </c>
      <c r="H148" t="s">
        <v>42</v>
      </c>
      <c r="I148">
        <v>38</v>
      </c>
      <c r="J148" t="s">
        <v>43</v>
      </c>
      <c r="K148" t="str">
        <f>_xlfn.XLOOKUP( ventas[[#This Row],[ciudad_cliente]],  ciudades[Ciudad], ciudades[Region])</f>
        <v>Antofagasta</v>
      </c>
      <c r="L148" t="s">
        <v>38</v>
      </c>
      <c r="M148" t="s">
        <v>30</v>
      </c>
      <c r="N148" t="str">
        <f>_xlfn.XLOOKUP(ventas[[#This Row],[producto]], categ[Producto], categ[Categoria])</f>
        <v>Electrohogar</v>
      </c>
      <c r="O148">
        <v>700000</v>
      </c>
      <c r="P148">
        <v>1</v>
      </c>
      <c r="Q148" s="11">
        <v>0</v>
      </c>
      <c r="R148">
        <f>(ventas[[#This Row],[precio_unitario]]*ventas[[#This Row],[cantidad]])</f>
        <v>700000</v>
      </c>
      <c r="S148">
        <f>ventas[[#This Row],[Total_Productos]]*ventas[[#This Row],[descuento_pct]]</f>
        <v>0</v>
      </c>
      <c r="T148">
        <f>ventas[[#This Row],[Total_Productos]]-ventas[[#This Row],[Valor_descuento]]</f>
        <v>700000</v>
      </c>
    </row>
    <row r="149" spans="1:20" x14ac:dyDescent="0.3">
      <c r="A149">
        <v>663</v>
      </c>
      <c r="B149" s="1">
        <v>45590</v>
      </c>
      <c r="C149">
        <v>43</v>
      </c>
      <c r="D149">
        <v>0</v>
      </c>
      <c r="E149">
        <v>23</v>
      </c>
      <c r="F149" t="s">
        <v>92</v>
      </c>
      <c r="G149" t="s">
        <v>93</v>
      </c>
      <c r="H149" t="s">
        <v>42</v>
      </c>
      <c r="I149">
        <v>38</v>
      </c>
      <c r="J149" t="s">
        <v>34</v>
      </c>
      <c r="K149" t="str">
        <f>_xlfn.XLOOKUP( ventas[[#This Row],[ciudad_cliente]],  ciudades[Ciudad], ciudades[Region])</f>
        <v>Metropolitana</v>
      </c>
      <c r="L149" t="s">
        <v>38</v>
      </c>
      <c r="M149" t="s">
        <v>69</v>
      </c>
      <c r="N149" t="str">
        <f>_xlfn.XLOOKUP(ventas[[#This Row],[producto]], categ[Producto], categ[Categoria])</f>
        <v>Tecnología</v>
      </c>
      <c r="O149">
        <v>450000</v>
      </c>
      <c r="P149">
        <v>2</v>
      </c>
      <c r="Q149" s="11">
        <v>0</v>
      </c>
      <c r="R149">
        <f>(ventas[[#This Row],[precio_unitario]]*ventas[[#This Row],[cantidad]])</f>
        <v>900000</v>
      </c>
      <c r="S149">
        <f>ventas[[#This Row],[Total_Productos]]*ventas[[#This Row],[descuento_pct]]</f>
        <v>0</v>
      </c>
      <c r="T149">
        <f>ventas[[#This Row],[Total_Productos]]-ventas[[#This Row],[Valor_descuento]]</f>
        <v>900000</v>
      </c>
    </row>
    <row r="150" spans="1:20" x14ac:dyDescent="0.3">
      <c r="A150">
        <v>957</v>
      </c>
      <c r="B150" s="1">
        <v>45884</v>
      </c>
      <c r="C150">
        <v>26</v>
      </c>
      <c r="D150">
        <v>6</v>
      </c>
      <c r="E150">
        <v>23</v>
      </c>
      <c r="F150" t="s">
        <v>92</v>
      </c>
      <c r="G150" t="s">
        <v>93</v>
      </c>
      <c r="H150" t="s">
        <v>42</v>
      </c>
      <c r="I150">
        <v>38</v>
      </c>
      <c r="J150" t="s">
        <v>101</v>
      </c>
      <c r="K150" t="str">
        <f>_xlfn.XLOOKUP( ventas[[#This Row],[ciudad_cliente]],  ciudades[Ciudad], ciudades[Region])</f>
        <v>O'Higgins</v>
      </c>
      <c r="L150" t="s">
        <v>29</v>
      </c>
      <c r="M150" t="s">
        <v>102</v>
      </c>
      <c r="N150" t="str">
        <f>_xlfn.XLOOKUP(ventas[[#This Row],[producto]], categ[Producto], categ[Categoria])</f>
        <v>Vestuario</v>
      </c>
      <c r="O150">
        <v>12000</v>
      </c>
      <c r="P150">
        <v>2</v>
      </c>
      <c r="Q150" s="11">
        <v>0.1</v>
      </c>
      <c r="R150">
        <f>(ventas[[#This Row],[precio_unitario]]*ventas[[#This Row],[cantidad]])</f>
        <v>24000</v>
      </c>
      <c r="S150">
        <f>ventas[[#This Row],[Total_Productos]]*ventas[[#This Row],[descuento_pct]]</f>
        <v>2400</v>
      </c>
      <c r="T150">
        <f>ventas[[#This Row],[Total_Productos]]-ventas[[#This Row],[Valor_descuento]]</f>
        <v>21600</v>
      </c>
    </row>
    <row r="151" spans="1:20" x14ac:dyDescent="0.3">
      <c r="A151">
        <v>8</v>
      </c>
      <c r="B151" s="1">
        <v>44935</v>
      </c>
      <c r="C151">
        <v>57</v>
      </c>
      <c r="D151">
        <v>3</v>
      </c>
      <c r="E151">
        <v>242</v>
      </c>
      <c r="F151" t="s">
        <v>50</v>
      </c>
      <c r="G151" t="s">
        <v>51</v>
      </c>
      <c r="H151" t="s">
        <v>42</v>
      </c>
      <c r="I151">
        <v>36</v>
      </c>
      <c r="J151" t="s">
        <v>52</v>
      </c>
      <c r="K151" t="str">
        <f>_xlfn.XLOOKUP( ventas[[#This Row],[ciudad_cliente]],  ciudades[Ciudad], ciudades[Region])</f>
        <v>Biobío</v>
      </c>
      <c r="L151" t="s">
        <v>22</v>
      </c>
      <c r="M151" t="s">
        <v>46</v>
      </c>
      <c r="N151" t="str">
        <f>_xlfn.XLOOKUP(ventas[[#This Row],[producto]], categ[Producto], categ[Categoria])</f>
        <v>Tecnología</v>
      </c>
      <c r="O151">
        <v>750000</v>
      </c>
      <c r="P151">
        <v>1</v>
      </c>
      <c r="Q151" s="11">
        <v>0.05</v>
      </c>
      <c r="R151">
        <f>(ventas[[#This Row],[precio_unitario]]*ventas[[#This Row],[cantidad]])</f>
        <v>750000</v>
      </c>
      <c r="S151">
        <f>ventas[[#This Row],[Total_Productos]]*ventas[[#This Row],[descuento_pct]]</f>
        <v>37500</v>
      </c>
      <c r="T151">
        <f>ventas[[#This Row],[Total_Productos]]-ventas[[#This Row],[Valor_descuento]]</f>
        <v>712500</v>
      </c>
    </row>
    <row r="152" spans="1:20" x14ac:dyDescent="0.3">
      <c r="A152">
        <v>48</v>
      </c>
      <c r="B152" s="1">
        <v>44975</v>
      </c>
      <c r="C152">
        <v>37</v>
      </c>
      <c r="D152">
        <v>1</v>
      </c>
      <c r="E152">
        <v>204</v>
      </c>
      <c r="F152" t="s">
        <v>140</v>
      </c>
      <c r="G152" t="s">
        <v>141</v>
      </c>
      <c r="H152" t="s">
        <v>19</v>
      </c>
      <c r="I152">
        <v>50</v>
      </c>
      <c r="J152" t="s">
        <v>116</v>
      </c>
      <c r="K152" t="str">
        <f>_xlfn.XLOOKUP( ventas[[#This Row],[ciudad_cliente]],  ciudades[Ciudad], ciudades[Region])</f>
        <v>Valparaíso</v>
      </c>
      <c r="L152" t="s">
        <v>38</v>
      </c>
      <c r="M152" t="s">
        <v>30</v>
      </c>
      <c r="N152" t="str">
        <f>_xlfn.XLOOKUP(ventas[[#This Row],[producto]], categ[Producto], categ[Categoria])</f>
        <v>Electrohogar</v>
      </c>
      <c r="O152">
        <v>700000</v>
      </c>
      <c r="P152">
        <v>2</v>
      </c>
      <c r="Q152" s="11">
        <v>0</v>
      </c>
      <c r="R152">
        <f>(ventas[[#This Row],[precio_unitario]]*ventas[[#This Row],[cantidad]])</f>
        <v>1400000</v>
      </c>
      <c r="S152">
        <f>ventas[[#This Row],[Total_Productos]]*ventas[[#This Row],[descuento_pct]]</f>
        <v>0</v>
      </c>
      <c r="T152">
        <f>ventas[[#This Row],[Total_Productos]]-ventas[[#This Row],[Valor_descuento]]</f>
        <v>1400000</v>
      </c>
    </row>
    <row r="153" spans="1:20" x14ac:dyDescent="0.3">
      <c r="A153">
        <v>502</v>
      </c>
      <c r="B153" s="1">
        <v>45429</v>
      </c>
      <c r="C153">
        <v>13</v>
      </c>
      <c r="D153">
        <v>0</v>
      </c>
      <c r="E153">
        <v>204</v>
      </c>
      <c r="F153" t="s">
        <v>140</v>
      </c>
      <c r="G153" t="s">
        <v>141</v>
      </c>
      <c r="H153" t="s">
        <v>19</v>
      </c>
      <c r="I153">
        <v>50</v>
      </c>
      <c r="J153" t="s">
        <v>27</v>
      </c>
      <c r="K153" t="str">
        <f>_xlfn.XLOOKUP( ventas[[#This Row],[ciudad_cliente]],  ciudades[Ciudad], ciudades[Region])</f>
        <v>Biobío</v>
      </c>
      <c r="L153" t="s">
        <v>29</v>
      </c>
      <c r="M153" t="s">
        <v>23</v>
      </c>
      <c r="N153" t="str">
        <f>_xlfn.XLOOKUP(ventas[[#This Row],[producto]], categ[Producto], categ[Categoria])</f>
        <v>Belleza</v>
      </c>
      <c r="O153">
        <v>15000</v>
      </c>
      <c r="P153">
        <v>3</v>
      </c>
      <c r="Q153" s="11">
        <v>0.05</v>
      </c>
      <c r="R153">
        <f>(ventas[[#This Row],[precio_unitario]]*ventas[[#This Row],[cantidad]])</f>
        <v>45000</v>
      </c>
      <c r="S153">
        <f>ventas[[#This Row],[Total_Productos]]*ventas[[#This Row],[descuento_pct]]</f>
        <v>2250</v>
      </c>
      <c r="T153">
        <f>ventas[[#This Row],[Total_Productos]]-ventas[[#This Row],[Valor_descuento]]</f>
        <v>42750</v>
      </c>
    </row>
    <row r="154" spans="1:20" x14ac:dyDescent="0.3">
      <c r="A154">
        <v>514</v>
      </c>
      <c r="B154" s="1">
        <v>45441</v>
      </c>
      <c r="C154">
        <v>44</v>
      </c>
      <c r="D154">
        <v>7</v>
      </c>
      <c r="E154">
        <v>204</v>
      </c>
      <c r="F154" t="s">
        <v>140</v>
      </c>
      <c r="G154" t="s">
        <v>141</v>
      </c>
      <c r="H154" t="s">
        <v>19</v>
      </c>
      <c r="I154">
        <v>50</v>
      </c>
      <c r="J154" t="s">
        <v>43</v>
      </c>
      <c r="K154" t="str">
        <f>_xlfn.XLOOKUP( ventas[[#This Row],[ciudad_cliente]],  ciudades[Ciudad], ciudades[Region])</f>
        <v>Antofagasta</v>
      </c>
      <c r="L154" t="s">
        <v>22</v>
      </c>
      <c r="M154" t="s">
        <v>98</v>
      </c>
      <c r="N154" t="str">
        <f>_xlfn.XLOOKUP(ventas[[#This Row],[producto]], categ[Producto], categ[Categoria])</f>
        <v>Calzado</v>
      </c>
      <c r="O154">
        <v>55000</v>
      </c>
      <c r="P154">
        <v>2</v>
      </c>
      <c r="Q154" s="11">
        <v>0.1</v>
      </c>
      <c r="R154">
        <f>(ventas[[#This Row],[precio_unitario]]*ventas[[#This Row],[cantidad]])</f>
        <v>110000</v>
      </c>
      <c r="S154">
        <f>ventas[[#This Row],[Total_Productos]]*ventas[[#This Row],[descuento_pct]]</f>
        <v>11000</v>
      </c>
      <c r="T154">
        <f>ventas[[#This Row],[Total_Productos]]-ventas[[#This Row],[Valor_descuento]]</f>
        <v>99000</v>
      </c>
    </row>
    <row r="155" spans="1:20" x14ac:dyDescent="0.3">
      <c r="A155">
        <v>713</v>
      </c>
      <c r="B155" s="1">
        <v>45640</v>
      </c>
      <c r="C155">
        <v>50</v>
      </c>
      <c r="D155">
        <v>0</v>
      </c>
      <c r="E155">
        <v>204</v>
      </c>
      <c r="F155" t="s">
        <v>140</v>
      </c>
      <c r="G155" t="s">
        <v>141</v>
      </c>
      <c r="H155" t="s">
        <v>19</v>
      </c>
      <c r="I155">
        <v>50</v>
      </c>
      <c r="J155" t="s">
        <v>20</v>
      </c>
      <c r="K155" t="str">
        <f>_xlfn.XLOOKUP( ventas[[#This Row],[ciudad_cliente]],  ciudades[Ciudad], ciudades[Region])</f>
        <v>La Araucanía</v>
      </c>
      <c r="L155" t="s">
        <v>22</v>
      </c>
      <c r="M155" t="s">
        <v>98</v>
      </c>
      <c r="N155" t="str">
        <f>_xlfn.XLOOKUP(ventas[[#This Row],[producto]], categ[Producto], categ[Categoria])</f>
        <v>Calzado</v>
      </c>
      <c r="O155">
        <v>55000</v>
      </c>
      <c r="P155">
        <v>3</v>
      </c>
      <c r="Q155" s="11">
        <v>0.1</v>
      </c>
      <c r="R155">
        <f>(ventas[[#This Row],[precio_unitario]]*ventas[[#This Row],[cantidad]])</f>
        <v>165000</v>
      </c>
      <c r="S155">
        <f>ventas[[#This Row],[Total_Productos]]*ventas[[#This Row],[descuento_pct]]</f>
        <v>16500</v>
      </c>
      <c r="T155">
        <f>ventas[[#This Row],[Total_Productos]]-ventas[[#This Row],[Valor_descuento]]</f>
        <v>148500</v>
      </c>
    </row>
    <row r="156" spans="1:20" x14ac:dyDescent="0.3">
      <c r="A156">
        <v>872</v>
      </c>
      <c r="B156" s="1">
        <v>45799</v>
      </c>
      <c r="C156">
        <v>44</v>
      </c>
      <c r="D156">
        <v>7</v>
      </c>
      <c r="E156">
        <v>204</v>
      </c>
      <c r="F156" t="s">
        <v>140</v>
      </c>
      <c r="G156" t="s">
        <v>141</v>
      </c>
      <c r="H156" t="s">
        <v>19</v>
      </c>
      <c r="I156">
        <v>50</v>
      </c>
      <c r="J156" t="s">
        <v>43</v>
      </c>
      <c r="K156" t="str">
        <f>_xlfn.XLOOKUP( ventas[[#This Row],[ciudad_cliente]],  ciudades[Ciudad], ciudades[Region])</f>
        <v>Antofagasta</v>
      </c>
      <c r="L156" t="s">
        <v>22</v>
      </c>
      <c r="M156" t="s">
        <v>49</v>
      </c>
      <c r="N156" t="str">
        <f>_xlfn.XLOOKUP(ventas[[#This Row],[producto]], categ[Producto], categ[Categoria])</f>
        <v>Electrohogar</v>
      </c>
      <c r="O156">
        <v>800000</v>
      </c>
      <c r="P156">
        <v>1</v>
      </c>
      <c r="Q156" s="11">
        <v>0.1</v>
      </c>
      <c r="R156">
        <f>(ventas[[#This Row],[precio_unitario]]*ventas[[#This Row],[cantidad]])</f>
        <v>800000</v>
      </c>
      <c r="S156">
        <f>ventas[[#This Row],[Total_Productos]]*ventas[[#This Row],[descuento_pct]]</f>
        <v>80000</v>
      </c>
      <c r="T156">
        <f>ventas[[#This Row],[Total_Productos]]-ventas[[#This Row],[Valor_descuento]]</f>
        <v>720000</v>
      </c>
    </row>
    <row r="157" spans="1:20" x14ac:dyDescent="0.3">
      <c r="A157">
        <v>30</v>
      </c>
      <c r="B157" s="1">
        <v>44957</v>
      </c>
      <c r="C157">
        <v>63</v>
      </c>
      <c r="D157">
        <v>5</v>
      </c>
      <c r="E157">
        <v>122</v>
      </c>
      <c r="F157" t="s">
        <v>107</v>
      </c>
      <c r="G157" t="s">
        <v>108</v>
      </c>
      <c r="H157" t="s">
        <v>42</v>
      </c>
      <c r="I157">
        <v>27</v>
      </c>
      <c r="J157" t="s">
        <v>101</v>
      </c>
      <c r="K157" t="str">
        <f>_xlfn.XLOOKUP( ventas[[#This Row],[ciudad_cliente]],  ciudades[Ciudad], ciudades[Region])</f>
        <v>O'Higgins</v>
      </c>
      <c r="L157" t="s">
        <v>29</v>
      </c>
      <c r="M157" t="s">
        <v>39</v>
      </c>
      <c r="N157" t="str">
        <f>_xlfn.XLOOKUP(ventas[[#This Row],[producto]], categ[Producto], categ[Categoria])</f>
        <v>Belleza</v>
      </c>
      <c r="O157">
        <v>35000</v>
      </c>
      <c r="P157">
        <v>3</v>
      </c>
      <c r="Q157" s="11">
        <v>0</v>
      </c>
      <c r="R157">
        <f>(ventas[[#This Row],[precio_unitario]]*ventas[[#This Row],[cantidad]])</f>
        <v>105000</v>
      </c>
      <c r="S157">
        <f>ventas[[#This Row],[Total_Productos]]*ventas[[#This Row],[descuento_pct]]</f>
        <v>0</v>
      </c>
      <c r="T157">
        <f>ventas[[#This Row],[Total_Productos]]-ventas[[#This Row],[Valor_descuento]]</f>
        <v>105000</v>
      </c>
    </row>
    <row r="158" spans="1:20" x14ac:dyDescent="0.3">
      <c r="A158">
        <v>255</v>
      </c>
      <c r="B158" s="1">
        <v>45182</v>
      </c>
      <c r="C158">
        <v>60</v>
      </c>
      <c r="D158">
        <v>1</v>
      </c>
      <c r="E158">
        <v>122</v>
      </c>
      <c r="F158" t="s">
        <v>107</v>
      </c>
      <c r="G158" t="s">
        <v>108</v>
      </c>
      <c r="H158" t="s">
        <v>42</v>
      </c>
      <c r="I158">
        <v>27</v>
      </c>
      <c r="J158" t="s">
        <v>37</v>
      </c>
      <c r="K158" t="str">
        <f>_xlfn.XLOOKUP( ventas[[#This Row],[ciudad_cliente]],  ciudades[Ciudad], ciudades[Region])</f>
        <v>Valparaíso</v>
      </c>
      <c r="L158" t="s">
        <v>38</v>
      </c>
      <c r="M158" t="s">
        <v>69</v>
      </c>
      <c r="N158" t="str">
        <f>_xlfn.XLOOKUP(ventas[[#This Row],[producto]], categ[Producto], categ[Categoria])</f>
        <v>Tecnología</v>
      </c>
      <c r="O158">
        <v>450000</v>
      </c>
      <c r="P158">
        <v>2</v>
      </c>
      <c r="Q158" s="11">
        <v>0</v>
      </c>
      <c r="R158">
        <f>(ventas[[#This Row],[precio_unitario]]*ventas[[#This Row],[cantidad]])</f>
        <v>900000</v>
      </c>
      <c r="S158">
        <f>ventas[[#This Row],[Total_Productos]]*ventas[[#This Row],[descuento_pct]]</f>
        <v>0</v>
      </c>
      <c r="T158">
        <f>ventas[[#This Row],[Total_Productos]]-ventas[[#This Row],[Valor_descuento]]</f>
        <v>900000</v>
      </c>
    </row>
    <row r="159" spans="1:20" x14ac:dyDescent="0.3">
      <c r="A159">
        <v>336</v>
      </c>
      <c r="B159" s="1">
        <v>45263</v>
      </c>
      <c r="C159">
        <v>37</v>
      </c>
      <c r="D159">
        <v>1</v>
      </c>
      <c r="E159">
        <v>122</v>
      </c>
      <c r="F159" t="s">
        <v>107</v>
      </c>
      <c r="G159" t="s">
        <v>108</v>
      </c>
      <c r="H159" t="s">
        <v>42</v>
      </c>
      <c r="I159">
        <v>27</v>
      </c>
      <c r="J159" t="s">
        <v>116</v>
      </c>
      <c r="K159" t="str">
        <f>_xlfn.XLOOKUP( ventas[[#This Row],[ciudad_cliente]],  ciudades[Ciudad], ciudades[Region])</f>
        <v>Valparaíso</v>
      </c>
      <c r="L159" t="s">
        <v>22</v>
      </c>
      <c r="M159" t="s">
        <v>49</v>
      </c>
      <c r="N159" t="str">
        <f>_xlfn.XLOOKUP(ventas[[#This Row],[producto]], categ[Producto], categ[Categoria])</f>
        <v>Electrohogar</v>
      </c>
      <c r="O159">
        <v>800000</v>
      </c>
      <c r="P159">
        <v>1</v>
      </c>
      <c r="Q159" s="11">
        <v>0.1</v>
      </c>
      <c r="R159">
        <f>(ventas[[#This Row],[precio_unitario]]*ventas[[#This Row],[cantidad]])</f>
        <v>800000</v>
      </c>
      <c r="S159">
        <f>ventas[[#This Row],[Total_Productos]]*ventas[[#This Row],[descuento_pct]]</f>
        <v>80000</v>
      </c>
      <c r="T159">
        <f>ventas[[#This Row],[Total_Productos]]-ventas[[#This Row],[Valor_descuento]]</f>
        <v>720000</v>
      </c>
    </row>
    <row r="160" spans="1:20" x14ac:dyDescent="0.3">
      <c r="A160">
        <v>600</v>
      </c>
      <c r="B160" s="1">
        <v>45527</v>
      </c>
      <c r="C160">
        <v>8</v>
      </c>
      <c r="D160">
        <v>1</v>
      </c>
      <c r="E160">
        <v>122</v>
      </c>
      <c r="F160" t="s">
        <v>107</v>
      </c>
      <c r="G160" t="s">
        <v>108</v>
      </c>
      <c r="H160" t="s">
        <v>42</v>
      </c>
      <c r="I160">
        <v>27</v>
      </c>
      <c r="J160" t="s">
        <v>76</v>
      </c>
      <c r="K160" t="str">
        <f>_xlfn.XLOOKUP( ventas[[#This Row],[ciudad_cliente]],  ciudades[Ciudad], ciudades[Region])</f>
        <v>Los Lagos</v>
      </c>
      <c r="L160" t="s">
        <v>22</v>
      </c>
      <c r="M160" t="s">
        <v>56</v>
      </c>
      <c r="N160" t="str">
        <f>_xlfn.XLOOKUP(ventas[[#This Row],[producto]], categ[Producto], categ[Categoria])</f>
        <v>Vestuario</v>
      </c>
      <c r="O160">
        <v>25000</v>
      </c>
      <c r="P160">
        <v>2</v>
      </c>
      <c r="Q160" s="11">
        <v>0</v>
      </c>
      <c r="R160">
        <f>(ventas[[#This Row],[precio_unitario]]*ventas[[#This Row],[cantidad]])</f>
        <v>50000</v>
      </c>
      <c r="S160">
        <f>ventas[[#This Row],[Total_Productos]]*ventas[[#This Row],[descuento_pct]]</f>
        <v>0</v>
      </c>
      <c r="T160">
        <f>ventas[[#This Row],[Total_Productos]]-ventas[[#This Row],[Valor_descuento]]</f>
        <v>50000</v>
      </c>
    </row>
    <row r="161" spans="1:20" x14ac:dyDescent="0.3">
      <c r="A161">
        <v>625</v>
      </c>
      <c r="B161" s="1">
        <v>45552</v>
      </c>
      <c r="C161">
        <v>49</v>
      </c>
      <c r="D161">
        <v>1</v>
      </c>
      <c r="E161">
        <v>122</v>
      </c>
      <c r="F161" t="s">
        <v>107</v>
      </c>
      <c r="G161" t="s">
        <v>108</v>
      </c>
      <c r="H161" t="s">
        <v>42</v>
      </c>
      <c r="I161">
        <v>27</v>
      </c>
      <c r="J161" t="s">
        <v>43</v>
      </c>
      <c r="K161" t="str">
        <f>_xlfn.XLOOKUP( ventas[[#This Row],[ciudad_cliente]],  ciudades[Ciudad], ciudades[Region])</f>
        <v>Antofagasta</v>
      </c>
      <c r="L161" t="s">
        <v>38</v>
      </c>
      <c r="M161" t="s">
        <v>39</v>
      </c>
      <c r="N161" t="str">
        <f>_xlfn.XLOOKUP(ventas[[#This Row],[producto]], categ[Producto], categ[Categoria])</f>
        <v>Belleza</v>
      </c>
      <c r="O161">
        <v>35000</v>
      </c>
      <c r="P161">
        <v>2</v>
      </c>
      <c r="Q161" s="11">
        <v>0</v>
      </c>
      <c r="R161">
        <f>(ventas[[#This Row],[precio_unitario]]*ventas[[#This Row],[cantidad]])</f>
        <v>70000</v>
      </c>
      <c r="S161">
        <f>ventas[[#This Row],[Total_Productos]]*ventas[[#This Row],[descuento_pct]]</f>
        <v>0</v>
      </c>
      <c r="T161">
        <f>ventas[[#This Row],[Total_Productos]]-ventas[[#This Row],[Valor_descuento]]</f>
        <v>70000</v>
      </c>
    </row>
    <row r="162" spans="1:20" x14ac:dyDescent="0.3">
      <c r="A162">
        <v>696</v>
      </c>
      <c r="B162" s="1">
        <v>45623</v>
      </c>
      <c r="C162">
        <v>47</v>
      </c>
      <c r="D162">
        <v>1</v>
      </c>
      <c r="E162">
        <v>122</v>
      </c>
      <c r="F162" t="s">
        <v>107</v>
      </c>
      <c r="G162" t="s">
        <v>108</v>
      </c>
      <c r="H162" t="s">
        <v>42</v>
      </c>
      <c r="I162">
        <v>27</v>
      </c>
      <c r="J162" t="s">
        <v>116</v>
      </c>
      <c r="K162" t="str">
        <f>_xlfn.XLOOKUP( ventas[[#This Row],[ciudad_cliente]],  ciudades[Ciudad], ciudades[Region])</f>
        <v>Valparaíso</v>
      </c>
      <c r="L162" t="s">
        <v>38</v>
      </c>
      <c r="M162" t="s">
        <v>62</v>
      </c>
      <c r="N162" t="str">
        <f>_xlfn.XLOOKUP(ventas[[#This Row],[producto]], categ[Producto], categ[Categoria])</f>
        <v>Electrohogar</v>
      </c>
      <c r="O162">
        <v>650000</v>
      </c>
      <c r="P162">
        <v>1</v>
      </c>
      <c r="Q162" s="11">
        <v>0.1</v>
      </c>
      <c r="R162">
        <f>(ventas[[#This Row],[precio_unitario]]*ventas[[#This Row],[cantidad]])</f>
        <v>650000</v>
      </c>
      <c r="S162">
        <f>ventas[[#This Row],[Total_Productos]]*ventas[[#This Row],[descuento_pct]]</f>
        <v>65000</v>
      </c>
      <c r="T162">
        <f>ventas[[#This Row],[Total_Productos]]-ventas[[#This Row],[Valor_descuento]]</f>
        <v>585000</v>
      </c>
    </row>
    <row r="163" spans="1:20" x14ac:dyDescent="0.3">
      <c r="A163">
        <v>145</v>
      </c>
      <c r="B163" s="1">
        <v>45072</v>
      </c>
      <c r="C163">
        <v>10</v>
      </c>
      <c r="D163">
        <v>7</v>
      </c>
      <c r="E163">
        <v>163</v>
      </c>
      <c r="F163" t="s">
        <v>282</v>
      </c>
      <c r="G163" t="s">
        <v>283</v>
      </c>
      <c r="H163" t="s">
        <v>19</v>
      </c>
      <c r="I163">
        <v>51</v>
      </c>
      <c r="J163" t="s">
        <v>37</v>
      </c>
      <c r="K163" t="str">
        <f>_xlfn.XLOOKUP( ventas[[#This Row],[ciudad_cliente]],  ciudades[Ciudad], ciudades[Region])</f>
        <v>Valparaíso</v>
      </c>
      <c r="L163" t="s">
        <v>29</v>
      </c>
      <c r="M163" t="s">
        <v>39</v>
      </c>
      <c r="N163" t="str">
        <f>_xlfn.XLOOKUP(ventas[[#This Row],[producto]], categ[Producto], categ[Categoria])</f>
        <v>Belleza</v>
      </c>
      <c r="O163">
        <v>35000</v>
      </c>
      <c r="P163">
        <v>3</v>
      </c>
      <c r="Q163" s="11">
        <v>0</v>
      </c>
      <c r="R163">
        <f>(ventas[[#This Row],[precio_unitario]]*ventas[[#This Row],[cantidad]])</f>
        <v>105000</v>
      </c>
      <c r="S163">
        <f>ventas[[#This Row],[Total_Productos]]*ventas[[#This Row],[descuento_pct]]</f>
        <v>0</v>
      </c>
      <c r="T163">
        <f>ventas[[#This Row],[Total_Productos]]-ventas[[#This Row],[Valor_descuento]]</f>
        <v>105000</v>
      </c>
    </row>
    <row r="164" spans="1:20" x14ac:dyDescent="0.3">
      <c r="A164">
        <v>174</v>
      </c>
      <c r="B164" s="1">
        <v>45101</v>
      </c>
      <c r="C164">
        <v>13</v>
      </c>
      <c r="D164">
        <v>0</v>
      </c>
      <c r="E164">
        <v>163</v>
      </c>
      <c r="F164" t="s">
        <v>282</v>
      </c>
      <c r="G164" t="s">
        <v>283</v>
      </c>
      <c r="H164" t="s">
        <v>19</v>
      </c>
      <c r="I164">
        <v>51</v>
      </c>
      <c r="J164" t="s">
        <v>27</v>
      </c>
      <c r="K164" t="str">
        <f>_xlfn.XLOOKUP( ventas[[#This Row],[ciudad_cliente]],  ciudades[Ciudad], ciudades[Region])</f>
        <v>Biobío</v>
      </c>
      <c r="L164" t="s">
        <v>38</v>
      </c>
      <c r="M164" t="s">
        <v>102</v>
      </c>
      <c r="N164" t="str">
        <f>_xlfn.XLOOKUP(ventas[[#This Row],[producto]], categ[Producto], categ[Categoria])</f>
        <v>Vestuario</v>
      </c>
      <c r="O164">
        <v>12000</v>
      </c>
      <c r="P164">
        <v>2</v>
      </c>
      <c r="Q164" s="11">
        <v>0.1</v>
      </c>
      <c r="R164">
        <f>(ventas[[#This Row],[precio_unitario]]*ventas[[#This Row],[cantidad]])</f>
        <v>24000</v>
      </c>
      <c r="S164">
        <f>ventas[[#This Row],[Total_Productos]]*ventas[[#This Row],[descuento_pct]]</f>
        <v>2400</v>
      </c>
      <c r="T164">
        <f>ventas[[#This Row],[Total_Productos]]-ventas[[#This Row],[Valor_descuento]]</f>
        <v>21600</v>
      </c>
    </row>
    <row r="165" spans="1:20" x14ac:dyDescent="0.3">
      <c r="A165">
        <v>57</v>
      </c>
      <c r="B165" s="1">
        <v>44984</v>
      </c>
      <c r="C165">
        <v>42</v>
      </c>
      <c r="D165">
        <v>4</v>
      </c>
      <c r="E165">
        <v>261</v>
      </c>
      <c r="F165" t="s">
        <v>155</v>
      </c>
      <c r="G165" t="s">
        <v>156</v>
      </c>
      <c r="H165" t="s">
        <v>19</v>
      </c>
      <c r="I165">
        <v>26</v>
      </c>
      <c r="J165" t="s">
        <v>27</v>
      </c>
      <c r="K165" t="str">
        <f>_xlfn.XLOOKUP( ventas[[#This Row],[ciudad_cliente]],  ciudades[Ciudad], ciudades[Region])</f>
        <v>Biobío</v>
      </c>
      <c r="L165" t="s">
        <v>38</v>
      </c>
      <c r="M165" t="s">
        <v>69</v>
      </c>
      <c r="N165" t="str">
        <f>_xlfn.XLOOKUP(ventas[[#This Row],[producto]], categ[Producto], categ[Categoria])</f>
        <v>Tecnología</v>
      </c>
      <c r="O165">
        <v>450000</v>
      </c>
      <c r="P165">
        <v>3</v>
      </c>
      <c r="Q165" s="11">
        <v>0</v>
      </c>
      <c r="R165">
        <f>(ventas[[#This Row],[precio_unitario]]*ventas[[#This Row],[cantidad]])</f>
        <v>1350000</v>
      </c>
      <c r="S165">
        <f>ventas[[#This Row],[Total_Productos]]*ventas[[#This Row],[descuento_pct]]</f>
        <v>0</v>
      </c>
      <c r="T165">
        <f>ventas[[#This Row],[Total_Productos]]-ventas[[#This Row],[Valor_descuento]]</f>
        <v>1350000</v>
      </c>
    </row>
    <row r="166" spans="1:20" x14ac:dyDescent="0.3">
      <c r="A166">
        <v>370</v>
      </c>
      <c r="B166" s="1">
        <v>45297</v>
      </c>
      <c r="C166">
        <v>63</v>
      </c>
      <c r="D166">
        <v>5</v>
      </c>
      <c r="E166">
        <v>261</v>
      </c>
      <c r="F166" t="s">
        <v>155</v>
      </c>
      <c r="G166" t="s">
        <v>156</v>
      </c>
      <c r="H166" t="s">
        <v>19</v>
      </c>
      <c r="I166">
        <v>26</v>
      </c>
      <c r="J166" t="s">
        <v>101</v>
      </c>
      <c r="K166" t="str">
        <f>_xlfn.XLOOKUP( ventas[[#This Row],[ciudad_cliente]],  ciudades[Ciudad], ciudades[Region])</f>
        <v>O'Higgins</v>
      </c>
      <c r="L166" t="s">
        <v>22</v>
      </c>
      <c r="M166" t="s">
        <v>102</v>
      </c>
      <c r="N166" t="str">
        <f>_xlfn.XLOOKUP(ventas[[#This Row],[producto]], categ[Producto], categ[Categoria])</f>
        <v>Vestuario</v>
      </c>
      <c r="O166">
        <v>12000</v>
      </c>
      <c r="P166">
        <v>1</v>
      </c>
      <c r="Q166" s="11">
        <v>0</v>
      </c>
      <c r="R166">
        <f>(ventas[[#This Row],[precio_unitario]]*ventas[[#This Row],[cantidad]])</f>
        <v>12000</v>
      </c>
      <c r="S166">
        <f>ventas[[#This Row],[Total_Productos]]*ventas[[#This Row],[descuento_pct]]</f>
        <v>0</v>
      </c>
      <c r="T166">
        <f>ventas[[#This Row],[Total_Productos]]-ventas[[#This Row],[Valor_descuento]]</f>
        <v>12000</v>
      </c>
    </row>
    <row r="167" spans="1:20" x14ac:dyDescent="0.3">
      <c r="A167">
        <v>787</v>
      </c>
      <c r="B167" s="1">
        <v>45714</v>
      </c>
      <c r="C167">
        <v>51</v>
      </c>
      <c r="D167">
        <v>7</v>
      </c>
      <c r="E167">
        <v>261</v>
      </c>
      <c r="F167" t="s">
        <v>155</v>
      </c>
      <c r="G167" t="s">
        <v>156</v>
      </c>
      <c r="H167" t="s">
        <v>19</v>
      </c>
      <c r="I167">
        <v>26</v>
      </c>
      <c r="J167" t="s">
        <v>101</v>
      </c>
      <c r="K167" t="str">
        <f>_xlfn.XLOOKUP( ventas[[#This Row],[ciudad_cliente]],  ciudades[Ciudad], ciudades[Region])</f>
        <v>O'Higgins</v>
      </c>
      <c r="L167" t="s">
        <v>38</v>
      </c>
      <c r="M167" t="s">
        <v>102</v>
      </c>
      <c r="N167" t="str">
        <f>_xlfn.XLOOKUP(ventas[[#This Row],[producto]], categ[Producto], categ[Categoria])</f>
        <v>Vestuario</v>
      </c>
      <c r="O167">
        <v>12000</v>
      </c>
      <c r="P167">
        <v>3</v>
      </c>
      <c r="Q167" s="11">
        <v>0</v>
      </c>
      <c r="R167">
        <f>(ventas[[#This Row],[precio_unitario]]*ventas[[#This Row],[cantidad]])</f>
        <v>36000</v>
      </c>
      <c r="S167">
        <f>ventas[[#This Row],[Total_Productos]]*ventas[[#This Row],[descuento_pct]]</f>
        <v>0</v>
      </c>
      <c r="T167">
        <f>ventas[[#This Row],[Total_Productos]]-ventas[[#This Row],[Valor_descuento]]</f>
        <v>36000</v>
      </c>
    </row>
    <row r="168" spans="1:20" x14ac:dyDescent="0.3">
      <c r="A168">
        <v>130</v>
      </c>
      <c r="B168" s="1">
        <v>45057</v>
      </c>
      <c r="C168">
        <v>59</v>
      </c>
      <c r="D168">
        <v>1</v>
      </c>
      <c r="E168">
        <v>237</v>
      </c>
      <c r="F168" t="s">
        <v>267</v>
      </c>
      <c r="G168" t="s">
        <v>268</v>
      </c>
      <c r="H168" t="s">
        <v>19</v>
      </c>
      <c r="I168">
        <v>18</v>
      </c>
      <c r="J168" t="s">
        <v>43</v>
      </c>
      <c r="K168" t="str">
        <f>_xlfn.XLOOKUP( ventas[[#This Row],[ciudad_cliente]],  ciudades[Ciudad], ciudades[Region])</f>
        <v>Antofagasta</v>
      </c>
      <c r="L168" t="s">
        <v>38</v>
      </c>
      <c r="M168" t="s">
        <v>69</v>
      </c>
      <c r="N168" t="str">
        <f>_xlfn.XLOOKUP(ventas[[#This Row],[producto]], categ[Producto], categ[Categoria])</f>
        <v>Tecnología</v>
      </c>
      <c r="O168">
        <v>450000</v>
      </c>
      <c r="P168">
        <v>3</v>
      </c>
      <c r="Q168" s="11">
        <v>0.05</v>
      </c>
      <c r="R168">
        <f>(ventas[[#This Row],[precio_unitario]]*ventas[[#This Row],[cantidad]])</f>
        <v>1350000</v>
      </c>
      <c r="S168">
        <f>ventas[[#This Row],[Total_Productos]]*ventas[[#This Row],[descuento_pct]]</f>
        <v>67500</v>
      </c>
      <c r="T168">
        <f>ventas[[#This Row],[Total_Productos]]-ventas[[#This Row],[Valor_descuento]]</f>
        <v>1282500</v>
      </c>
    </row>
    <row r="169" spans="1:20" x14ac:dyDescent="0.3">
      <c r="A169">
        <v>229</v>
      </c>
      <c r="B169" s="1">
        <v>45156</v>
      </c>
      <c r="C169">
        <v>68</v>
      </c>
      <c r="D169">
        <v>2</v>
      </c>
      <c r="E169">
        <v>237</v>
      </c>
      <c r="F169" t="s">
        <v>267</v>
      </c>
      <c r="G169" t="s">
        <v>268</v>
      </c>
      <c r="H169" t="s">
        <v>19</v>
      </c>
      <c r="I169">
        <v>18</v>
      </c>
      <c r="J169" t="s">
        <v>34</v>
      </c>
      <c r="K169" t="str">
        <f>_xlfn.XLOOKUP( ventas[[#This Row],[ciudad_cliente]],  ciudades[Ciudad], ciudades[Region])</f>
        <v>Metropolitana</v>
      </c>
      <c r="L169" t="s">
        <v>38</v>
      </c>
      <c r="M169" t="s">
        <v>23</v>
      </c>
      <c r="N169" t="str">
        <f>_xlfn.XLOOKUP(ventas[[#This Row],[producto]], categ[Producto], categ[Categoria])</f>
        <v>Belleza</v>
      </c>
      <c r="O169">
        <v>15000</v>
      </c>
      <c r="P169">
        <v>1</v>
      </c>
      <c r="Q169" s="11">
        <v>0</v>
      </c>
      <c r="R169">
        <f>(ventas[[#This Row],[precio_unitario]]*ventas[[#This Row],[cantidad]])</f>
        <v>15000</v>
      </c>
      <c r="S169">
        <f>ventas[[#This Row],[Total_Productos]]*ventas[[#This Row],[descuento_pct]]</f>
        <v>0</v>
      </c>
      <c r="T169">
        <f>ventas[[#This Row],[Total_Productos]]-ventas[[#This Row],[Valor_descuento]]</f>
        <v>15000</v>
      </c>
    </row>
    <row r="170" spans="1:20" x14ac:dyDescent="0.3">
      <c r="A170">
        <v>294</v>
      </c>
      <c r="B170" s="1">
        <v>45221</v>
      </c>
      <c r="C170">
        <v>36</v>
      </c>
      <c r="D170">
        <v>4</v>
      </c>
      <c r="E170">
        <v>237</v>
      </c>
      <c r="F170" t="s">
        <v>267</v>
      </c>
      <c r="G170" t="s">
        <v>268</v>
      </c>
      <c r="H170" t="s">
        <v>19</v>
      </c>
      <c r="I170">
        <v>18</v>
      </c>
      <c r="J170" t="s">
        <v>101</v>
      </c>
      <c r="K170" t="str">
        <f>_xlfn.XLOOKUP( ventas[[#This Row],[ciudad_cliente]],  ciudades[Ciudad], ciudades[Region])</f>
        <v>O'Higgins</v>
      </c>
      <c r="L170" t="s">
        <v>38</v>
      </c>
      <c r="M170" t="s">
        <v>102</v>
      </c>
      <c r="N170" t="str">
        <f>_xlfn.XLOOKUP(ventas[[#This Row],[producto]], categ[Producto], categ[Categoria])</f>
        <v>Vestuario</v>
      </c>
      <c r="O170">
        <v>12000</v>
      </c>
      <c r="P170">
        <v>3</v>
      </c>
      <c r="Q170" s="11">
        <v>0</v>
      </c>
      <c r="R170">
        <f>(ventas[[#This Row],[precio_unitario]]*ventas[[#This Row],[cantidad]])</f>
        <v>36000</v>
      </c>
      <c r="S170">
        <f>ventas[[#This Row],[Total_Productos]]*ventas[[#This Row],[descuento_pct]]</f>
        <v>0</v>
      </c>
      <c r="T170">
        <f>ventas[[#This Row],[Total_Productos]]-ventas[[#This Row],[Valor_descuento]]</f>
        <v>36000</v>
      </c>
    </row>
    <row r="171" spans="1:20" x14ac:dyDescent="0.3">
      <c r="A171">
        <v>306</v>
      </c>
      <c r="B171" s="1">
        <v>45233</v>
      </c>
      <c r="C171">
        <v>30</v>
      </c>
      <c r="D171">
        <v>0</v>
      </c>
      <c r="E171">
        <v>237</v>
      </c>
      <c r="F171" t="s">
        <v>267</v>
      </c>
      <c r="G171" t="s">
        <v>268</v>
      </c>
      <c r="H171" t="s">
        <v>19</v>
      </c>
      <c r="I171">
        <v>18</v>
      </c>
      <c r="J171" t="s">
        <v>37</v>
      </c>
      <c r="K171" t="str">
        <f>_xlfn.XLOOKUP( ventas[[#This Row],[ciudad_cliente]],  ciudades[Ciudad], ciudades[Region])</f>
        <v>Valparaíso</v>
      </c>
      <c r="L171" t="s">
        <v>22</v>
      </c>
      <c r="M171" t="s">
        <v>62</v>
      </c>
      <c r="N171" t="str">
        <f>_xlfn.XLOOKUP(ventas[[#This Row],[producto]], categ[Producto], categ[Categoria])</f>
        <v>Electrohogar</v>
      </c>
      <c r="O171">
        <v>650000</v>
      </c>
      <c r="P171">
        <v>2</v>
      </c>
      <c r="Q171" s="11">
        <v>0</v>
      </c>
      <c r="R171">
        <f>(ventas[[#This Row],[precio_unitario]]*ventas[[#This Row],[cantidad]])</f>
        <v>1300000</v>
      </c>
      <c r="S171">
        <f>ventas[[#This Row],[Total_Productos]]*ventas[[#This Row],[descuento_pct]]</f>
        <v>0</v>
      </c>
      <c r="T171">
        <f>ventas[[#This Row],[Total_Productos]]-ventas[[#This Row],[Valor_descuento]]</f>
        <v>1300000</v>
      </c>
    </row>
    <row r="172" spans="1:20" x14ac:dyDescent="0.3">
      <c r="A172">
        <v>296</v>
      </c>
      <c r="B172" s="1">
        <v>45223</v>
      </c>
      <c r="C172">
        <v>4</v>
      </c>
      <c r="D172">
        <v>3</v>
      </c>
      <c r="E172">
        <v>214</v>
      </c>
      <c r="F172" t="s">
        <v>434</v>
      </c>
      <c r="G172" t="s">
        <v>435</v>
      </c>
      <c r="H172" t="s">
        <v>19</v>
      </c>
      <c r="I172">
        <v>45</v>
      </c>
      <c r="J172" t="s">
        <v>52</v>
      </c>
      <c r="K172" t="str">
        <f>_xlfn.XLOOKUP( ventas[[#This Row],[ciudad_cliente]],  ciudades[Ciudad], ciudades[Region])</f>
        <v>Biobío</v>
      </c>
      <c r="L172" t="s">
        <v>38</v>
      </c>
      <c r="M172" t="s">
        <v>23</v>
      </c>
      <c r="N172" t="str">
        <f>_xlfn.XLOOKUP(ventas[[#This Row],[producto]], categ[Producto], categ[Categoria])</f>
        <v>Belleza</v>
      </c>
      <c r="O172">
        <v>15000</v>
      </c>
      <c r="P172">
        <v>1</v>
      </c>
      <c r="Q172" s="11">
        <v>0.05</v>
      </c>
      <c r="R172">
        <f>(ventas[[#This Row],[precio_unitario]]*ventas[[#This Row],[cantidad]])</f>
        <v>15000</v>
      </c>
      <c r="S172">
        <f>ventas[[#This Row],[Total_Productos]]*ventas[[#This Row],[descuento_pct]]</f>
        <v>750</v>
      </c>
      <c r="T172">
        <f>ventas[[#This Row],[Total_Productos]]-ventas[[#This Row],[Valor_descuento]]</f>
        <v>14250</v>
      </c>
    </row>
    <row r="173" spans="1:20" x14ac:dyDescent="0.3">
      <c r="A173">
        <v>639</v>
      </c>
      <c r="B173" s="1">
        <v>45566</v>
      </c>
      <c r="C173">
        <v>31</v>
      </c>
      <c r="D173">
        <v>4</v>
      </c>
      <c r="E173">
        <v>214</v>
      </c>
      <c r="F173" t="s">
        <v>434</v>
      </c>
      <c r="G173" t="s">
        <v>435</v>
      </c>
      <c r="H173" t="s">
        <v>19</v>
      </c>
      <c r="I173">
        <v>45</v>
      </c>
      <c r="J173" t="s">
        <v>101</v>
      </c>
      <c r="K173" t="str">
        <f>_xlfn.XLOOKUP( ventas[[#This Row],[ciudad_cliente]],  ciudades[Ciudad], ciudades[Region])</f>
        <v>O'Higgins</v>
      </c>
      <c r="L173" t="s">
        <v>38</v>
      </c>
      <c r="M173" t="s">
        <v>39</v>
      </c>
      <c r="N173" t="str">
        <f>_xlfn.XLOOKUP(ventas[[#This Row],[producto]], categ[Producto], categ[Categoria])</f>
        <v>Belleza</v>
      </c>
      <c r="O173">
        <v>35000</v>
      </c>
      <c r="P173">
        <v>1</v>
      </c>
      <c r="Q173" s="11">
        <v>0</v>
      </c>
      <c r="R173">
        <f>(ventas[[#This Row],[precio_unitario]]*ventas[[#This Row],[cantidad]])</f>
        <v>35000</v>
      </c>
      <c r="S173">
        <f>ventas[[#This Row],[Total_Productos]]*ventas[[#This Row],[descuento_pct]]</f>
        <v>0</v>
      </c>
      <c r="T173">
        <f>ventas[[#This Row],[Total_Productos]]-ventas[[#This Row],[Valor_descuento]]</f>
        <v>35000</v>
      </c>
    </row>
    <row r="174" spans="1:20" x14ac:dyDescent="0.3">
      <c r="A174">
        <v>642</v>
      </c>
      <c r="B174" s="1">
        <v>45569</v>
      </c>
      <c r="C174">
        <v>59</v>
      </c>
      <c r="D174">
        <v>1</v>
      </c>
      <c r="E174">
        <v>214</v>
      </c>
      <c r="F174" t="s">
        <v>434</v>
      </c>
      <c r="G174" t="s">
        <v>435</v>
      </c>
      <c r="H174" t="s">
        <v>19</v>
      </c>
      <c r="I174">
        <v>45</v>
      </c>
      <c r="J174" t="s">
        <v>43</v>
      </c>
      <c r="K174" t="str">
        <f>_xlfn.XLOOKUP( ventas[[#This Row],[ciudad_cliente]],  ciudades[Ciudad], ciudades[Region])</f>
        <v>Antofagasta</v>
      </c>
      <c r="L174" t="s">
        <v>22</v>
      </c>
      <c r="M174" t="s">
        <v>39</v>
      </c>
      <c r="N174" t="str">
        <f>_xlfn.XLOOKUP(ventas[[#This Row],[producto]], categ[Producto], categ[Categoria])</f>
        <v>Belleza</v>
      </c>
      <c r="O174">
        <v>35000</v>
      </c>
      <c r="P174">
        <v>1</v>
      </c>
      <c r="Q174" s="11">
        <v>0.1</v>
      </c>
      <c r="R174">
        <f>(ventas[[#This Row],[precio_unitario]]*ventas[[#This Row],[cantidad]])</f>
        <v>35000</v>
      </c>
      <c r="S174">
        <f>ventas[[#This Row],[Total_Productos]]*ventas[[#This Row],[descuento_pct]]</f>
        <v>3500</v>
      </c>
      <c r="T174">
        <f>ventas[[#This Row],[Total_Productos]]-ventas[[#This Row],[Valor_descuento]]</f>
        <v>31500</v>
      </c>
    </row>
    <row r="175" spans="1:20" x14ac:dyDescent="0.3">
      <c r="A175">
        <v>68</v>
      </c>
      <c r="B175" s="1">
        <v>44995</v>
      </c>
      <c r="C175">
        <v>42</v>
      </c>
      <c r="D175">
        <v>4</v>
      </c>
      <c r="E175">
        <v>260</v>
      </c>
      <c r="F175" t="s">
        <v>175</v>
      </c>
      <c r="G175" t="s">
        <v>176</v>
      </c>
      <c r="H175" t="s">
        <v>42</v>
      </c>
      <c r="I175">
        <v>47</v>
      </c>
      <c r="J175" t="s">
        <v>27</v>
      </c>
      <c r="K175" t="str">
        <f>_xlfn.XLOOKUP( ventas[[#This Row],[ciudad_cliente]],  ciudades[Ciudad], ciudades[Region])</f>
        <v>Biobío</v>
      </c>
      <c r="L175" t="s">
        <v>38</v>
      </c>
      <c r="M175" t="s">
        <v>56</v>
      </c>
      <c r="N175" t="str">
        <f>_xlfn.XLOOKUP(ventas[[#This Row],[producto]], categ[Producto], categ[Categoria])</f>
        <v>Vestuario</v>
      </c>
      <c r="O175">
        <v>25000</v>
      </c>
      <c r="P175">
        <v>3</v>
      </c>
      <c r="Q175" s="11">
        <v>0</v>
      </c>
      <c r="R175">
        <f>(ventas[[#This Row],[precio_unitario]]*ventas[[#This Row],[cantidad]])</f>
        <v>75000</v>
      </c>
      <c r="S175">
        <f>ventas[[#This Row],[Total_Productos]]*ventas[[#This Row],[descuento_pct]]</f>
        <v>0</v>
      </c>
      <c r="T175">
        <f>ventas[[#This Row],[Total_Productos]]-ventas[[#This Row],[Valor_descuento]]</f>
        <v>75000</v>
      </c>
    </row>
    <row r="176" spans="1:20" x14ac:dyDescent="0.3">
      <c r="A176">
        <v>669</v>
      </c>
      <c r="B176" s="1">
        <v>45596</v>
      </c>
      <c r="C176">
        <v>65</v>
      </c>
      <c r="D176">
        <v>0</v>
      </c>
      <c r="E176">
        <v>260</v>
      </c>
      <c r="F176" t="s">
        <v>175</v>
      </c>
      <c r="G176" t="s">
        <v>176</v>
      </c>
      <c r="H176" t="s">
        <v>42</v>
      </c>
      <c r="I176">
        <v>47</v>
      </c>
      <c r="J176" t="s">
        <v>101</v>
      </c>
      <c r="K176" t="str">
        <f>_xlfn.XLOOKUP( ventas[[#This Row],[ciudad_cliente]],  ciudades[Ciudad], ciudades[Region])</f>
        <v>O'Higgins</v>
      </c>
      <c r="L176" t="s">
        <v>38</v>
      </c>
      <c r="M176" t="s">
        <v>23</v>
      </c>
      <c r="N176" t="str">
        <f>_xlfn.XLOOKUP(ventas[[#This Row],[producto]], categ[Producto], categ[Categoria])</f>
        <v>Belleza</v>
      </c>
      <c r="O176">
        <v>15000</v>
      </c>
      <c r="P176">
        <v>3</v>
      </c>
      <c r="Q176" s="11">
        <v>0.05</v>
      </c>
      <c r="R176">
        <f>(ventas[[#This Row],[precio_unitario]]*ventas[[#This Row],[cantidad]])</f>
        <v>45000</v>
      </c>
      <c r="S176">
        <f>ventas[[#This Row],[Total_Productos]]*ventas[[#This Row],[descuento_pct]]</f>
        <v>2250</v>
      </c>
      <c r="T176">
        <f>ventas[[#This Row],[Total_Productos]]-ventas[[#This Row],[Valor_descuento]]</f>
        <v>42750</v>
      </c>
    </row>
    <row r="177" spans="1:20" x14ac:dyDescent="0.3">
      <c r="A177">
        <v>694</v>
      </c>
      <c r="B177" s="1">
        <v>45621</v>
      </c>
      <c r="C177">
        <v>24</v>
      </c>
      <c r="D177">
        <v>3</v>
      </c>
      <c r="E177">
        <v>260</v>
      </c>
      <c r="F177" t="s">
        <v>175</v>
      </c>
      <c r="G177" t="s">
        <v>176</v>
      </c>
      <c r="H177" t="s">
        <v>42</v>
      </c>
      <c r="I177">
        <v>47</v>
      </c>
      <c r="J177" t="s">
        <v>84</v>
      </c>
      <c r="K177" t="str">
        <f>_xlfn.XLOOKUP( ventas[[#This Row],[ciudad_cliente]],  ciudades[Ciudad], ciudades[Region])</f>
        <v>Coquimbo</v>
      </c>
      <c r="L177" t="s">
        <v>38</v>
      </c>
      <c r="M177" t="s">
        <v>56</v>
      </c>
      <c r="N177" t="str">
        <f>_xlfn.XLOOKUP(ventas[[#This Row],[producto]], categ[Producto], categ[Categoria])</f>
        <v>Vestuario</v>
      </c>
      <c r="O177">
        <v>25000</v>
      </c>
      <c r="P177">
        <v>3</v>
      </c>
      <c r="Q177" s="11">
        <v>0</v>
      </c>
      <c r="R177">
        <f>(ventas[[#This Row],[precio_unitario]]*ventas[[#This Row],[cantidad]])</f>
        <v>75000</v>
      </c>
      <c r="S177">
        <f>ventas[[#This Row],[Total_Productos]]*ventas[[#This Row],[descuento_pct]]</f>
        <v>0</v>
      </c>
      <c r="T177">
        <f>ventas[[#This Row],[Total_Productos]]-ventas[[#This Row],[Valor_descuento]]</f>
        <v>75000</v>
      </c>
    </row>
    <row r="178" spans="1:20" x14ac:dyDescent="0.3">
      <c r="A178">
        <v>474</v>
      </c>
      <c r="B178" s="1">
        <v>45401</v>
      </c>
      <c r="C178">
        <v>50</v>
      </c>
      <c r="D178">
        <v>0</v>
      </c>
      <c r="E178">
        <v>15</v>
      </c>
      <c r="F178" t="s">
        <v>530</v>
      </c>
      <c r="G178" t="s">
        <v>531</v>
      </c>
      <c r="H178" t="s">
        <v>19</v>
      </c>
      <c r="I178">
        <v>18</v>
      </c>
      <c r="J178" t="s">
        <v>20</v>
      </c>
      <c r="K178" t="str">
        <f>_xlfn.XLOOKUP( ventas[[#This Row],[ciudad_cliente]],  ciudades[Ciudad], ciudades[Region])</f>
        <v>La Araucanía</v>
      </c>
      <c r="L178" t="s">
        <v>29</v>
      </c>
      <c r="M178" t="s">
        <v>30</v>
      </c>
      <c r="N178" t="str">
        <f>_xlfn.XLOOKUP(ventas[[#This Row],[producto]], categ[Producto], categ[Categoria])</f>
        <v>Electrohogar</v>
      </c>
      <c r="O178">
        <v>700000</v>
      </c>
      <c r="P178">
        <v>1</v>
      </c>
      <c r="Q178" s="11">
        <v>0.05</v>
      </c>
      <c r="R178">
        <f>(ventas[[#This Row],[precio_unitario]]*ventas[[#This Row],[cantidad]])</f>
        <v>700000</v>
      </c>
      <c r="S178">
        <f>ventas[[#This Row],[Total_Productos]]*ventas[[#This Row],[descuento_pct]]</f>
        <v>35000</v>
      </c>
      <c r="T178">
        <f>ventas[[#This Row],[Total_Productos]]-ventas[[#This Row],[Valor_descuento]]</f>
        <v>665000</v>
      </c>
    </row>
    <row r="179" spans="1:20" x14ac:dyDescent="0.3">
      <c r="A179">
        <v>670</v>
      </c>
      <c r="B179" s="1">
        <v>45597</v>
      </c>
      <c r="C179">
        <v>23</v>
      </c>
      <c r="D179">
        <v>0</v>
      </c>
      <c r="E179">
        <v>15</v>
      </c>
      <c r="F179" t="s">
        <v>530</v>
      </c>
      <c r="G179" t="s">
        <v>531</v>
      </c>
      <c r="H179" t="s">
        <v>19</v>
      </c>
      <c r="I179">
        <v>18</v>
      </c>
      <c r="J179" t="s">
        <v>52</v>
      </c>
      <c r="K179" t="str">
        <f>_xlfn.XLOOKUP( ventas[[#This Row],[ciudad_cliente]],  ciudades[Ciudad], ciudades[Region])</f>
        <v>Biobío</v>
      </c>
      <c r="L179" t="s">
        <v>38</v>
      </c>
      <c r="M179" t="s">
        <v>102</v>
      </c>
      <c r="N179" t="str">
        <f>_xlfn.XLOOKUP(ventas[[#This Row],[producto]], categ[Producto], categ[Categoria])</f>
        <v>Vestuario</v>
      </c>
      <c r="O179">
        <v>12000</v>
      </c>
      <c r="P179">
        <v>3</v>
      </c>
      <c r="Q179" s="11">
        <v>0.05</v>
      </c>
      <c r="R179">
        <f>(ventas[[#This Row],[precio_unitario]]*ventas[[#This Row],[cantidad]])</f>
        <v>36000</v>
      </c>
      <c r="S179">
        <f>ventas[[#This Row],[Total_Productos]]*ventas[[#This Row],[descuento_pct]]</f>
        <v>1800</v>
      </c>
      <c r="T179">
        <f>ventas[[#This Row],[Total_Productos]]-ventas[[#This Row],[Valor_descuento]]</f>
        <v>34200</v>
      </c>
    </row>
    <row r="180" spans="1:20" x14ac:dyDescent="0.3">
      <c r="A180">
        <v>925</v>
      </c>
      <c r="B180" s="1">
        <v>45852</v>
      </c>
      <c r="C180">
        <v>40</v>
      </c>
      <c r="D180">
        <v>1</v>
      </c>
      <c r="E180">
        <v>15</v>
      </c>
      <c r="F180" t="s">
        <v>530</v>
      </c>
      <c r="G180" t="s">
        <v>531</v>
      </c>
      <c r="H180" t="s">
        <v>19</v>
      </c>
      <c r="I180">
        <v>18</v>
      </c>
      <c r="J180" t="s">
        <v>27</v>
      </c>
      <c r="K180" t="str">
        <f>_xlfn.XLOOKUP( ventas[[#This Row],[ciudad_cliente]],  ciudades[Ciudad], ciudades[Region])</f>
        <v>Biobío</v>
      </c>
      <c r="L180" t="s">
        <v>29</v>
      </c>
      <c r="M180" t="s">
        <v>56</v>
      </c>
      <c r="N180" t="str">
        <f>_xlfn.XLOOKUP(ventas[[#This Row],[producto]], categ[Producto], categ[Categoria])</f>
        <v>Vestuario</v>
      </c>
      <c r="O180">
        <v>25000</v>
      </c>
      <c r="P180">
        <v>2</v>
      </c>
      <c r="Q180" s="11">
        <v>0</v>
      </c>
      <c r="R180">
        <f>(ventas[[#This Row],[precio_unitario]]*ventas[[#This Row],[cantidad]])</f>
        <v>50000</v>
      </c>
      <c r="S180">
        <f>ventas[[#This Row],[Total_Productos]]*ventas[[#This Row],[descuento_pct]]</f>
        <v>0</v>
      </c>
      <c r="T180">
        <f>ventas[[#This Row],[Total_Productos]]-ventas[[#This Row],[Valor_descuento]]</f>
        <v>50000</v>
      </c>
    </row>
    <row r="181" spans="1:20" x14ac:dyDescent="0.3">
      <c r="A181">
        <v>79</v>
      </c>
      <c r="B181" s="1">
        <v>45006</v>
      </c>
      <c r="C181">
        <v>16</v>
      </c>
      <c r="D181">
        <v>3</v>
      </c>
      <c r="E181">
        <v>226</v>
      </c>
      <c r="F181" t="s">
        <v>193</v>
      </c>
      <c r="G181" t="s">
        <v>194</v>
      </c>
      <c r="H181" t="s">
        <v>19</v>
      </c>
      <c r="I181">
        <v>51</v>
      </c>
      <c r="J181" t="s">
        <v>20</v>
      </c>
      <c r="K181" t="str">
        <f>_xlfn.XLOOKUP( ventas[[#This Row],[ciudad_cliente]],  ciudades[Ciudad], ciudades[Region])</f>
        <v>La Araucanía</v>
      </c>
      <c r="L181" t="s">
        <v>22</v>
      </c>
      <c r="M181" t="s">
        <v>39</v>
      </c>
      <c r="N181" t="str">
        <f>_xlfn.XLOOKUP(ventas[[#This Row],[producto]], categ[Producto], categ[Categoria])</f>
        <v>Belleza</v>
      </c>
      <c r="O181">
        <v>35000</v>
      </c>
      <c r="P181">
        <v>1</v>
      </c>
      <c r="Q181" s="11">
        <v>0</v>
      </c>
      <c r="R181">
        <f>(ventas[[#This Row],[precio_unitario]]*ventas[[#This Row],[cantidad]])</f>
        <v>35000</v>
      </c>
      <c r="S181">
        <f>ventas[[#This Row],[Total_Productos]]*ventas[[#This Row],[descuento_pct]]</f>
        <v>0</v>
      </c>
      <c r="T181">
        <f>ventas[[#This Row],[Total_Productos]]-ventas[[#This Row],[Valor_descuento]]</f>
        <v>35000</v>
      </c>
    </row>
    <row r="182" spans="1:20" x14ac:dyDescent="0.3">
      <c r="A182">
        <v>631</v>
      </c>
      <c r="B182" s="1">
        <v>45558</v>
      </c>
      <c r="C182">
        <v>4</v>
      </c>
      <c r="D182">
        <v>3</v>
      </c>
      <c r="E182">
        <v>226</v>
      </c>
      <c r="F182" t="s">
        <v>193</v>
      </c>
      <c r="G182" t="s">
        <v>194</v>
      </c>
      <c r="H182" t="s">
        <v>19</v>
      </c>
      <c r="I182">
        <v>51</v>
      </c>
      <c r="J182" t="s">
        <v>52</v>
      </c>
      <c r="K182" t="str">
        <f>_xlfn.XLOOKUP( ventas[[#This Row],[ciudad_cliente]],  ciudades[Ciudad], ciudades[Region])</f>
        <v>Biobío</v>
      </c>
      <c r="L182" t="s">
        <v>38</v>
      </c>
      <c r="M182" t="s">
        <v>69</v>
      </c>
      <c r="N182" t="str">
        <f>_xlfn.XLOOKUP(ventas[[#This Row],[producto]], categ[Producto], categ[Categoria])</f>
        <v>Tecnología</v>
      </c>
      <c r="O182">
        <v>450000</v>
      </c>
      <c r="P182">
        <v>1</v>
      </c>
      <c r="Q182" s="11">
        <v>0.05</v>
      </c>
      <c r="R182">
        <f>(ventas[[#This Row],[precio_unitario]]*ventas[[#This Row],[cantidad]])</f>
        <v>450000</v>
      </c>
      <c r="S182">
        <f>ventas[[#This Row],[Total_Productos]]*ventas[[#This Row],[descuento_pct]]</f>
        <v>22500</v>
      </c>
      <c r="T182">
        <f>ventas[[#This Row],[Total_Productos]]-ventas[[#This Row],[Valor_descuento]]</f>
        <v>427500</v>
      </c>
    </row>
    <row r="183" spans="1:20" x14ac:dyDescent="0.3">
      <c r="A183">
        <v>179</v>
      </c>
      <c r="B183" s="1">
        <v>45106</v>
      </c>
      <c r="C183">
        <v>19</v>
      </c>
      <c r="D183">
        <v>5</v>
      </c>
      <c r="E183">
        <v>32</v>
      </c>
      <c r="F183" t="s">
        <v>334</v>
      </c>
      <c r="G183" t="s">
        <v>335</v>
      </c>
      <c r="H183" t="s">
        <v>42</v>
      </c>
      <c r="I183">
        <v>60</v>
      </c>
      <c r="J183" t="s">
        <v>20</v>
      </c>
      <c r="K183" t="str">
        <f>_xlfn.XLOOKUP( ventas[[#This Row],[ciudad_cliente]],  ciudades[Ciudad], ciudades[Region])</f>
        <v>La Araucanía</v>
      </c>
      <c r="L183" t="s">
        <v>38</v>
      </c>
      <c r="M183" t="s">
        <v>49</v>
      </c>
      <c r="N183" t="str">
        <f>_xlfn.XLOOKUP(ventas[[#This Row],[producto]], categ[Producto], categ[Categoria])</f>
        <v>Electrohogar</v>
      </c>
      <c r="O183">
        <v>800000</v>
      </c>
      <c r="P183">
        <v>3</v>
      </c>
      <c r="Q183" s="11">
        <v>0.1</v>
      </c>
      <c r="R183">
        <f>(ventas[[#This Row],[precio_unitario]]*ventas[[#This Row],[cantidad]])</f>
        <v>2400000</v>
      </c>
      <c r="S183">
        <f>ventas[[#This Row],[Total_Productos]]*ventas[[#This Row],[descuento_pct]]</f>
        <v>240000</v>
      </c>
      <c r="T183">
        <f>ventas[[#This Row],[Total_Productos]]-ventas[[#This Row],[Valor_descuento]]</f>
        <v>2160000</v>
      </c>
    </row>
    <row r="184" spans="1:20" x14ac:dyDescent="0.3">
      <c r="A184">
        <v>831</v>
      </c>
      <c r="B184" s="1">
        <v>45758</v>
      </c>
      <c r="C184">
        <v>20</v>
      </c>
      <c r="D184">
        <v>0</v>
      </c>
      <c r="E184">
        <v>32</v>
      </c>
      <c r="F184" t="s">
        <v>334</v>
      </c>
      <c r="G184" t="s">
        <v>335</v>
      </c>
      <c r="H184" t="s">
        <v>42</v>
      </c>
      <c r="I184">
        <v>60</v>
      </c>
      <c r="J184" t="s">
        <v>20</v>
      </c>
      <c r="K184" t="str">
        <f>_xlfn.XLOOKUP( ventas[[#This Row],[ciudad_cliente]],  ciudades[Ciudad], ciudades[Region])</f>
        <v>La Araucanía</v>
      </c>
      <c r="L184" t="s">
        <v>22</v>
      </c>
      <c r="M184" t="s">
        <v>39</v>
      </c>
      <c r="N184" t="str">
        <f>_xlfn.XLOOKUP(ventas[[#This Row],[producto]], categ[Producto], categ[Categoria])</f>
        <v>Belleza</v>
      </c>
      <c r="O184">
        <v>35000</v>
      </c>
      <c r="P184">
        <v>2</v>
      </c>
      <c r="Q184" s="11">
        <v>0.05</v>
      </c>
      <c r="R184">
        <f>(ventas[[#This Row],[precio_unitario]]*ventas[[#This Row],[cantidad]])</f>
        <v>70000</v>
      </c>
      <c r="S184">
        <f>ventas[[#This Row],[Total_Productos]]*ventas[[#This Row],[descuento_pct]]</f>
        <v>3500</v>
      </c>
      <c r="T184">
        <f>ventas[[#This Row],[Total_Productos]]-ventas[[#This Row],[Valor_descuento]]</f>
        <v>66500</v>
      </c>
    </row>
    <row r="185" spans="1:20" x14ac:dyDescent="0.3">
      <c r="A185">
        <v>64</v>
      </c>
      <c r="B185" s="1">
        <v>44991</v>
      </c>
      <c r="C185">
        <v>30</v>
      </c>
      <c r="D185">
        <v>0</v>
      </c>
      <c r="E185">
        <v>263</v>
      </c>
      <c r="F185" t="s">
        <v>167</v>
      </c>
      <c r="G185" t="s">
        <v>168</v>
      </c>
      <c r="H185" t="s">
        <v>42</v>
      </c>
      <c r="I185">
        <v>18</v>
      </c>
      <c r="J185" t="s">
        <v>37</v>
      </c>
      <c r="K185" t="str">
        <f>_xlfn.XLOOKUP( ventas[[#This Row],[ciudad_cliente]],  ciudades[Ciudad], ciudades[Region])</f>
        <v>Valparaíso</v>
      </c>
      <c r="L185" t="s">
        <v>38</v>
      </c>
      <c r="M185" t="s">
        <v>30</v>
      </c>
      <c r="N185" t="str">
        <f>_xlfn.XLOOKUP(ventas[[#This Row],[producto]], categ[Producto], categ[Categoria])</f>
        <v>Electrohogar</v>
      </c>
      <c r="O185">
        <v>700000</v>
      </c>
      <c r="P185">
        <v>2</v>
      </c>
      <c r="Q185" s="11">
        <v>0</v>
      </c>
      <c r="R185">
        <f>(ventas[[#This Row],[precio_unitario]]*ventas[[#This Row],[cantidad]])</f>
        <v>1400000</v>
      </c>
      <c r="S185">
        <f>ventas[[#This Row],[Total_Productos]]*ventas[[#This Row],[descuento_pct]]</f>
        <v>0</v>
      </c>
      <c r="T185">
        <f>ventas[[#This Row],[Total_Productos]]-ventas[[#This Row],[Valor_descuento]]</f>
        <v>1400000</v>
      </c>
    </row>
    <row r="186" spans="1:20" x14ac:dyDescent="0.3">
      <c r="A186">
        <v>405</v>
      </c>
      <c r="B186" s="1">
        <v>45332</v>
      </c>
      <c r="C186">
        <v>64</v>
      </c>
      <c r="D186">
        <v>4</v>
      </c>
      <c r="E186">
        <v>263</v>
      </c>
      <c r="F186" t="s">
        <v>167</v>
      </c>
      <c r="G186" t="s">
        <v>168</v>
      </c>
      <c r="H186" t="s">
        <v>42</v>
      </c>
      <c r="I186">
        <v>18</v>
      </c>
      <c r="J186" t="s">
        <v>20</v>
      </c>
      <c r="K186" t="str">
        <f>_xlfn.XLOOKUP( ventas[[#This Row],[ciudad_cliente]],  ciudades[Ciudad], ciudades[Region])</f>
        <v>La Araucanía</v>
      </c>
      <c r="L186" t="s">
        <v>38</v>
      </c>
      <c r="M186" t="s">
        <v>39</v>
      </c>
      <c r="N186" t="str">
        <f>_xlfn.XLOOKUP(ventas[[#This Row],[producto]], categ[Producto], categ[Categoria])</f>
        <v>Belleza</v>
      </c>
      <c r="O186">
        <v>35000</v>
      </c>
      <c r="P186">
        <v>2</v>
      </c>
      <c r="Q186" s="11">
        <v>0.1</v>
      </c>
      <c r="R186">
        <f>(ventas[[#This Row],[precio_unitario]]*ventas[[#This Row],[cantidad]])</f>
        <v>70000</v>
      </c>
      <c r="S186">
        <f>ventas[[#This Row],[Total_Productos]]*ventas[[#This Row],[descuento_pct]]</f>
        <v>7000</v>
      </c>
      <c r="T186">
        <f>ventas[[#This Row],[Total_Productos]]-ventas[[#This Row],[Valor_descuento]]</f>
        <v>63000</v>
      </c>
    </row>
    <row r="187" spans="1:20" x14ac:dyDescent="0.3">
      <c r="A187">
        <v>534</v>
      </c>
      <c r="B187" s="1">
        <v>45461</v>
      </c>
      <c r="C187">
        <v>48</v>
      </c>
      <c r="D187">
        <v>6</v>
      </c>
      <c r="E187">
        <v>263</v>
      </c>
      <c r="F187" t="s">
        <v>167</v>
      </c>
      <c r="G187" t="s">
        <v>168</v>
      </c>
      <c r="H187" t="s">
        <v>42</v>
      </c>
      <c r="I187">
        <v>18</v>
      </c>
      <c r="J187" t="s">
        <v>37</v>
      </c>
      <c r="K187" t="str">
        <f>_xlfn.XLOOKUP( ventas[[#This Row],[ciudad_cliente]],  ciudades[Ciudad], ciudades[Region])</f>
        <v>Valparaíso</v>
      </c>
      <c r="L187" t="s">
        <v>22</v>
      </c>
      <c r="M187" t="s">
        <v>49</v>
      </c>
      <c r="N187" t="str">
        <f>_xlfn.XLOOKUP(ventas[[#This Row],[producto]], categ[Producto], categ[Categoria])</f>
        <v>Electrohogar</v>
      </c>
      <c r="O187">
        <v>800000</v>
      </c>
      <c r="P187">
        <v>1</v>
      </c>
      <c r="Q187" s="11">
        <v>0.1</v>
      </c>
      <c r="R187">
        <f>(ventas[[#This Row],[precio_unitario]]*ventas[[#This Row],[cantidad]])</f>
        <v>800000</v>
      </c>
      <c r="S187">
        <f>ventas[[#This Row],[Total_Productos]]*ventas[[#This Row],[descuento_pct]]</f>
        <v>80000</v>
      </c>
      <c r="T187">
        <f>ventas[[#This Row],[Total_Productos]]-ventas[[#This Row],[Valor_descuento]]</f>
        <v>720000</v>
      </c>
    </row>
    <row r="188" spans="1:20" x14ac:dyDescent="0.3">
      <c r="A188">
        <v>739</v>
      </c>
      <c r="B188" s="1">
        <v>45666</v>
      </c>
      <c r="C188">
        <v>36</v>
      </c>
      <c r="D188">
        <v>4</v>
      </c>
      <c r="E188">
        <v>263</v>
      </c>
      <c r="F188" t="s">
        <v>167</v>
      </c>
      <c r="G188" t="s">
        <v>168</v>
      </c>
      <c r="H188" t="s">
        <v>42</v>
      </c>
      <c r="I188">
        <v>18</v>
      </c>
      <c r="J188" t="s">
        <v>101</v>
      </c>
      <c r="K188" t="str">
        <f>_xlfn.XLOOKUP( ventas[[#This Row],[ciudad_cliente]],  ciudades[Ciudad], ciudades[Region])</f>
        <v>O'Higgins</v>
      </c>
      <c r="L188" t="s">
        <v>38</v>
      </c>
      <c r="M188" t="s">
        <v>30</v>
      </c>
      <c r="N188" t="str">
        <f>_xlfn.XLOOKUP(ventas[[#This Row],[producto]], categ[Producto], categ[Categoria])</f>
        <v>Electrohogar</v>
      </c>
      <c r="O188">
        <v>700000</v>
      </c>
      <c r="P188">
        <v>1</v>
      </c>
      <c r="Q188" s="11">
        <v>0.1</v>
      </c>
      <c r="R188">
        <f>(ventas[[#This Row],[precio_unitario]]*ventas[[#This Row],[cantidad]])</f>
        <v>700000</v>
      </c>
      <c r="S188">
        <f>ventas[[#This Row],[Total_Productos]]*ventas[[#This Row],[descuento_pct]]</f>
        <v>70000</v>
      </c>
      <c r="T188">
        <f>ventas[[#This Row],[Total_Productos]]-ventas[[#This Row],[Valor_descuento]]</f>
        <v>630000</v>
      </c>
    </row>
    <row r="189" spans="1:20" x14ac:dyDescent="0.3">
      <c r="A189">
        <v>892</v>
      </c>
      <c r="B189" s="1">
        <v>45819</v>
      </c>
      <c r="C189">
        <v>21</v>
      </c>
      <c r="D189">
        <v>5</v>
      </c>
      <c r="E189">
        <v>275</v>
      </c>
      <c r="F189" t="s">
        <v>598</v>
      </c>
      <c r="G189" t="s">
        <v>599</v>
      </c>
      <c r="H189" t="s">
        <v>19</v>
      </c>
      <c r="I189">
        <v>26</v>
      </c>
      <c r="J189" t="s">
        <v>76</v>
      </c>
      <c r="K189" t="str">
        <f>_xlfn.XLOOKUP( ventas[[#This Row],[ciudad_cliente]],  ciudades[Ciudad], ciudades[Region])</f>
        <v>Los Lagos</v>
      </c>
      <c r="L189" t="s">
        <v>38</v>
      </c>
      <c r="M189" t="s">
        <v>39</v>
      </c>
      <c r="N189" t="str">
        <f>_xlfn.XLOOKUP(ventas[[#This Row],[producto]], categ[Producto], categ[Categoria])</f>
        <v>Belleza</v>
      </c>
      <c r="O189">
        <v>35000</v>
      </c>
      <c r="P189">
        <v>1</v>
      </c>
      <c r="Q189" s="11">
        <v>0.05</v>
      </c>
      <c r="R189">
        <f>(ventas[[#This Row],[precio_unitario]]*ventas[[#This Row],[cantidad]])</f>
        <v>35000</v>
      </c>
      <c r="S189">
        <f>ventas[[#This Row],[Total_Productos]]*ventas[[#This Row],[descuento_pct]]</f>
        <v>1750</v>
      </c>
      <c r="T189">
        <f>ventas[[#This Row],[Total_Productos]]-ventas[[#This Row],[Valor_descuento]]</f>
        <v>33250</v>
      </c>
    </row>
    <row r="190" spans="1:20" x14ac:dyDescent="0.3">
      <c r="A190">
        <v>151</v>
      </c>
      <c r="B190" s="1">
        <v>45078</v>
      </c>
      <c r="C190">
        <v>32</v>
      </c>
      <c r="D190">
        <v>5</v>
      </c>
      <c r="E190">
        <v>120</v>
      </c>
      <c r="F190" t="s">
        <v>292</v>
      </c>
      <c r="G190" t="s">
        <v>293</v>
      </c>
      <c r="H190" t="s">
        <v>42</v>
      </c>
      <c r="I190">
        <v>47</v>
      </c>
      <c r="J190" t="s">
        <v>76</v>
      </c>
      <c r="K190" t="str">
        <f>_xlfn.XLOOKUP( ventas[[#This Row],[ciudad_cliente]],  ciudades[Ciudad], ciudades[Region])</f>
        <v>Los Lagos</v>
      </c>
      <c r="L190" t="s">
        <v>22</v>
      </c>
      <c r="M190" t="s">
        <v>46</v>
      </c>
      <c r="N190" t="str">
        <f>_xlfn.XLOOKUP(ventas[[#This Row],[producto]], categ[Producto], categ[Categoria])</f>
        <v>Tecnología</v>
      </c>
      <c r="O190">
        <v>750000</v>
      </c>
      <c r="P190">
        <v>2</v>
      </c>
      <c r="Q190" s="11">
        <v>0</v>
      </c>
      <c r="R190">
        <f>(ventas[[#This Row],[precio_unitario]]*ventas[[#This Row],[cantidad]])</f>
        <v>1500000</v>
      </c>
      <c r="S190">
        <f>ventas[[#This Row],[Total_Productos]]*ventas[[#This Row],[descuento_pct]]</f>
        <v>0</v>
      </c>
      <c r="T190">
        <f>ventas[[#This Row],[Total_Productos]]-ventas[[#This Row],[Valor_descuento]]</f>
        <v>1500000</v>
      </c>
    </row>
    <row r="191" spans="1:20" x14ac:dyDescent="0.3">
      <c r="A191">
        <v>440</v>
      </c>
      <c r="B191" s="1">
        <v>45367</v>
      </c>
      <c r="C191">
        <v>16</v>
      </c>
      <c r="D191">
        <v>3</v>
      </c>
      <c r="E191">
        <v>175</v>
      </c>
      <c r="F191" t="s">
        <v>520</v>
      </c>
      <c r="G191" t="s">
        <v>521</v>
      </c>
      <c r="H191" t="s">
        <v>19</v>
      </c>
      <c r="I191">
        <v>41</v>
      </c>
      <c r="J191" t="s">
        <v>20</v>
      </c>
      <c r="K191" t="str">
        <f>_xlfn.XLOOKUP( ventas[[#This Row],[ciudad_cliente]],  ciudades[Ciudad], ciudades[Region])</f>
        <v>La Araucanía</v>
      </c>
      <c r="L191" t="s">
        <v>38</v>
      </c>
      <c r="M191" t="s">
        <v>23</v>
      </c>
      <c r="N191" t="str">
        <f>_xlfn.XLOOKUP(ventas[[#This Row],[producto]], categ[Producto], categ[Categoria])</f>
        <v>Belleza</v>
      </c>
      <c r="O191">
        <v>15000</v>
      </c>
      <c r="P191">
        <v>1</v>
      </c>
      <c r="Q191" s="11">
        <v>0</v>
      </c>
      <c r="R191">
        <f>(ventas[[#This Row],[precio_unitario]]*ventas[[#This Row],[cantidad]])</f>
        <v>15000</v>
      </c>
      <c r="S191">
        <f>ventas[[#This Row],[Total_Productos]]*ventas[[#This Row],[descuento_pct]]</f>
        <v>0</v>
      </c>
      <c r="T191">
        <f>ventas[[#This Row],[Total_Productos]]-ventas[[#This Row],[Valor_descuento]]</f>
        <v>15000</v>
      </c>
    </row>
    <row r="192" spans="1:20" x14ac:dyDescent="0.3">
      <c r="A192">
        <v>490</v>
      </c>
      <c r="B192" s="1">
        <v>45417</v>
      </c>
      <c r="C192">
        <v>17</v>
      </c>
      <c r="D192">
        <v>0</v>
      </c>
      <c r="E192">
        <v>175</v>
      </c>
      <c r="F192" t="s">
        <v>520</v>
      </c>
      <c r="G192" t="s">
        <v>521</v>
      </c>
      <c r="H192" t="s">
        <v>19</v>
      </c>
      <c r="I192">
        <v>41</v>
      </c>
      <c r="J192" t="s">
        <v>34</v>
      </c>
      <c r="K192" t="str">
        <f>_xlfn.XLOOKUP( ventas[[#This Row],[ciudad_cliente]],  ciudades[Ciudad], ciudades[Region])</f>
        <v>Metropolitana</v>
      </c>
      <c r="L192" t="s">
        <v>22</v>
      </c>
      <c r="M192" t="s">
        <v>39</v>
      </c>
      <c r="N192" t="str">
        <f>_xlfn.XLOOKUP(ventas[[#This Row],[producto]], categ[Producto], categ[Categoria])</f>
        <v>Belleza</v>
      </c>
      <c r="O192">
        <v>35000</v>
      </c>
      <c r="P192">
        <v>3</v>
      </c>
      <c r="Q192" s="11">
        <v>0.1</v>
      </c>
      <c r="R192">
        <f>(ventas[[#This Row],[precio_unitario]]*ventas[[#This Row],[cantidad]])</f>
        <v>105000</v>
      </c>
      <c r="S192">
        <f>ventas[[#This Row],[Total_Productos]]*ventas[[#This Row],[descuento_pct]]</f>
        <v>10500</v>
      </c>
      <c r="T192">
        <f>ventas[[#This Row],[Total_Productos]]-ventas[[#This Row],[Valor_descuento]]</f>
        <v>94500</v>
      </c>
    </row>
    <row r="193" spans="1:20" x14ac:dyDescent="0.3">
      <c r="A193">
        <v>497</v>
      </c>
      <c r="B193" s="1">
        <v>45424</v>
      </c>
      <c r="C193">
        <v>44</v>
      </c>
      <c r="D193">
        <v>7</v>
      </c>
      <c r="E193">
        <v>175</v>
      </c>
      <c r="F193" t="s">
        <v>520</v>
      </c>
      <c r="G193" t="s">
        <v>521</v>
      </c>
      <c r="H193" t="s">
        <v>19</v>
      </c>
      <c r="I193">
        <v>41</v>
      </c>
      <c r="J193" t="s">
        <v>43</v>
      </c>
      <c r="K193" t="str">
        <f>_xlfn.XLOOKUP( ventas[[#This Row],[ciudad_cliente]],  ciudades[Ciudad], ciudades[Region])</f>
        <v>Antofagasta</v>
      </c>
      <c r="L193" t="s">
        <v>38</v>
      </c>
      <c r="M193" t="s">
        <v>46</v>
      </c>
      <c r="N193" t="str">
        <f>_xlfn.XLOOKUP(ventas[[#This Row],[producto]], categ[Producto], categ[Categoria])</f>
        <v>Tecnología</v>
      </c>
      <c r="O193">
        <v>750000</v>
      </c>
      <c r="P193">
        <v>3</v>
      </c>
      <c r="Q193" s="11">
        <v>0</v>
      </c>
      <c r="R193">
        <f>(ventas[[#This Row],[precio_unitario]]*ventas[[#This Row],[cantidad]])</f>
        <v>2250000</v>
      </c>
      <c r="S193">
        <f>ventas[[#This Row],[Total_Productos]]*ventas[[#This Row],[descuento_pct]]</f>
        <v>0</v>
      </c>
      <c r="T193">
        <f>ventas[[#This Row],[Total_Productos]]-ventas[[#This Row],[Valor_descuento]]</f>
        <v>2250000</v>
      </c>
    </row>
    <row r="194" spans="1:20" x14ac:dyDescent="0.3">
      <c r="A194">
        <v>497</v>
      </c>
      <c r="B194" s="1">
        <v>45424</v>
      </c>
      <c r="C194">
        <v>44</v>
      </c>
      <c r="D194">
        <v>7</v>
      </c>
      <c r="E194">
        <v>175</v>
      </c>
      <c r="F194" t="s">
        <v>520</v>
      </c>
      <c r="G194" t="s">
        <v>521</v>
      </c>
      <c r="H194" t="s">
        <v>19</v>
      </c>
      <c r="I194">
        <v>41</v>
      </c>
      <c r="J194" t="s">
        <v>43</v>
      </c>
      <c r="K194" t="str">
        <f>_xlfn.XLOOKUP( ventas[[#This Row],[ciudad_cliente]],  ciudades[Ciudad], ciudades[Region])</f>
        <v>Antofagasta</v>
      </c>
      <c r="L194" t="s">
        <v>38</v>
      </c>
      <c r="M194" t="s">
        <v>46</v>
      </c>
      <c r="N194" t="str">
        <f>_xlfn.XLOOKUP(ventas[[#This Row],[producto]], categ[Producto], categ[Categoria])</f>
        <v>Tecnología</v>
      </c>
      <c r="O194">
        <v>750000</v>
      </c>
      <c r="P194">
        <v>3</v>
      </c>
      <c r="Q194" s="11">
        <v>0</v>
      </c>
      <c r="R194">
        <f>(ventas[[#This Row],[precio_unitario]]*ventas[[#This Row],[cantidad]])</f>
        <v>2250000</v>
      </c>
      <c r="S194">
        <f>ventas[[#This Row],[Total_Productos]]*ventas[[#This Row],[descuento_pct]]</f>
        <v>0</v>
      </c>
      <c r="T194">
        <f>ventas[[#This Row],[Total_Productos]]-ventas[[#This Row],[Valor_descuento]]</f>
        <v>2250000</v>
      </c>
    </row>
    <row r="195" spans="1:20" x14ac:dyDescent="0.3">
      <c r="A195">
        <v>535</v>
      </c>
      <c r="B195" s="1">
        <v>45462</v>
      </c>
      <c r="C195">
        <v>10</v>
      </c>
      <c r="D195">
        <v>7</v>
      </c>
      <c r="E195">
        <v>175</v>
      </c>
      <c r="F195" t="s">
        <v>520</v>
      </c>
      <c r="G195" t="s">
        <v>521</v>
      </c>
      <c r="H195" t="s">
        <v>19</v>
      </c>
      <c r="I195">
        <v>41</v>
      </c>
      <c r="J195" t="s">
        <v>37</v>
      </c>
      <c r="K195" t="str">
        <f>_xlfn.XLOOKUP( ventas[[#This Row],[ciudad_cliente]],  ciudades[Ciudad], ciudades[Region])</f>
        <v>Valparaíso</v>
      </c>
      <c r="L195" t="s">
        <v>38</v>
      </c>
      <c r="M195" t="s">
        <v>49</v>
      </c>
      <c r="N195" t="str">
        <f>_xlfn.XLOOKUP(ventas[[#This Row],[producto]], categ[Producto], categ[Categoria])</f>
        <v>Electrohogar</v>
      </c>
      <c r="O195">
        <v>800000</v>
      </c>
      <c r="P195">
        <v>3</v>
      </c>
      <c r="Q195" s="11">
        <v>0.05</v>
      </c>
      <c r="R195">
        <f>(ventas[[#This Row],[precio_unitario]]*ventas[[#This Row],[cantidad]])</f>
        <v>2400000</v>
      </c>
      <c r="S195">
        <f>ventas[[#This Row],[Total_Productos]]*ventas[[#This Row],[descuento_pct]]</f>
        <v>120000</v>
      </c>
      <c r="T195">
        <f>ventas[[#This Row],[Total_Productos]]-ventas[[#This Row],[Valor_descuento]]</f>
        <v>2280000</v>
      </c>
    </row>
    <row r="196" spans="1:20" x14ac:dyDescent="0.3">
      <c r="A196">
        <v>637</v>
      </c>
      <c r="B196" s="1">
        <v>45564</v>
      </c>
      <c r="C196">
        <v>54</v>
      </c>
      <c r="D196">
        <v>9</v>
      </c>
      <c r="E196">
        <v>175</v>
      </c>
      <c r="F196" t="s">
        <v>520</v>
      </c>
      <c r="G196" t="s">
        <v>521</v>
      </c>
      <c r="H196" t="s">
        <v>19</v>
      </c>
      <c r="I196">
        <v>41</v>
      </c>
      <c r="J196" t="s">
        <v>27</v>
      </c>
      <c r="K196" t="str">
        <f>_xlfn.XLOOKUP( ventas[[#This Row],[ciudad_cliente]],  ciudades[Ciudad], ciudades[Region])</f>
        <v>Biobío</v>
      </c>
      <c r="L196" t="s">
        <v>29</v>
      </c>
      <c r="M196" t="s">
        <v>56</v>
      </c>
      <c r="N196" t="str">
        <f>_xlfn.XLOOKUP(ventas[[#This Row],[producto]], categ[Producto], categ[Categoria])</f>
        <v>Vestuario</v>
      </c>
      <c r="O196">
        <v>25000</v>
      </c>
      <c r="P196">
        <v>3</v>
      </c>
      <c r="Q196" s="11">
        <v>0.05</v>
      </c>
      <c r="R196">
        <f>(ventas[[#This Row],[precio_unitario]]*ventas[[#This Row],[cantidad]])</f>
        <v>75000</v>
      </c>
      <c r="S196">
        <f>ventas[[#This Row],[Total_Productos]]*ventas[[#This Row],[descuento_pct]]</f>
        <v>3750</v>
      </c>
      <c r="T196">
        <f>ventas[[#This Row],[Total_Productos]]-ventas[[#This Row],[Valor_descuento]]</f>
        <v>71250</v>
      </c>
    </row>
    <row r="197" spans="1:20" x14ac:dyDescent="0.3">
      <c r="A197">
        <v>223</v>
      </c>
      <c r="B197" s="1">
        <v>45150</v>
      </c>
      <c r="C197">
        <v>13</v>
      </c>
      <c r="D197">
        <v>0</v>
      </c>
      <c r="E197">
        <v>151</v>
      </c>
      <c r="F197" t="s">
        <v>376</v>
      </c>
      <c r="G197" t="s">
        <v>377</v>
      </c>
      <c r="H197" t="s">
        <v>19</v>
      </c>
      <c r="I197">
        <v>41</v>
      </c>
      <c r="J197" t="s">
        <v>27</v>
      </c>
      <c r="K197" t="str">
        <f>_xlfn.XLOOKUP( ventas[[#This Row],[ciudad_cliente]],  ciudades[Ciudad], ciudades[Region])</f>
        <v>Biobío</v>
      </c>
      <c r="L197" t="s">
        <v>38</v>
      </c>
      <c r="M197" t="s">
        <v>23</v>
      </c>
      <c r="N197" t="str">
        <f>_xlfn.XLOOKUP(ventas[[#This Row],[producto]], categ[Producto], categ[Categoria])</f>
        <v>Belleza</v>
      </c>
      <c r="O197">
        <v>15000</v>
      </c>
      <c r="P197">
        <v>1</v>
      </c>
      <c r="Q197" s="11">
        <v>0.05</v>
      </c>
      <c r="R197">
        <f>(ventas[[#This Row],[precio_unitario]]*ventas[[#This Row],[cantidad]])</f>
        <v>15000</v>
      </c>
      <c r="S197">
        <f>ventas[[#This Row],[Total_Productos]]*ventas[[#This Row],[descuento_pct]]</f>
        <v>750</v>
      </c>
      <c r="T197">
        <f>ventas[[#This Row],[Total_Productos]]-ventas[[#This Row],[Valor_descuento]]</f>
        <v>14250</v>
      </c>
    </row>
    <row r="198" spans="1:20" x14ac:dyDescent="0.3">
      <c r="A198">
        <v>573</v>
      </c>
      <c r="B198" s="1">
        <v>45500</v>
      </c>
      <c r="C198">
        <v>60</v>
      </c>
      <c r="D198">
        <v>1</v>
      </c>
      <c r="E198">
        <v>151</v>
      </c>
      <c r="F198" t="s">
        <v>376</v>
      </c>
      <c r="G198" t="s">
        <v>377</v>
      </c>
      <c r="H198" t="s">
        <v>19</v>
      </c>
      <c r="I198">
        <v>41</v>
      </c>
      <c r="J198" t="s">
        <v>37</v>
      </c>
      <c r="K198" t="str">
        <f>_xlfn.XLOOKUP( ventas[[#This Row],[ciudad_cliente]],  ciudades[Ciudad], ciudades[Region])</f>
        <v>Valparaíso</v>
      </c>
      <c r="L198" t="s">
        <v>29</v>
      </c>
      <c r="M198" t="s">
        <v>69</v>
      </c>
      <c r="N198" t="str">
        <f>_xlfn.XLOOKUP(ventas[[#This Row],[producto]], categ[Producto], categ[Categoria])</f>
        <v>Tecnología</v>
      </c>
      <c r="O198">
        <v>450000</v>
      </c>
      <c r="P198">
        <v>2</v>
      </c>
      <c r="Q198" s="11">
        <v>0</v>
      </c>
      <c r="R198">
        <f>(ventas[[#This Row],[precio_unitario]]*ventas[[#This Row],[cantidad]])</f>
        <v>900000</v>
      </c>
      <c r="S198">
        <f>ventas[[#This Row],[Total_Productos]]*ventas[[#This Row],[descuento_pct]]</f>
        <v>0</v>
      </c>
      <c r="T198">
        <f>ventas[[#This Row],[Total_Productos]]-ventas[[#This Row],[Valor_descuento]]</f>
        <v>900000</v>
      </c>
    </row>
    <row r="199" spans="1:20" x14ac:dyDescent="0.3">
      <c r="A199">
        <v>97</v>
      </c>
      <c r="B199" s="1">
        <v>45024</v>
      </c>
      <c r="C199">
        <v>51</v>
      </c>
      <c r="D199">
        <v>7</v>
      </c>
      <c r="E199">
        <v>4</v>
      </c>
      <c r="F199" t="s">
        <v>221</v>
      </c>
      <c r="G199" t="s">
        <v>222</v>
      </c>
      <c r="H199" t="s">
        <v>19</v>
      </c>
      <c r="I199">
        <v>56</v>
      </c>
      <c r="J199" t="s">
        <v>101</v>
      </c>
      <c r="K199" t="str">
        <f>_xlfn.XLOOKUP( ventas[[#This Row],[ciudad_cliente]],  ciudades[Ciudad], ciudades[Region])</f>
        <v>O'Higgins</v>
      </c>
      <c r="L199" t="s">
        <v>22</v>
      </c>
      <c r="M199" t="s">
        <v>56</v>
      </c>
      <c r="N199" t="str">
        <f>_xlfn.XLOOKUP(ventas[[#This Row],[producto]], categ[Producto], categ[Categoria])</f>
        <v>Vestuario</v>
      </c>
      <c r="O199">
        <v>25000</v>
      </c>
      <c r="P199">
        <v>2</v>
      </c>
      <c r="Q199" s="11">
        <v>0</v>
      </c>
      <c r="R199">
        <f>(ventas[[#This Row],[precio_unitario]]*ventas[[#This Row],[cantidad]])</f>
        <v>50000</v>
      </c>
      <c r="S199">
        <f>ventas[[#This Row],[Total_Productos]]*ventas[[#This Row],[descuento_pct]]</f>
        <v>0</v>
      </c>
      <c r="T199">
        <f>ventas[[#This Row],[Total_Productos]]-ventas[[#This Row],[Valor_descuento]]</f>
        <v>50000</v>
      </c>
    </row>
    <row r="200" spans="1:20" x14ac:dyDescent="0.3">
      <c r="A200">
        <v>676</v>
      </c>
      <c r="B200" s="1">
        <v>45603</v>
      </c>
      <c r="C200">
        <v>34</v>
      </c>
      <c r="D200">
        <v>1</v>
      </c>
      <c r="E200">
        <v>4</v>
      </c>
      <c r="F200" t="s">
        <v>221</v>
      </c>
      <c r="G200" t="s">
        <v>222</v>
      </c>
      <c r="H200" t="s">
        <v>19</v>
      </c>
      <c r="I200">
        <v>56</v>
      </c>
      <c r="J200" t="s">
        <v>52</v>
      </c>
      <c r="K200" t="str">
        <f>_xlfn.XLOOKUP( ventas[[#This Row],[ciudad_cliente]],  ciudades[Ciudad], ciudades[Region])</f>
        <v>Biobío</v>
      </c>
      <c r="L200" t="s">
        <v>29</v>
      </c>
      <c r="M200" t="s">
        <v>62</v>
      </c>
      <c r="N200" t="str">
        <f>_xlfn.XLOOKUP(ventas[[#This Row],[producto]], categ[Producto], categ[Categoria])</f>
        <v>Electrohogar</v>
      </c>
      <c r="O200">
        <v>650000</v>
      </c>
      <c r="P200">
        <v>2</v>
      </c>
      <c r="Q200" s="11">
        <v>0</v>
      </c>
      <c r="R200">
        <f>(ventas[[#This Row],[precio_unitario]]*ventas[[#This Row],[cantidad]])</f>
        <v>1300000</v>
      </c>
      <c r="S200">
        <f>ventas[[#This Row],[Total_Productos]]*ventas[[#This Row],[descuento_pct]]</f>
        <v>0</v>
      </c>
      <c r="T200">
        <f>ventas[[#This Row],[Total_Productos]]-ventas[[#This Row],[Valor_descuento]]</f>
        <v>1300000</v>
      </c>
    </row>
    <row r="201" spans="1:20" x14ac:dyDescent="0.3">
      <c r="A201">
        <v>864</v>
      </c>
      <c r="B201" s="1">
        <v>45791</v>
      </c>
      <c r="C201">
        <v>29</v>
      </c>
      <c r="D201">
        <v>1</v>
      </c>
      <c r="E201">
        <v>4</v>
      </c>
      <c r="F201" t="s">
        <v>221</v>
      </c>
      <c r="G201" t="s">
        <v>222</v>
      </c>
      <c r="H201" t="s">
        <v>19</v>
      </c>
      <c r="I201">
        <v>56</v>
      </c>
      <c r="J201" t="s">
        <v>116</v>
      </c>
      <c r="K201" t="str">
        <f>_xlfn.XLOOKUP( ventas[[#This Row],[ciudad_cliente]],  ciudades[Ciudad], ciudades[Region])</f>
        <v>Valparaíso</v>
      </c>
      <c r="L201" t="s">
        <v>38</v>
      </c>
      <c r="M201" t="s">
        <v>102</v>
      </c>
      <c r="N201" t="str">
        <f>_xlfn.XLOOKUP(ventas[[#This Row],[producto]], categ[Producto], categ[Categoria])</f>
        <v>Vestuario</v>
      </c>
      <c r="O201">
        <v>12000</v>
      </c>
      <c r="P201">
        <v>1</v>
      </c>
      <c r="Q201" s="11">
        <v>0.05</v>
      </c>
      <c r="R201">
        <f>(ventas[[#This Row],[precio_unitario]]*ventas[[#This Row],[cantidad]])</f>
        <v>12000</v>
      </c>
      <c r="S201">
        <f>ventas[[#This Row],[Total_Productos]]*ventas[[#This Row],[descuento_pct]]</f>
        <v>600</v>
      </c>
      <c r="T201">
        <f>ventas[[#This Row],[Total_Productos]]-ventas[[#This Row],[Valor_descuento]]</f>
        <v>11400</v>
      </c>
    </row>
    <row r="202" spans="1:20" x14ac:dyDescent="0.3">
      <c r="A202">
        <v>85</v>
      </c>
      <c r="B202" s="1">
        <v>45012</v>
      </c>
      <c r="C202">
        <v>47</v>
      </c>
      <c r="D202">
        <v>1</v>
      </c>
      <c r="E202">
        <v>38</v>
      </c>
      <c r="F202" t="s">
        <v>201</v>
      </c>
      <c r="G202" t="s">
        <v>202</v>
      </c>
      <c r="H202" t="s">
        <v>19</v>
      </c>
      <c r="I202">
        <v>18</v>
      </c>
      <c r="J202" t="s">
        <v>116</v>
      </c>
      <c r="K202" t="str">
        <f>_xlfn.XLOOKUP( ventas[[#This Row],[ciudad_cliente]],  ciudades[Ciudad], ciudades[Region])</f>
        <v>Valparaíso</v>
      </c>
      <c r="L202" t="s">
        <v>38</v>
      </c>
      <c r="M202" t="s">
        <v>69</v>
      </c>
      <c r="N202" t="str">
        <f>_xlfn.XLOOKUP(ventas[[#This Row],[producto]], categ[Producto], categ[Categoria])</f>
        <v>Tecnología</v>
      </c>
      <c r="O202">
        <v>450000</v>
      </c>
      <c r="P202">
        <v>1</v>
      </c>
      <c r="Q202" s="11">
        <v>0.1</v>
      </c>
      <c r="R202">
        <f>(ventas[[#This Row],[precio_unitario]]*ventas[[#This Row],[cantidad]])</f>
        <v>450000</v>
      </c>
      <c r="S202">
        <f>ventas[[#This Row],[Total_Productos]]*ventas[[#This Row],[descuento_pct]]</f>
        <v>45000</v>
      </c>
      <c r="T202">
        <f>ventas[[#This Row],[Total_Productos]]-ventas[[#This Row],[Valor_descuento]]</f>
        <v>405000</v>
      </c>
    </row>
    <row r="203" spans="1:20" x14ac:dyDescent="0.3">
      <c r="A203">
        <v>256</v>
      </c>
      <c r="B203" s="1">
        <v>45183</v>
      </c>
      <c r="C203">
        <v>6</v>
      </c>
      <c r="D203">
        <v>2</v>
      </c>
      <c r="E203">
        <v>38</v>
      </c>
      <c r="F203" t="s">
        <v>201</v>
      </c>
      <c r="G203" t="s">
        <v>202</v>
      </c>
      <c r="H203" t="s">
        <v>19</v>
      </c>
      <c r="I203">
        <v>18</v>
      </c>
      <c r="J203" t="s">
        <v>52</v>
      </c>
      <c r="K203" t="str">
        <f>_xlfn.XLOOKUP( ventas[[#This Row],[ciudad_cliente]],  ciudades[Ciudad], ciudades[Region])</f>
        <v>Biobío</v>
      </c>
      <c r="L203" t="s">
        <v>29</v>
      </c>
      <c r="M203" t="s">
        <v>62</v>
      </c>
      <c r="N203" t="str">
        <f>_xlfn.XLOOKUP(ventas[[#This Row],[producto]], categ[Producto], categ[Categoria])</f>
        <v>Electrohogar</v>
      </c>
      <c r="O203">
        <v>650000</v>
      </c>
      <c r="P203">
        <v>2</v>
      </c>
      <c r="Q203" s="11">
        <v>0.1</v>
      </c>
      <c r="R203">
        <f>(ventas[[#This Row],[precio_unitario]]*ventas[[#This Row],[cantidad]])</f>
        <v>1300000</v>
      </c>
      <c r="S203">
        <f>ventas[[#This Row],[Total_Productos]]*ventas[[#This Row],[descuento_pct]]</f>
        <v>130000</v>
      </c>
      <c r="T203">
        <f>ventas[[#This Row],[Total_Productos]]-ventas[[#This Row],[Valor_descuento]]</f>
        <v>1170000</v>
      </c>
    </row>
    <row r="204" spans="1:20" x14ac:dyDescent="0.3">
      <c r="A204">
        <v>584</v>
      </c>
      <c r="B204" s="1">
        <v>45511</v>
      </c>
      <c r="C204">
        <v>33</v>
      </c>
      <c r="D204">
        <v>13</v>
      </c>
      <c r="E204">
        <v>38</v>
      </c>
      <c r="F204" t="s">
        <v>201</v>
      </c>
      <c r="G204" t="s">
        <v>202</v>
      </c>
      <c r="H204" t="s">
        <v>19</v>
      </c>
      <c r="I204">
        <v>18</v>
      </c>
      <c r="J204" t="s">
        <v>101</v>
      </c>
      <c r="K204" t="str">
        <f>_xlfn.XLOOKUP( ventas[[#This Row],[ciudad_cliente]],  ciudades[Ciudad], ciudades[Region])</f>
        <v>O'Higgins</v>
      </c>
      <c r="L204" t="s">
        <v>38</v>
      </c>
      <c r="M204" t="s">
        <v>56</v>
      </c>
      <c r="N204" t="str">
        <f>_xlfn.XLOOKUP(ventas[[#This Row],[producto]], categ[Producto], categ[Categoria])</f>
        <v>Vestuario</v>
      </c>
      <c r="O204">
        <v>25000</v>
      </c>
      <c r="P204">
        <v>3</v>
      </c>
      <c r="Q204" s="11">
        <v>0.1</v>
      </c>
      <c r="R204">
        <f>(ventas[[#This Row],[precio_unitario]]*ventas[[#This Row],[cantidad]])</f>
        <v>75000</v>
      </c>
      <c r="S204">
        <f>ventas[[#This Row],[Total_Productos]]*ventas[[#This Row],[descuento_pct]]</f>
        <v>7500</v>
      </c>
      <c r="T204">
        <f>ventas[[#This Row],[Total_Productos]]-ventas[[#This Row],[Valor_descuento]]</f>
        <v>67500</v>
      </c>
    </row>
    <row r="205" spans="1:20" x14ac:dyDescent="0.3">
      <c r="A205">
        <v>928</v>
      </c>
      <c r="B205" s="1">
        <v>45855</v>
      </c>
      <c r="C205">
        <v>27</v>
      </c>
      <c r="D205">
        <v>4</v>
      </c>
      <c r="E205">
        <v>38</v>
      </c>
      <c r="F205" t="s">
        <v>201</v>
      </c>
      <c r="G205" t="s">
        <v>202</v>
      </c>
      <c r="H205" t="s">
        <v>19</v>
      </c>
      <c r="I205">
        <v>18</v>
      </c>
      <c r="J205" t="s">
        <v>116</v>
      </c>
      <c r="K205" t="str">
        <f>_xlfn.XLOOKUP( ventas[[#This Row],[ciudad_cliente]],  ciudades[Ciudad], ciudades[Region])</f>
        <v>Valparaíso</v>
      </c>
      <c r="L205" t="s">
        <v>38</v>
      </c>
      <c r="M205" t="s">
        <v>98</v>
      </c>
      <c r="N205" t="str">
        <f>_xlfn.XLOOKUP(ventas[[#This Row],[producto]], categ[Producto], categ[Categoria])</f>
        <v>Calzado</v>
      </c>
      <c r="O205">
        <v>55000</v>
      </c>
      <c r="P205">
        <v>2</v>
      </c>
      <c r="Q205" s="11">
        <v>0.1</v>
      </c>
      <c r="R205">
        <f>(ventas[[#This Row],[precio_unitario]]*ventas[[#This Row],[cantidad]])</f>
        <v>110000</v>
      </c>
      <c r="S205">
        <f>ventas[[#This Row],[Total_Productos]]*ventas[[#This Row],[descuento_pct]]</f>
        <v>11000</v>
      </c>
      <c r="T205">
        <f>ventas[[#This Row],[Total_Productos]]-ventas[[#This Row],[Valor_descuento]]</f>
        <v>99000</v>
      </c>
    </row>
    <row r="206" spans="1:20" x14ac:dyDescent="0.3">
      <c r="A206">
        <v>932</v>
      </c>
      <c r="B206" s="1">
        <v>45859</v>
      </c>
      <c r="C206">
        <v>14</v>
      </c>
      <c r="D206">
        <v>0</v>
      </c>
      <c r="E206">
        <v>38</v>
      </c>
      <c r="F206" t="s">
        <v>201</v>
      </c>
      <c r="G206" t="s">
        <v>202</v>
      </c>
      <c r="H206" t="s">
        <v>19</v>
      </c>
      <c r="I206">
        <v>18</v>
      </c>
      <c r="J206" t="s">
        <v>34</v>
      </c>
      <c r="K206" t="str">
        <f>_xlfn.XLOOKUP( ventas[[#This Row],[ciudad_cliente]],  ciudades[Ciudad], ciudades[Region])</f>
        <v>Metropolitana</v>
      </c>
      <c r="L206" t="s">
        <v>38</v>
      </c>
      <c r="M206" t="s">
        <v>30</v>
      </c>
      <c r="N206" t="str">
        <f>_xlfn.XLOOKUP(ventas[[#This Row],[producto]], categ[Producto], categ[Categoria])</f>
        <v>Electrohogar</v>
      </c>
      <c r="O206">
        <v>700000</v>
      </c>
      <c r="P206">
        <v>3</v>
      </c>
      <c r="Q206" s="11">
        <v>0</v>
      </c>
      <c r="R206">
        <f>(ventas[[#This Row],[precio_unitario]]*ventas[[#This Row],[cantidad]])</f>
        <v>2100000</v>
      </c>
      <c r="S206">
        <f>ventas[[#This Row],[Total_Productos]]*ventas[[#This Row],[descuento_pct]]</f>
        <v>0</v>
      </c>
      <c r="T206">
        <f>ventas[[#This Row],[Total_Productos]]-ventas[[#This Row],[Valor_descuento]]</f>
        <v>2100000</v>
      </c>
    </row>
    <row r="207" spans="1:20" x14ac:dyDescent="0.3">
      <c r="A207">
        <v>72</v>
      </c>
      <c r="B207" s="1">
        <v>44999</v>
      </c>
      <c r="C207">
        <v>35</v>
      </c>
      <c r="D207">
        <v>1</v>
      </c>
      <c r="E207">
        <v>165</v>
      </c>
      <c r="F207" t="s">
        <v>183</v>
      </c>
      <c r="G207" t="s">
        <v>184</v>
      </c>
      <c r="H207" t="s">
        <v>42</v>
      </c>
      <c r="I207">
        <v>49</v>
      </c>
      <c r="J207" t="s">
        <v>43</v>
      </c>
      <c r="K207" t="str">
        <f>_xlfn.XLOOKUP( ventas[[#This Row],[ciudad_cliente]],  ciudades[Ciudad], ciudades[Region])</f>
        <v>Antofagasta</v>
      </c>
      <c r="L207" t="s">
        <v>38</v>
      </c>
      <c r="M207" t="s">
        <v>62</v>
      </c>
      <c r="N207" t="str">
        <f>_xlfn.XLOOKUP(ventas[[#This Row],[producto]], categ[Producto], categ[Categoria])</f>
        <v>Electrohogar</v>
      </c>
      <c r="O207">
        <v>650000</v>
      </c>
      <c r="P207">
        <v>2</v>
      </c>
      <c r="Q207" s="11">
        <v>0.1</v>
      </c>
      <c r="R207">
        <f>(ventas[[#This Row],[precio_unitario]]*ventas[[#This Row],[cantidad]])</f>
        <v>1300000</v>
      </c>
      <c r="S207">
        <f>ventas[[#This Row],[Total_Productos]]*ventas[[#This Row],[descuento_pct]]</f>
        <v>130000</v>
      </c>
      <c r="T207">
        <f>ventas[[#This Row],[Total_Productos]]-ventas[[#This Row],[Valor_descuento]]</f>
        <v>1170000</v>
      </c>
    </row>
    <row r="208" spans="1:20" x14ac:dyDescent="0.3">
      <c r="A208">
        <v>394</v>
      </c>
      <c r="B208" s="1">
        <v>45321</v>
      </c>
      <c r="C208">
        <v>28</v>
      </c>
      <c r="D208">
        <v>5</v>
      </c>
      <c r="E208">
        <v>165</v>
      </c>
      <c r="F208" t="s">
        <v>183</v>
      </c>
      <c r="G208" t="s">
        <v>184</v>
      </c>
      <c r="H208" t="s">
        <v>42</v>
      </c>
      <c r="I208">
        <v>49</v>
      </c>
      <c r="J208" t="s">
        <v>116</v>
      </c>
      <c r="K208" t="str">
        <f>_xlfn.XLOOKUP( ventas[[#This Row],[ciudad_cliente]],  ciudades[Ciudad], ciudades[Region])</f>
        <v>Valparaíso</v>
      </c>
      <c r="L208" t="s">
        <v>29</v>
      </c>
      <c r="M208" t="s">
        <v>102</v>
      </c>
      <c r="N208" t="str">
        <f>_xlfn.XLOOKUP(ventas[[#This Row],[producto]], categ[Producto], categ[Categoria])</f>
        <v>Vestuario</v>
      </c>
      <c r="O208">
        <v>12000</v>
      </c>
      <c r="P208">
        <v>2</v>
      </c>
      <c r="Q208" s="11">
        <v>0</v>
      </c>
      <c r="R208">
        <f>(ventas[[#This Row],[precio_unitario]]*ventas[[#This Row],[cantidad]])</f>
        <v>24000</v>
      </c>
      <c r="S208">
        <f>ventas[[#This Row],[Total_Productos]]*ventas[[#This Row],[descuento_pct]]</f>
        <v>0</v>
      </c>
      <c r="T208">
        <f>ventas[[#This Row],[Total_Productos]]-ventas[[#This Row],[Valor_descuento]]</f>
        <v>24000</v>
      </c>
    </row>
    <row r="209" spans="1:20" x14ac:dyDescent="0.3">
      <c r="A209">
        <v>478</v>
      </c>
      <c r="B209" s="1">
        <v>45405</v>
      </c>
      <c r="C209">
        <v>19</v>
      </c>
      <c r="D209">
        <v>5</v>
      </c>
      <c r="E209">
        <v>165</v>
      </c>
      <c r="F209" t="s">
        <v>183</v>
      </c>
      <c r="G209" t="s">
        <v>184</v>
      </c>
      <c r="H209" t="s">
        <v>42</v>
      </c>
      <c r="I209">
        <v>49</v>
      </c>
      <c r="J209" t="s">
        <v>20</v>
      </c>
      <c r="K209" t="str">
        <f>_xlfn.XLOOKUP( ventas[[#This Row],[ciudad_cliente]],  ciudades[Ciudad], ciudades[Region])</f>
        <v>La Araucanía</v>
      </c>
      <c r="L209" t="s">
        <v>22</v>
      </c>
      <c r="M209" t="s">
        <v>102</v>
      </c>
      <c r="N209" t="str">
        <f>_xlfn.XLOOKUP(ventas[[#This Row],[producto]], categ[Producto], categ[Categoria])</f>
        <v>Vestuario</v>
      </c>
      <c r="O209">
        <v>12000</v>
      </c>
      <c r="P209">
        <v>2</v>
      </c>
      <c r="Q209" s="11">
        <v>0.1</v>
      </c>
      <c r="R209">
        <f>(ventas[[#This Row],[precio_unitario]]*ventas[[#This Row],[cantidad]])</f>
        <v>24000</v>
      </c>
      <c r="S209">
        <f>ventas[[#This Row],[Total_Productos]]*ventas[[#This Row],[descuento_pct]]</f>
        <v>2400</v>
      </c>
      <c r="T209">
        <f>ventas[[#This Row],[Total_Productos]]-ventas[[#This Row],[Valor_descuento]]</f>
        <v>21600</v>
      </c>
    </row>
    <row r="210" spans="1:20" x14ac:dyDescent="0.3">
      <c r="A210">
        <v>906</v>
      </c>
      <c r="B210" s="1">
        <v>45833</v>
      </c>
      <c r="C210">
        <v>25</v>
      </c>
      <c r="D210">
        <v>3</v>
      </c>
      <c r="E210">
        <v>165</v>
      </c>
      <c r="F210" t="s">
        <v>183</v>
      </c>
      <c r="G210" t="s">
        <v>184</v>
      </c>
      <c r="H210" t="s">
        <v>42</v>
      </c>
      <c r="I210">
        <v>49</v>
      </c>
      <c r="J210" t="s">
        <v>76</v>
      </c>
      <c r="K210" t="str">
        <f>_xlfn.XLOOKUP( ventas[[#This Row],[ciudad_cliente]],  ciudades[Ciudad], ciudades[Region])</f>
        <v>Los Lagos</v>
      </c>
      <c r="L210" t="s">
        <v>29</v>
      </c>
      <c r="M210" t="s">
        <v>98</v>
      </c>
      <c r="N210" t="str">
        <f>_xlfn.XLOOKUP(ventas[[#This Row],[producto]], categ[Producto], categ[Categoria])</f>
        <v>Calzado</v>
      </c>
      <c r="O210">
        <v>55000</v>
      </c>
      <c r="P210">
        <v>3</v>
      </c>
      <c r="Q210" s="11">
        <v>0.1</v>
      </c>
      <c r="R210">
        <f>(ventas[[#This Row],[precio_unitario]]*ventas[[#This Row],[cantidad]])</f>
        <v>165000</v>
      </c>
      <c r="S210">
        <f>ventas[[#This Row],[Total_Productos]]*ventas[[#This Row],[descuento_pct]]</f>
        <v>16500</v>
      </c>
      <c r="T210">
        <f>ventas[[#This Row],[Total_Productos]]-ventas[[#This Row],[Valor_descuento]]</f>
        <v>148500</v>
      </c>
    </row>
    <row r="211" spans="1:20" x14ac:dyDescent="0.3">
      <c r="A211">
        <v>102</v>
      </c>
      <c r="B211" s="1">
        <v>45029</v>
      </c>
      <c r="C211">
        <v>54</v>
      </c>
      <c r="D211">
        <v>9</v>
      </c>
      <c r="E211">
        <v>105</v>
      </c>
      <c r="F211" t="s">
        <v>229</v>
      </c>
      <c r="G211" t="s">
        <v>230</v>
      </c>
      <c r="H211" t="s">
        <v>19</v>
      </c>
      <c r="I211">
        <v>36</v>
      </c>
      <c r="J211" t="s">
        <v>27</v>
      </c>
      <c r="K211" t="str">
        <f>_xlfn.XLOOKUP( ventas[[#This Row],[ciudad_cliente]],  ciudades[Ciudad], ciudades[Region])</f>
        <v>Biobío</v>
      </c>
      <c r="L211" t="s">
        <v>38</v>
      </c>
      <c r="M211" t="s">
        <v>69</v>
      </c>
      <c r="N211" t="str">
        <f>_xlfn.XLOOKUP(ventas[[#This Row],[producto]], categ[Producto], categ[Categoria])</f>
        <v>Tecnología</v>
      </c>
      <c r="O211">
        <v>450000</v>
      </c>
      <c r="P211">
        <v>1</v>
      </c>
      <c r="Q211" s="11">
        <v>0.1</v>
      </c>
      <c r="R211">
        <f>(ventas[[#This Row],[precio_unitario]]*ventas[[#This Row],[cantidad]])</f>
        <v>450000</v>
      </c>
      <c r="S211">
        <f>ventas[[#This Row],[Total_Productos]]*ventas[[#This Row],[descuento_pct]]</f>
        <v>45000</v>
      </c>
      <c r="T211">
        <f>ventas[[#This Row],[Total_Productos]]-ventas[[#This Row],[Valor_descuento]]</f>
        <v>405000</v>
      </c>
    </row>
    <row r="212" spans="1:20" x14ac:dyDescent="0.3">
      <c r="A212">
        <v>333</v>
      </c>
      <c r="B212" s="1">
        <v>45260</v>
      </c>
      <c r="C212">
        <v>35</v>
      </c>
      <c r="D212">
        <v>1</v>
      </c>
      <c r="E212">
        <v>105</v>
      </c>
      <c r="F212" t="s">
        <v>229</v>
      </c>
      <c r="G212" t="s">
        <v>230</v>
      </c>
      <c r="H212" t="s">
        <v>19</v>
      </c>
      <c r="I212">
        <v>36</v>
      </c>
      <c r="J212" t="s">
        <v>43</v>
      </c>
      <c r="K212" t="str">
        <f>_xlfn.XLOOKUP( ventas[[#This Row],[ciudad_cliente]],  ciudades[Ciudad], ciudades[Region])</f>
        <v>Antofagasta</v>
      </c>
      <c r="L212" t="s">
        <v>38</v>
      </c>
      <c r="M212" t="s">
        <v>56</v>
      </c>
      <c r="N212" t="str">
        <f>_xlfn.XLOOKUP(ventas[[#This Row],[producto]], categ[Producto], categ[Categoria])</f>
        <v>Vestuario</v>
      </c>
      <c r="O212">
        <v>25000</v>
      </c>
      <c r="P212">
        <v>3</v>
      </c>
      <c r="Q212" s="11">
        <v>0.05</v>
      </c>
      <c r="R212">
        <f>(ventas[[#This Row],[precio_unitario]]*ventas[[#This Row],[cantidad]])</f>
        <v>75000</v>
      </c>
      <c r="S212">
        <f>ventas[[#This Row],[Total_Productos]]*ventas[[#This Row],[descuento_pct]]</f>
        <v>3750</v>
      </c>
      <c r="T212">
        <f>ventas[[#This Row],[Total_Productos]]-ventas[[#This Row],[Valor_descuento]]</f>
        <v>71250</v>
      </c>
    </row>
    <row r="213" spans="1:20" x14ac:dyDescent="0.3">
      <c r="A213">
        <v>724</v>
      </c>
      <c r="B213" s="1">
        <v>45651</v>
      </c>
      <c r="C213">
        <v>7</v>
      </c>
      <c r="D213">
        <v>8</v>
      </c>
      <c r="E213">
        <v>105</v>
      </c>
      <c r="F213" t="s">
        <v>229</v>
      </c>
      <c r="G213" t="s">
        <v>230</v>
      </c>
      <c r="H213" t="s">
        <v>19</v>
      </c>
      <c r="I213">
        <v>36</v>
      </c>
      <c r="J213" t="s">
        <v>37</v>
      </c>
      <c r="K213" t="str">
        <f>_xlfn.XLOOKUP( ventas[[#This Row],[ciudad_cliente]],  ciudades[Ciudad], ciudades[Region])</f>
        <v>Valparaíso</v>
      </c>
      <c r="L213" t="s">
        <v>29</v>
      </c>
      <c r="M213" t="s">
        <v>102</v>
      </c>
      <c r="N213" t="str">
        <f>_xlfn.XLOOKUP(ventas[[#This Row],[producto]], categ[Producto], categ[Categoria])</f>
        <v>Vestuario</v>
      </c>
      <c r="O213">
        <v>12000</v>
      </c>
      <c r="P213">
        <v>3</v>
      </c>
      <c r="Q213" s="11">
        <v>0</v>
      </c>
      <c r="R213">
        <f>(ventas[[#This Row],[precio_unitario]]*ventas[[#This Row],[cantidad]])</f>
        <v>36000</v>
      </c>
      <c r="S213">
        <f>ventas[[#This Row],[Total_Productos]]*ventas[[#This Row],[descuento_pct]]</f>
        <v>0</v>
      </c>
      <c r="T213">
        <f>ventas[[#This Row],[Total_Productos]]-ventas[[#This Row],[Valor_descuento]]</f>
        <v>36000</v>
      </c>
    </row>
    <row r="214" spans="1:20" x14ac:dyDescent="0.3">
      <c r="A214">
        <v>205</v>
      </c>
      <c r="B214" s="1">
        <v>45132</v>
      </c>
      <c r="C214">
        <v>18</v>
      </c>
      <c r="D214">
        <v>1</v>
      </c>
      <c r="E214">
        <v>266</v>
      </c>
      <c r="F214" t="s">
        <v>356</v>
      </c>
      <c r="G214" t="s">
        <v>357</v>
      </c>
      <c r="H214" t="s">
        <v>42</v>
      </c>
      <c r="I214">
        <v>23</v>
      </c>
      <c r="J214" t="s">
        <v>27</v>
      </c>
      <c r="K214" t="str">
        <f>_xlfn.XLOOKUP( ventas[[#This Row],[ciudad_cliente]],  ciudades[Ciudad], ciudades[Region])</f>
        <v>Biobío</v>
      </c>
      <c r="L214" t="s">
        <v>38</v>
      </c>
      <c r="M214" t="s">
        <v>62</v>
      </c>
      <c r="N214" t="str">
        <f>_xlfn.XLOOKUP(ventas[[#This Row],[producto]], categ[Producto], categ[Categoria])</f>
        <v>Electrohogar</v>
      </c>
      <c r="O214">
        <v>650000</v>
      </c>
      <c r="P214">
        <v>2</v>
      </c>
      <c r="Q214" s="11">
        <v>0</v>
      </c>
      <c r="R214">
        <f>(ventas[[#This Row],[precio_unitario]]*ventas[[#This Row],[cantidad]])</f>
        <v>1300000</v>
      </c>
      <c r="S214">
        <f>ventas[[#This Row],[Total_Productos]]*ventas[[#This Row],[descuento_pct]]</f>
        <v>0</v>
      </c>
      <c r="T214">
        <f>ventas[[#This Row],[Total_Productos]]-ventas[[#This Row],[Valor_descuento]]</f>
        <v>1300000</v>
      </c>
    </row>
    <row r="215" spans="1:20" x14ac:dyDescent="0.3">
      <c r="A215">
        <v>780</v>
      </c>
      <c r="B215" s="1">
        <v>45707</v>
      </c>
      <c r="C215">
        <v>10</v>
      </c>
      <c r="D215">
        <v>7</v>
      </c>
      <c r="E215">
        <v>266</v>
      </c>
      <c r="F215" t="s">
        <v>356</v>
      </c>
      <c r="G215" t="s">
        <v>357</v>
      </c>
      <c r="H215" t="s">
        <v>42</v>
      </c>
      <c r="I215">
        <v>23</v>
      </c>
      <c r="J215" t="s">
        <v>37</v>
      </c>
      <c r="K215" t="str">
        <f>_xlfn.XLOOKUP( ventas[[#This Row],[ciudad_cliente]],  ciudades[Ciudad], ciudades[Region])</f>
        <v>Valparaíso</v>
      </c>
      <c r="L215" t="s">
        <v>38</v>
      </c>
      <c r="M215" t="s">
        <v>39</v>
      </c>
      <c r="N215" t="str">
        <f>_xlfn.XLOOKUP(ventas[[#This Row],[producto]], categ[Producto], categ[Categoria])</f>
        <v>Belleza</v>
      </c>
      <c r="O215">
        <v>35000</v>
      </c>
      <c r="P215">
        <v>1</v>
      </c>
      <c r="Q215" s="11">
        <v>0.05</v>
      </c>
      <c r="R215">
        <f>(ventas[[#This Row],[precio_unitario]]*ventas[[#This Row],[cantidad]])</f>
        <v>35000</v>
      </c>
      <c r="S215">
        <f>ventas[[#This Row],[Total_Productos]]*ventas[[#This Row],[descuento_pct]]</f>
        <v>1750</v>
      </c>
      <c r="T215">
        <f>ventas[[#This Row],[Total_Productos]]-ventas[[#This Row],[Valor_descuento]]</f>
        <v>33250</v>
      </c>
    </row>
    <row r="216" spans="1:20" x14ac:dyDescent="0.3">
      <c r="A216">
        <v>793</v>
      </c>
      <c r="B216" s="1">
        <v>45720</v>
      </c>
      <c r="C216">
        <v>33</v>
      </c>
      <c r="D216">
        <v>13</v>
      </c>
      <c r="E216">
        <v>266</v>
      </c>
      <c r="F216" t="s">
        <v>356</v>
      </c>
      <c r="G216" t="s">
        <v>357</v>
      </c>
      <c r="H216" t="s">
        <v>42</v>
      </c>
      <c r="I216">
        <v>23</v>
      </c>
      <c r="J216" t="s">
        <v>101</v>
      </c>
      <c r="K216" t="str">
        <f>_xlfn.XLOOKUP( ventas[[#This Row],[ciudad_cliente]],  ciudades[Ciudad], ciudades[Region])</f>
        <v>O'Higgins</v>
      </c>
      <c r="L216" t="s">
        <v>22</v>
      </c>
      <c r="M216" t="s">
        <v>46</v>
      </c>
      <c r="N216" t="str">
        <f>_xlfn.XLOOKUP(ventas[[#This Row],[producto]], categ[Producto], categ[Categoria])</f>
        <v>Tecnología</v>
      </c>
      <c r="O216">
        <v>750000</v>
      </c>
      <c r="P216">
        <v>3</v>
      </c>
      <c r="Q216" s="11">
        <v>0</v>
      </c>
      <c r="R216">
        <f>(ventas[[#This Row],[precio_unitario]]*ventas[[#This Row],[cantidad]])</f>
        <v>2250000</v>
      </c>
      <c r="S216">
        <f>ventas[[#This Row],[Total_Productos]]*ventas[[#This Row],[descuento_pct]]</f>
        <v>0</v>
      </c>
      <c r="T216">
        <f>ventas[[#This Row],[Total_Productos]]-ventas[[#This Row],[Valor_descuento]]</f>
        <v>2250000</v>
      </c>
    </row>
    <row r="217" spans="1:20" x14ac:dyDescent="0.3">
      <c r="A217">
        <v>86</v>
      </c>
      <c r="B217" s="1">
        <v>45013</v>
      </c>
      <c r="C217">
        <v>67</v>
      </c>
      <c r="D217">
        <v>0</v>
      </c>
      <c r="E217">
        <v>191</v>
      </c>
      <c r="F217" t="s">
        <v>203</v>
      </c>
      <c r="G217" t="s">
        <v>204</v>
      </c>
      <c r="H217" t="s">
        <v>42</v>
      </c>
      <c r="I217">
        <v>32</v>
      </c>
      <c r="J217" t="s">
        <v>27</v>
      </c>
      <c r="K217" t="str">
        <f>_xlfn.XLOOKUP( ventas[[#This Row],[ciudad_cliente]],  ciudades[Ciudad], ciudades[Region])</f>
        <v>Biobío</v>
      </c>
      <c r="L217" t="s">
        <v>22</v>
      </c>
      <c r="M217" t="s">
        <v>49</v>
      </c>
      <c r="N217" t="str">
        <f>_xlfn.XLOOKUP(ventas[[#This Row],[producto]], categ[Producto], categ[Categoria])</f>
        <v>Electrohogar</v>
      </c>
      <c r="O217">
        <v>800000</v>
      </c>
      <c r="P217">
        <v>1</v>
      </c>
      <c r="Q217" s="11">
        <v>0</v>
      </c>
      <c r="R217">
        <f>(ventas[[#This Row],[precio_unitario]]*ventas[[#This Row],[cantidad]])</f>
        <v>800000</v>
      </c>
      <c r="S217">
        <f>ventas[[#This Row],[Total_Productos]]*ventas[[#This Row],[descuento_pct]]</f>
        <v>0</v>
      </c>
      <c r="T217">
        <f>ventas[[#This Row],[Total_Productos]]-ventas[[#This Row],[Valor_descuento]]</f>
        <v>800000</v>
      </c>
    </row>
    <row r="218" spans="1:20" x14ac:dyDescent="0.3">
      <c r="A218">
        <v>135</v>
      </c>
      <c r="B218" s="1">
        <v>45062</v>
      </c>
      <c r="C218">
        <v>1</v>
      </c>
      <c r="D218">
        <v>8</v>
      </c>
      <c r="E218">
        <v>191</v>
      </c>
      <c r="F218" t="s">
        <v>203</v>
      </c>
      <c r="G218" t="s">
        <v>204</v>
      </c>
      <c r="H218" t="s">
        <v>42</v>
      </c>
      <c r="I218">
        <v>32</v>
      </c>
      <c r="J218" t="s">
        <v>34</v>
      </c>
      <c r="K218" t="str">
        <f>_xlfn.XLOOKUP( ventas[[#This Row],[ciudad_cliente]],  ciudades[Ciudad], ciudades[Region])</f>
        <v>Metropolitana</v>
      </c>
      <c r="L218" t="s">
        <v>38</v>
      </c>
      <c r="M218" t="s">
        <v>49</v>
      </c>
      <c r="N218" t="str">
        <f>_xlfn.XLOOKUP(ventas[[#This Row],[producto]], categ[Producto], categ[Categoria])</f>
        <v>Electrohogar</v>
      </c>
      <c r="O218">
        <v>800000</v>
      </c>
      <c r="P218">
        <v>1</v>
      </c>
      <c r="Q218" s="11">
        <v>0</v>
      </c>
      <c r="R218">
        <f>(ventas[[#This Row],[precio_unitario]]*ventas[[#This Row],[cantidad]])</f>
        <v>800000</v>
      </c>
      <c r="S218">
        <f>ventas[[#This Row],[Total_Productos]]*ventas[[#This Row],[descuento_pct]]</f>
        <v>0</v>
      </c>
      <c r="T218">
        <f>ventas[[#This Row],[Total_Productos]]-ventas[[#This Row],[Valor_descuento]]</f>
        <v>800000</v>
      </c>
    </row>
    <row r="219" spans="1:20" x14ac:dyDescent="0.3">
      <c r="A219">
        <v>181</v>
      </c>
      <c r="B219" s="1">
        <v>45108</v>
      </c>
      <c r="C219">
        <v>54</v>
      </c>
      <c r="D219">
        <v>9</v>
      </c>
      <c r="E219">
        <v>191</v>
      </c>
      <c r="F219" t="s">
        <v>203</v>
      </c>
      <c r="G219" t="s">
        <v>204</v>
      </c>
      <c r="H219" t="s">
        <v>42</v>
      </c>
      <c r="I219">
        <v>32</v>
      </c>
      <c r="J219" t="s">
        <v>27</v>
      </c>
      <c r="K219" t="str">
        <f>_xlfn.XLOOKUP( ventas[[#This Row],[ciudad_cliente]],  ciudades[Ciudad], ciudades[Region])</f>
        <v>Biobío</v>
      </c>
      <c r="L219" t="s">
        <v>38</v>
      </c>
      <c r="M219" t="s">
        <v>69</v>
      </c>
      <c r="N219" t="str">
        <f>_xlfn.XLOOKUP(ventas[[#This Row],[producto]], categ[Producto], categ[Categoria])</f>
        <v>Tecnología</v>
      </c>
      <c r="O219">
        <v>450000</v>
      </c>
      <c r="P219">
        <v>3</v>
      </c>
      <c r="Q219" s="11">
        <v>0</v>
      </c>
      <c r="R219">
        <f>(ventas[[#This Row],[precio_unitario]]*ventas[[#This Row],[cantidad]])</f>
        <v>1350000</v>
      </c>
      <c r="S219">
        <f>ventas[[#This Row],[Total_Productos]]*ventas[[#This Row],[descuento_pct]]</f>
        <v>0</v>
      </c>
      <c r="T219">
        <f>ventas[[#This Row],[Total_Productos]]-ventas[[#This Row],[Valor_descuento]]</f>
        <v>1350000</v>
      </c>
    </row>
    <row r="220" spans="1:20" x14ac:dyDescent="0.3">
      <c r="A220">
        <v>309</v>
      </c>
      <c r="B220" s="1">
        <v>45236</v>
      </c>
      <c r="C220">
        <v>40</v>
      </c>
      <c r="D220">
        <v>1</v>
      </c>
      <c r="E220">
        <v>191</v>
      </c>
      <c r="F220" t="s">
        <v>203</v>
      </c>
      <c r="G220" t="s">
        <v>204</v>
      </c>
      <c r="H220" t="s">
        <v>42</v>
      </c>
      <c r="I220">
        <v>32</v>
      </c>
      <c r="J220" t="s">
        <v>27</v>
      </c>
      <c r="K220" t="str">
        <f>_xlfn.XLOOKUP( ventas[[#This Row],[ciudad_cliente]],  ciudades[Ciudad], ciudades[Region])</f>
        <v>Biobío</v>
      </c>
      <c r="L220" t="s">
        <v>22</v>
      </c>
      <c r="M220" t="s">
        <v>62</v>
      </c>
      <c r="N220" t="str">
        <f>_xlfn.XLOOKUP(ventas[[#This Row],[producto]], categ[Producto], categ[Categoria])</f>
        <v>Electrohogar</v>
      </c>
      <c r="O220">
        <v>650000</v>
      </c>
      <c r="P220">
        <v>2</v>
      </c>
      <c r="Q220" s="11">
        <v>0</v>
      </c>
      <c r="R220">
        <f>(ventas[[#This Row],[precio_unitario]]*ventas[[#This Row],[cantidad]])</f>
        <v>1300000</v>
      </c>
      <c r="S220">
        <f>ventas[[#This Row],[Total_Productos]]*ventas[[#This Row],[descuento_pct]]</f>
        <v>0</v>
      </c>
      <c r="T220">
        <f>ventas[[#This Row],[Total_Productos]]-ventas[[#This Row],[Valor_descuento]]</f>
        <v>1300000</v>
      </c>
    </row>
    <row r="221" spans="1:20" x14ac:dyDescent="0.3">
      <c r="A221">
        <v>321</v>
      </c>
      <c r="B221" s="1">
        <v>45248</v>
      </c>
      <c r="C221">
        <v>25</v>
      </c>
      <c r="D221">
        <v>3</v>
      </c>
      <c r="E221">
        <v>191</v>
      </c>
      <c r="F221" t="s">
        <v>203</v>
      </c>
      <c r="G221" t="s">
        <v>204</v>
      </c>
      <c r="H221" t="s">
        <v>42</v>
      </c>
      <c r="I221">
        <v>32</v>
      </c>
      <c r="J221" t="s">
        <v>76</v>
      </c>
      <c r="K221" t="str">
        <f>_xlfn.XLOOKUP( ventas[[#This Row],[ciudad_cliente]],  ciudades[Ciudad], ciudades[Region])</f>
        <v>Los Lagos</v>
      </c>
      <c r="L221" t="s">
        <v>38</v>
      </c>
      <c r="M221" t="s">
        <v>46</v>
      </c>
      <c r="N221" t="str">
        <f>_xlfn.XLOOKUP(ventas[[#This Row],[producto]], categ[Producto], categ[Categoria])</f>
        <v>Tecnología</v>
      </c>
      <c r="O221">
        <v>750000</v>
      </c>
      <c r="P221">
        <v>3</v>
      </c>
      <c r="Q221" s="11">
        <v>0</v>
      </c>
      <c r="R221">
        <f>(ventas[[#This Row],[precio_unitario]]*ventas[[#This Row],[cantidad]])</f>
        <v>2250000</v>
      </c>
      <c r="S221">
        <f>ventas[[#This Row],[Total_Productos]]*ventas[[#This Row],[descuento_pct]]</f>
        <v>0</v>
      </c>
      <c r="T221">
        <f>ventas[[#This Row],[Total_Productos]]-ventas[[#This Row],[Valor_descuento]]</f>
        <v>2250000</v>
      </c>
    </row>
    <row r="222" spans="1:20" x14ac:dyDescent="0.3">
      <c r="A222">
        <v>337</v>
      </c>
      <c r="B222" s="1">
        <v>45264</v>
      </c>
      <c r="C222">
        <v>26</v>
      </c>
      <c r="D222">
        <v>6</v>
      </c>
      <c r="E222">
        <v>191</v>
      </c>
      <c r="F222" t="s">
        <v>203</v>
      </c>
      <c r="G222" t="s">
        <v>204</v>
      </c>
      <c r="H222" t="s">
        <v>42</v>
      </c>
      <c r="I222">
        <v>32</v>
      </c>
      <c r="J222" t="s">
        <v>101</v>
      </c>
      <c r="K222" t="str">
        <f>_xlfn.XLOOKUP( ventas[[#This Row],[ciudad_cliente]],  ciudades[Ciudad], ciudades[Region])</f>
        <v>O'Higgins</v>
      </c>
      <c r="L222" t="s">
        <v>22</v>
      </c>
      <c r="M222" t="s">
        <v>62</v>
      </c>
      <c r="N222" t="str">
        <f>_xlfn.XLOOKUP(ventas[[#This Row],[producto]], categ[Producto], categ[Categoria])</f>
        <v>Electrohogar</v>
      </c>
      <c r="O222">
        <v>650000</v>
      </c>
      <c r="P222">
        <v>1</v>
      </c>
      <c r="Q222" s="11">
        <v>0</v>
      </c>
      <c r="R222">
        <f>(ventas[[#This Row],[precio_unitario]]*ventas[[#This Row],[cantidad]])</f>
        <v>650000</v>
      </c>
      <c r="S222">
        <f>ventas[[#This Row],[Total_Productos]]*ventas[[#This Row],[descuento_pct]]</f>
        <v>0</v>
      </c>
      <c r="T222">
        <f>ventas[[#This Row],[Total_Productos]]-ventas[[#This Row],[Valor_descuento]]</f>
        <v>650000</v>
      </c>
    </row>
    <row r="223" spans="1:20" x14ac:dyDescent="0.3">
      <c r="A223">
        <v>419</v>
      </c>
      <c r="B223" s="1">
        <v>45346</v>
      </c>
      <c r="C223">
        <v>25</v>
      </c>
      <c r="D223">
        <v>3</v>
      </c>
      <c r="E223">
        <v>191</v>
      </c>
      <c r="F223" t="s">
        <v>203</v>
      </c>
      <c r="G223" t="s">
        <v>204</v>
      </c>
      <c r="H223" t="s">
        <v>42</v>
      </c>
      <c r="I223">
        <v>32</v>
      </c>
      <c r="J223" t="s">
        <v>76</v>
      </c>
      <c r="K223" t="str">
        <f>_xlfn.XLOOKUP( ventas[[#This Row],[ciudad_cliente]],  ciudades[Ciudad], ciudades[Region])</f>
        <v>Los Lagos</v>
      </c>
      <c r="L223" t="s">
        <v>22</v>
      </c>
      <c r="M223" t="s">
        <v>30</v>
      </c>
      <c r="N223" t="str">
        <f>_xlfn.XLOOKUP(ventas[[#This Row],[producto]], categ[Producto], categ[Categoria])</f>
        <v>Electrohogar</v>
      </c>
      <c r="O223">
        <v>700000</v>
      </c>
      <c r="P223">
        <v>2</v>
      </c>
      <c r="Q223" s="11">
        <v>0</v>
      </c>
      <c r="R223">
        <f>(ventas[[#This Row],[precio_unitario]]*ventas[[#This Row],[cantidad]])</f>
        <v>1400000</v>
      </c>
      <c r="S223">
        <f>ventas[[#This Row],[Total_Productos]]*ventas[[#This Row],[descuento_pct]]</f>
        <v>0</v>
      </c>
      <c r="T223">
        <f>ventas[[#This Row],[Total_Productos]]-ventas[[#This Row],[Valor_descuento]]</f>
        <v>1400000</v>
      </c>
    </row>
    <row r="224" spans="1:20" x14ac:dyDescent="0.3">
      <c r="A224">
        <v>444</v>
      </c>
      <c r="B224" s="1">
        <v>45371</v>
      </c>
      <c r="C224">
        <v>57</v>
      </c>
      <c r="D224">
        <v>3</v>
      </c>
      <c r="E224">
        <v>191</v>
      </c>
      <c r="F224" t="s">
        <v>203</v>
      </c>
      <c r="G224" t="s">
        <v>204</v>
      </c>
      <c r="H224" t="s">
        <v>42</v>
      </c>
      <c r="I224">
        <v>32</v>
      </c>
      <c r="J224" t="s">
        <v>52</v>
      </c>
      <c r="K224" t="str">
        <f>_xlfn.XLOOKUP( ventas[[#This Row],[ciudad_cliente]],  ciudades[Ciudad], ciudades[Region])</f>
        <v>Biobío</v>
      </c>
      <c r="L224" t="s">
        <v>22</v>
      </c>
      <c r="M224" t="s">
        <v>102</v>
      </c>
      <c r="N224" t="str">
        <f>_xlfn.XLOOKUP(ventas[[#This Row],[producto]], categ[Producto], categ[Categoria])</f>
        <v>Vestuario</v>
      </c>
      <c r="O224">
        <v>12000</v>
      </c>
      <c r="P224">
        <v>3</v>
      </c>
      <c r="Q224" s="11">
        <v>0.1</v>
      </c>
      <c r="R224">
        <f>(ventas[[#This Row],[precio_unitario]]*ventas[[#This Row],[cantidad]])</f>
        <v>36000</v>
      </c>
      <c r="S224">
        <f>ventas[[#This Row],[Total_Productos]]*ventas[[#This Row],[descuento_pct]]</f>
        <v>3600</v>
      </c>
      <c r="T224">
        <f>ventas[[#This Row],[Total_Productos]]-ventas[[#This Row],[Valor_descuento]]</f>
        <v>32400</v>
      </c>
    </row>
    <row r="225" spans="1:20" x14ac:dyDescent="0.3">
      <c r="A225">
        <v>606</v>
      </c>
      <c r="B225" s="1">
        <v>45533</v>
      </c>
      <c r="C225">
        <v>14</v>
      </c>
      <c r="D225">
        <v>0</v>
      </c>
      <c r="E225">
        <v>191</v>
      </c>
      <c r="F225" t="s">
        <v>203</v>
      </c>
      <c r="G225" t="s">
        <v>204</v>
      </c>
      <c r="H225" t="s">
        <v>42</v>
      </c>
      <c r="I225">
        <v>32</v>
      </c>
      <c r="J225" t="s">
        <v>34</v>
      </c>
      <c r="K225" t="str">
        <f>_xlfn.XLOOKUP( ventas[[#This Row],[ciudad_cliente]],  ciudades[Ciudad], ciudades[Region])</f>
        <v>Metropolitana</v>
      </c>
      <c r="L225" t="s">
        <v>38</v>
      </c>
      <c r="M225" t="s">
        <v>30</v>
      </c>
      <c r="N225" t="str">
        <f>_xlfn.XLOOKUP(ventas[[#This Row],[producto]], categ[Producto], categ[Categoria])</f>
        <v>Electrohogar</v>
      </c>
      <c r="O225">
        <v>700000</v>
      </c>
      <c r="P225">
        <v>1</v>
      </c>
      <c r="Q225" s="11">
        <v>0.1</v>
      </c>
      <c r="R225">
        <f>(ventas[[#This Row],[precio_unitario]]*ventas[[#This Row],[cantidad]])</f>
        <v>700000</v>
      </c>
      <c r="S225">
        <f>ventas[[#This Row],[Total_Productos]]*ventas[[#This Row],[descuento_pct]]</f>
        <v>70000</v>
      </c>
      <c r="T225">
        <f>ventas[[#This Row],[Total_Productos]]-ventas[[#This Row],[Valor_descuento]]</f>
        <v>630000</v>
      </c>
    </row>
    <row r="226" spans="1:20" x14ac:dyDescent="0.3">
      <c r="A226">
        <v>901</v>
      </c>
      <c r="B226" s="1">
        <v>45828</v>
      </c>
      <c r="C226">
        <v>27</v>
      </c>
      <c r="D226">
        <v>4</v>
      </c>
      <c r="E226">
        <v>191</v>
      </c>
      <c r="F226" t="s">
        <v>203</v>
      </c>
      <c r="G226" t="s">
        <v>204</v>
      </c>
      <c r="H226" t="s">
        <v>42</v>
      </c>
      <c r="I226">
        <v>32</v>
      </c>
      <c r="J226" t="s">
        <v>116</v>
      </c>
      <c r="K226" t="str">
        <f>_xlfn.XLOOKUP( ventas[[#This Row],[ciudad_cliente]],  ciudades[Ciudad], ciudades[Region])</f>
        <v>Valparaíso</v>
      </c>
      <c r="L226" t="s">
        <v>22</v>
      </c>
      <c r="M226" t="s">
        <v>102</v>
      </c>
      <c r="N226" t="str">
        <f>_xlfn.XLOOKUP(ventas[[#This Row],[producto]], categ[Producto], categ[Categoria])</f>
        <v>Vestuario</v>
      </c>
      <c r="O226">
        <v>12000</v>
      </c>
      <c r="P226">
        <v>3</v>
      </c>
      <c r="Q226" s="11">
        <v>0</v>
      </c>
      <c r="R226">
        <f>(ventas[[#This Row],[precio_unitario]]*ventas[[#This Row],[cantidad]])</f>
        <v>36000</v>
      </c>
      <c r="S226">
        <f>ventas[[#This Row],[Total_Productos]]*ventas[[#This Row],[descuento_pct]]</f>
        <v>0</v>
      </c>
      <c r="T226">
        <f>ventas[[#This Row],[Total_Productos]]-ventas[[#This Row],[Valor_descuento]]</f>
        <v>36000</v>
      </c>
    </row>
    <row r="227" spans="1:20" x14ac:dyDescent="0.3">
      <c r="A227">
        <v>80</v>
      </c>
      <c r="B227" s="1">
        <v>45007</v>
      </c>
      <c r="C227">
        <v>39</v>
      </c>
      <c r="D227">
        <v>6</v>
      </c>
      <c r="E227">
        <v>121</v>
      </c>
      <c r="F227" t="s">
        <v>195</v>
      </c>
      <c r="G227" t="s">
        <v>196</v>
      </c>
      <c r="H227" t="s">
        <v>19</v>
      </c>
      <c r="I227">
        <v>47</v>
      </c>
      <c r="J227" t="s">
        <v>43</v>
      </c>
      <c r="K227" t="str">
        <f>_xlfn.XLOOKUP( ventas[[#This Row],[ciudad_cliente]],  ciudades[Ciudad], ciudades[Region])</f>
        <v>Antofagasta</v>
      </c>
      <c r="L227" t="s">
        <v>38</v>
      </c>
      <c r="M227" t="s">
        <v>62</v>
      </c>
      <c r="N227" t="str">
        <f>_xlfn.XLOOKUP(ventas[[#This Row],[producto]], categ[Producto], categ[Categoria])</f>
        <v>Electrohogar</v>
      </c>
      <c r="O227">
        <v>650000</v>
      </c>
      <c r="P227">
        <v>2</v>
      </c>
      <c r="Q227" s="11">
        <v>0.1</v>
      </c>
      <c r="R227">
        <f>(ventas[[#This Row],[precio_unitario]]*ventas[[#This Row],[cantidad]])</f>
        <v>1300000</v>
      </c>
      <c r="S227">
        <f>ventas[[#This Row],[Total_Productos]]*ventas[[#This Row],[descuento_pct]]</f>
        <v>130000</v>
      </c>
      <c r="T227">
        <f>ventas[[#This Row],[Total_Productos]]-ventas[[#This Row],[Valor_descuento]]</f>
        <v>1170000</v>
      </c>
    </row>
    <row r="228" spans="1:20" x14ac:dyDescent="0.3">
      <c r="A228">
        <v>538</v>
      </c>
      <c r="B228" s="1">
        <v>45465</v>
      </c>
      <c r="C228">
        <v>30</v>
      </c>
      <c r="D228">
        <v>0</v>
      </c>
      <c r="E228">
        <v>121</v>
      </c>
      <c r="F228" t="s">
        <v>195</v>
      </c>
      <c r="G228" t="s">
        <v>196</v>
      </c>
      <c r="H228" t="s">
        <v>19</v>
      </c>
      <c r="I228">
        <v>47</v>
      </c>
      <c r="J228" t="s">
        <v>37</v>
      </c>
      <c r="K228" t="str">
        <f>_xlfn.XLOOKUP( ventas[[#This Row],[ciudad_cliente]],  ciudades[Ciudad], ciudades[Region])</f>
        <v>Valparaíso</v>
      </c>
      <c r="L228" t="s">
        <v>29</v>
      </c>
      <c r="M228" t="s">
        <v>98</v>
      </c>
      <c r="N228" t="str">
        <f>_xlfn.XLOOKUP(ventas[[#This Row],[producto]], categ[Producto], categ[Categoria])</f>
        <v>Calzado</v>
      </c>
      <c r="O228">
        <v>55000</v>
      </c>
      <c r="P228">
        <v>3</v>
      </c>
      <c r="Q228" s="11">
        <v>0.1</v>
      </c>
      <c r="R228">
        <f>(ventas[[#This Row],[precio_unitario]]*ventas[[#This Row],[cantidad]])</f>
        <v>165000</v>
      </c>
      <c r="S228">
        <f>ventas[[#This Row],[Total_Productos]]*ventas[[#This Row],[descuento_pct]]</f>
        <v>16500</v>
      </c>
      <c r="T228">
        <f>ventas[[#This Row],[Total_Productos]]-ventas[[#This Row],[Valor_descuento]]</f>
        <v>148500</v>
      </c>
    </row>
    <row r="229" spans="1:20" x14ac:dyDescent="0.3">
      <c r="A229">
        <v>693</v>
      </c>
      <c r="B229" s="1">
        <v>45620</v>
      </c>
      <c r="C229">
        <v>4</v>
      </c>
      <c r="D229">
        <v>3</v>
      </c>
      <c r="E229">
        <v>121</v>
      </c>
      <c r="F229" t="s">
        <v>195</v>
      </c>
      <c r="G229" t="s">
        <v>196</v>
      </c>
      <c r="H229" t="s">
        <v>19</v>
      </c>
      <c r="I229">
        <v>47</v>
      </c>
      <c r="J229" t="s">
        <v>52</v>
      </c>
      <c r="K229" t="str">
        <f>_xlfn.XLOOKUP( ventas[[#This Row],[ciudad_cliente]],  ciudades[Ciudad], ciudades[Region])</f>
        <v>Biobío</v>
      </c>
      <c r="L229" t="s">
        <v>29</v>
      </c>
      <c r="M229" t="s">
        <v>56</v>
      </c>
      <c r="N229" t="str">
        <f>_xlfn.XLOOKUP(ventas[[#This Row],[producto]], categ[Producto], categ[Categoria])</f>
        <v>Vestuario</v>
      </c>
      <c r="O229">
        <v>25000</v>
      </c>
      <c r="P229">
        <v>1</v>
      </c>
      <c r="Q229" s="11">
        <v>0</v>
      </c>
      <c r="R229">
        <f>(ventas[[#This Row],[precio_unitario]]*ventas[[#This Row],[cantidad]])</f>
        <v>25000</v>
      </c>
      <c r="S229">
        <f>ventas[[#This Row],[Total_Productos]]*ventas[[#This Row],[descuento_pct]]</f>
        <v>0</v>
      </c>
      <c r="T229">
        <f>ventas[[#This Row],[Total_Productos]]-ventas[[#This Row],[Valor_descuento]]</f>
        <v>25000</v>
      </c>
    </row>
    <row r="230" spans="1:20" x14ac:dyDescent="0.3">
      <c r="A230">
        <v>760</v>
      </c>
      <c r="B230" s="1">
        <v>45687</v>
      </c>
      <c r="C230">
        <v>10</v>
      </c>
      <c r="D230">
        <v>7</v>
      </c>
      <c r="E230">
        <v>121</v>
      </c>
      <c r="F230" t="s">
        <v>195</v>
      </c>
      <c r="G230" t="s">
        <v>196</v>
      </c>
      <c r="H230" t="s">
        <v>19</v>
      </c>
      <c r="I230">
        <v>47</v>
      </c>
      <c r="J230" t="s">
        <v>37</v>
      </c>
      <c r="K230" t="str">
        <f>_xlfn.XLOOKUP( ventas[[#This Row],[ciudad_cliente]],  ciudades[Ciudad], ciudades[Region])</f>
        <v>Valparaíso</v>
      </c>
      <c r="L230" t="s">
        <v>38</v>
      </c>
      <c r="M230" t="s">
        <v>62</v>
      </c>
      <c r="N230" t="str">
        <f>_xlfn.XLOOKUP(ventas[[#This Row],[producto]], categ[Producto], categ[Categoria])</f>
        <v>Electrohogar</v>
      </c>
      <c r="O230">
        <v>650000</v>
      </c>
      <c r="P230">
        <v>2</v>
      </c>
      <c r="Q230" s="11">
        <v>0.05</v>
      </c>
      <c r="R230">
        <f>(ventas[[#This Row],[precio_unitario]]*ventas[[#This Row],[cantidad]])</f>
        <v>1300000</v>
      </c>
      <c r="S230">
        <f>ventas[[#This Row],[Total_Productos]]*ventas[[#This Row],[descuento_pct]]</f>
        <v>65000</v>
      </c>
      <c r="T230">
        <f>ventas[[#This Row],[Total_Productos]]-ventas[[#This Row],[Valor_descuento]]</f>
        <v>1235000</v>
      </c>
    </row>
    <row r="231" spans="1:20" x14ac:dyDescent="0.3">
      <c r="A231">
        <v>949</v>
      </c>
      <c r="B231" s="1">
        <v>45876</v>
      </c>
      <c r="C231">
        <v>11</v>
      </c>
      <c r="D231">
        <v>0</v>
      </c>
      <c r="E231">
        <v>121</v>
      </c>
      <c r="F231" t="s">
        <v>195</v>
      </c>
      <c r="G231" t="s">
        <v>196</v>
      </c>
      <c r="H231" t="s">
        <v>19</v>
      </c>
      <c r="I231">
        <v>47</v>
      </c>
      <c r="J231" t="s">
        <v>43</v>
      </c>
      <c r="K231" t="str">
        <f>_xlfn.XLOOKUP( ventas[[#This Row],[ciudad_cliente]],  ciudades[Ciudad], ciudades[Region])</f>
        <v>Antofagasta</v>
      </c>
      <c r="L231" t="s">
        <v>38</v>
      </c>
      <c r="M231" t="s">
        <v>102</v>
      </c>
      <c r="N231" t="str">
        <f>_xlfn.XLOOKUP(ventas[[#This Row],[producto]], categ[Producto], categ[Categoria])</f>
        <v>Vestuario</v>
      </c>
      <c r="O231">
        <v>12000</v>
      </c>
      <c r="P231">
        <v>2</v>
      </c>
      <c r="Q231" s="11">
        <v>0</v>
      </c>
      <c r="R231">
        <f>(ventas[[#This Row],[precio_unitario]]*ventas[[#This Row],[cantidad]])</f>
        <v>24000</v>
      </c>
      <c r="S231">
        <f>ventas[[#This Row],[Total_Productos]]*ventas[[#This Row],[descuento_pct]]</f>
        <v>0</v>
      </c>
      <c r="T231">
        <f>ventas[[#This Row],[Total_Productos]]-ventas[[#This Row],[Valor_descuento]]</f>
        <v>24000</v>
      </c>
    </row>
    <row r="232" spans="1:20" x14ac:dyDescent="0.3">
      <c r="A232">
        <v>259</v>
      </c>
      <c r="B232" s="1">
        <v>45186</v>
      </c>
      <c r="C232">
        <v>7</v>
      </c>
      <c r="D232">
        <v>8</v>
      </c>
      <c r="E232">
        <v>197</v>
      </c>
      <c r="F232" t="s">
        <v>406</v>
      </c>
      <c r="G232" t="s">
        <v>407</v>
      </c>
      <c r="H232" t="s">
        <v>42</v>
      </c>
      <c r="I232">
        <v>27</v>
      </c>
      <c r="J232" t="s">
        <v>37</v>
      </c>
      <c r="K232" t="str">
        <f>_xlfn.XLOOKUP( ventas[[#This Row],[ciudad_cliente]],  ciudades[Ciudad], ciudades[Region])</f>
        <v>Valparaíso</v>
      </c>
      <c r="L232" t="s">
        <v>22</v>
      </c>
      <c r="M232" t="s">
        <v>30</v>
      </c>
      <c r="N232" t="str">
        <f>_xlfn.XLOOKUP(ventas[[#This Row],[producto]], categ[Producto], categ[Categoria])</f>
        <v>Electrohogar</v>
      </c>
      <c r="O232">
        <v>700000</v>
      </c>
      <c r="P232">
        <v>1</v>
      </c>
      <c r="Q232" s="11">
        <v>0.1</v>
      </c>
      <c r="R232">
        <f>(ventas[[#This Row],[precio_unitario]]*ventas[[#This Row],[cantidad]])</f>
        <v>700000</v>
      </c>
      <c r="S232">
        <f>ventas[[#This Row],[Total_Productos]]*ventas[[#This Row],[descuento_pct]]</f>
        <v>70000</v>
      </c>
      <c r="T232">
        <f>ventas[[#This Row],[Total_Productos]]-ventas[[#This Row],[Valor_descuento]]</f>
        <v>630000</v>
      </c>
    </row>
    <row r="233" spans="1:20" x14ac:dyDescent="0.3">
      <c r="A233">
        <v>482</v>
      </c>
      <c r="B233" s="1">
        <v>45409</v>
      </c>
      <c r="C233">
        <v>59</v>
      </c>
      <c r="D233">
        <v>1</v>
      </c>
      <c r="E233">
        <v>197</v>
      </c>
      <c r="F233" t="s">
        <v>406</v>
      </c>
      <c r="G233" t="s">
        <v>407</v>
      </c>
      <c r="H233" t="s">
        <v>42</v>
      </c>
      <c r="I233">
        <v>27</v>
      </c>
      <c r="J233" t="s">
        <v>43</v>
      </c>
      <c r="K233" t="str">
        <f>_xlfn.XLOOKUP( ventas[[#This Row],[ciudad_cliente]],  ciudades[Ciudad], ciudades[Region])</f>
        <v>Antofagasta</v>
      </c>
      <c r="L233" t="s">
        <v>22</v>
      </c>
      <c r="M233" t="s">
        <v>30</v>
      </c>
      <c r="N233" t="str">
        <f>_xlfn.XLOOKUP(ventas[[#This Row],[producto]], categ[Producto], categ[Categoria])</f>
        <v>Electrohogar</v>
      </c>
      <c r="O233">
        <v>700000</v>
      </c>
      <c r="P233">
        <v>1</v>
      </c>
      <c r="Q233" s="11">
        <v>0</v>
      </c>
      <c r="R233">
        <f>(ventas[[#This Row],[precio_unitario]]*ventas[[#This Row],[cantidad]])</f>
        <v>700000</v>
      </c>
      <c r="S233">
        <f>ventas[[#This Row],[Total_Productos]]*ventas[[#This Row],[descuento_pct]]</f>
        <v>0</v>
      </c>
      <c r="T233">
        <f>ventas[[#This Row],[Total_Productos]]-ventas[[#This Row],[Valor_descuento]]</f>
        <v>700000</v>
      </c>
    </row>
    <row r="234" spans="1:20" x14ac:dyDescent="0.3">
      <c r="A234">
        <v>523</v>
      </c>
      <c r="B234" s="1">
        <v>45450</v>
      </c>
      <c r="C234">
        <v>9</v>
      </c>
      <c r="D234">
        <v>9</v>
      </c>
      <c r="E234">
        <v>152</v>
      </c>
      <c r="F234" t="s">
        <v>544</v>
      </c>
      <c r="G234" t="s">
        <v>545</v>
      </c>
      <c r="H234" t="s">
        <v>42</v>
      </c>
      <c r="I234">
        <v>42</v>
      </c>
      <c r="J234" t="s">
        <v>37</v>
      </c>
      <c r="K234" t="str">
        <f>_xlfn.XLOOKUP( ventas[[#This Row],[ciudad_cliente]],  ciudades[Ciudad], ciudades[Region])</f>
        <v>Valparaíso</v>
      </c>
      <c r="L234" t="s">
        <v>22</v>
      </c>
      <c r="M234" t="s">
        <v>46</v>
      </c>
      <c r="N234" t="str">
        <f>_xlfn.XLOOKUP(ventas[[#This Row],[producto]], categ[Producto], categ[Categoria])</f>
        <v>Tecnología</v>
      </c>
      <c r="O234">
        <v>750000</v>
      </c>
      <c r="P234">
        <v>1</v>
      </c>
      <c r="Q234" s="11">
        <v>0.1</v>
      </c>
      <c r="R234">
        <f>(ventas[[#This Row],[precio_unitario]]*ventas[[#This Row],[cantidad]])</f>
        <v>750000</v>
      </c>
      <c r="S234">
        <f>ventas[[#This Row],[Total_Productos]]*ventas[[#This Row],[descuento_pct]]</f>
        <v>75000</v>
      </c>
      <c r="T234">
        <f>ventas[[#This Row],[Total_Productos]]-ventas[[#This Row],[Valor_descuento]]</f>
        <v>675000</v>
      </c>
    </row>
    <row r="235" spans="1:20" x14ac:dyDescent="0.3">
      <c r="A235">
        <v>626</v>
      </c>
      <c r="B235" s="1">
        <v>45553</v>
      </c>
      <c r="C235">
        <v>45</v>
      </c>
      <c r="D235">
        <v>2</v>
      </c>
      <c r="E235">
        <v>152</v>
      </c>
      <c r="F235" t="s">
        <v>544</v>
      </c>
      <c r="G235" t="s">
        <v>545</v>
      </c>
      <c r="H235" t="s">
        <v>42</v>
      </c>
      <c r="I235">
        <v>42</v>
      </c>
      <c r="J235" t="s">
        <v>27</v>
      </c>
      <c r="K235" t="str">
        <f>_xlfn.XLOOKUP( ventas[[#This Row],[ciudad_cliente]],  ciudades[Ciudad], ciudades[Region])</f>
        <v>Biobío</v>
      </c>
      <c r="L235" t="s">
        <v>22</v>
      </c>
      <c r="M235" t="s">
        <v>30</v>
      </c>
      <c r="N235" t="str">
        <f>_xlfn.XLOOKUP(ventas[[#This Row],[producto]], categ[Producto], categ[Categoria])</f>
        <v>Electrohogar</v>
      </c>
      <c r="O235">
        <v>700000</v>
      </c>
      <c r="P235">
        <v>2</v>
      </c>
      <c r="Q235" s="11">
        <v>0</v>
      </c>
      <c r="R235">
        <f>(ventas[[#This Row],[precio_unitario]]*ventas[[#This Row],[cantidad]])</f>
        <v>1400000</v>
      </c>
      <c r="S235">
        <f>ventas[[#This Row],[Total_Productos]]*ventas[[#This Row],[descuento_pct]]</f>
        <v>0</v>
      </c>
      <c r="T235">
        <f>ventas[[#This Row],[Total_Productos]]-ventas[[#This Row],[Valor_descuento]]</f>
        <v>1400000</v>
      </c>
    </row>
    <row r="236" spans="1:20" x14ac:dyDescent="0.3">
      <c r="A236">
        <v>899</v>
      </c>
      <c r="B236" s="1">
        <v>45826</v>
      </c>
      <c r="C236">
        <v>52</v>
      </c>
      <c r="D236">
        <v>0</v>
      </c>
      <c r="E236">
        <v>152</v>
      </c>
      <c r="F236" t="s">
        <v>544</v>
      </c>
      <c r="G236" t="s">
        <v>545</v>
      </c>
      <c r="H236" t="s">
        <v>42</v>
      </c>
      <c r="I236">
        <v>42</v>
      </c>
      <c r="J236" t="s">
        <v>27</v>
      </c>
      <c r="K236" t="str">
        <f>_xlfn.XLOOKUP( ventas[[#This Row],[ciudad_cliente]],  ciudades[Ciudad], ciudades[Region])</f>
        <v>Biobío</v>
      </c>
      <c r="L236" t="s">
        <v>22</v>
      </c>
      <c r="M236" t="s">
        <v>62</v>
      </c>
      <c r="N236" t="str">
        <f>_xlfn.XLOOKUP(ventas[[#This Row],[producto]], categ[Producto], categ[Categoria])</f>
        <v>Electrohogar</v>
      </c>
      <c r="O236">
        <v>650000</v>
      </c>
      <c r="P236">
        <v>3</v>
      </c>
      <c r="Q236" s="11">
        <v>0.1</v>
      </c>
      <c r="R236">
        <f>(ventas[[#This Row],[precio_unitario]]*ventas[[#This Row],[cantidad]])</f>
        <v>1950000</v>
      </c>
      <c r="S236">
        <f>ventas[[#This Row],[Total_Productos]]*ventas[[#This Row],[descuento_pct]]</f>
        <v>195000</v>
      </c>
      <c r="T236">
        <f>ventas[[#This Row],[Total_Productos]]-ventas[[#This Row],[Valor_descuento]]</f>
        <v>1755000</v>
      </c>
    </row>
    <row r="237" spans="1:20" x14ac:dyDescent="0.3">
      <c r="A237">
        <v>973</v>
      </c>
      <c r="B237" s="1">
        <v>45900</v>
      </c>
      <c r="C237">
        <v>15</v>
      </c>
      <c r="D237">
        <v>0</v>
      </c>
      <c r="E237">
        <v>152</v>
      </c>
      <c r="F237" t="s">
        <v>544</v>
      </c>
      <c r="G237" t="s">
        <v>545</v>
      </c>
      <c r="H237" t="s">
        <v>42</v>
      </c>
      <c r="I237">
        <v>42</v>
      </c>
      <c r="J237" t="s">
        <v>34</v>
      </c>
      <c r="K237" t="str">
        <f>_xlfn.XLOOKUP( ventas[[#This Row],[ciudad_cliente]],  ciudades[Ciudad], ciudades[Region])</f>
        <v>Metropolitana</v>
      </c>
      <c r="L237" t="s">
        <v>22</v>
      </c>
      <c r="M237" t="s">
        <v>30</v>
      </c>
      <c r="N237" t="str">
        <f>_xlfn.XLOOKUP(ventas[[#This Row],[producto]], categ[Producto], categ[Categoria])</f>
        <v>Electrohogar</v>
      </c>
      <c r="O237">
        <v>700000</v>
      </c>
      <c r="P237">
        <v>1</v>
      </c>
      <c r="Q237" s="11">
        <v>0.1</v>
      </c>
      <c r="R237">
        <f>(ventas[[#This Row],[precio_unitario]]*ventas[[#This Row],[cantidad]])</f>
        <v>700000</v>
      </c>
      <c r="S237">
        <f>ventas[[#This Row],[Total_Productos]]*ventas[[#This Row],[descuento_pct]]</f>
        <v>70000</v>
      </c>
      <c r="T237">
        <f>ventas[[#This Row],[Total_Productos]]-ventas[[#This Row],[Valor_descuento]]</f>
        <v>630000</v>
      </c>
    </row>
    <row r="238" spans="1:20" x14ac:dyDescent="0.3">
      <c r="A238">
        <v>297</v>
      </c>
      <c r="B238" s="1">
        <v>45224</v>
      </c>
      <c r="C238">
        <v>6</v>
      </c>
      <c r="D238">
        <v>2</v>
      </c>
      <c r="E238">
        <v>223</v>
      </c>
      <c r="F238" t="s">
        <v>436</v>
      </c>
      <c r="G238" t="s">
        <v>437</v>
      </c>
      <c r="H238" t="s">
        <v>19</v>
      </c>
      <c r="I238">
        <v>46</v>
      </c>
      <c r="J238" t="s">
        <v>52</v>
      </c>
      <c r="K238" t="str">
        <f>_xlfn.XLOOKUP( ventas[[#This Row],[ciudad_cliente]],  ciudades[Ciudad], ciudades[Region])</f>
        <v>Biobío</v>
      </c>
      <c r="L238" t="s">
        <v>22</v>
      </c>
      <c r="M238" t="s">
        <v>30</v>
      </c>
      <c r="N238" t="str">
        <f>_xlfn.XLOOKUP(ventas[[#This Row],[producto]], categ[Producto], categ[Categoria])</f>
        <v>Electrohogar</v>
      </c>
      <c r="O238">
        <v>700000</v>
      </c>
      <c r="P238">
        <v>1</v>
      </c>
      <c r="Q238" s="11">
        <v>0.05</v>
      </c>
      <c r="R238">
        <f>(ventas[[#This Row],[precio_unitario]]*ventas[[#This Row],[cantidad]])</f>
        <v>700000</v>
      </c>
      <c r="S238">
        <f>ventas[[#This Row],[Total_Productos]]*ventas[[#This Row],[descuento_pct]]</f>
        <v>35000</v>
      </c>
      <c r="T238">
        <f>ventas[[#This Row],[Total_Productos]]-ventas[[#This Row],[Valor_descuento]]</f>
        <v>665000</v>
      </c>
    </row>
    <row r="239" spans="1:20" x14ac:dyDescent="0.3">
      <c r="A239">
        <v>32</v>
      </c>
      <c r="B239" s="1">
        <v>44959</v>
      </c>
      <c r="C239">
        <v>65</v>
      </c>
      <c r="D239">
        <v>0</v>
      </c>
      <c r="E239">
        <v>43</v>
      </c>
      <c r="F239" t="s">
        <v>112</v>
      </c>
      <c r="G239" t="s">
        <v>113</v>
      </c>
      <c r="H239" t="s">
        <v>19</v>
      </c>
      <c r="I239">
        <v>36</v>
      </c>
      <c r="J239" t="s">
        <v>101</v>
      </c>
      <c r="K239" t="str">
        <f>_xlfn.XLOOKUP( ventas[[#This Row],[ciudad_cliente]],  ciudades[Ciudad], ciudades[Region])</f>
        <v>O'Higgins</v>
      </c>
      <c r="L239" t="s">
        <v>22</v>
      </c>
      <c r="M239" t="s">
        <v>62</v>
      </c>
      <c r="N239" t="str">
        <f>_xlfn.XLOOKUP(ventas[[#This Row],[producto]], categ[Producto], categ[Categoria])</f>
        <v>Electrohogar</v>
      </c>
      <c r="O239">
        <v>650000</v>
      </c>
      <c r="P239">
        <v>2</v>
      </c>
      <c r="Q239" s="11">
        <v>0</v>
      </c>
      <c r="R239">
        <f>(ventas[[#This Row],[precio_unitario]]*ventas[[#This Row],[cantidad]])</f>
        <v>1300000</v>
      </c>
      <c r="S239">
        <f>ventas[[#This Row],[Total_Productos]]*ventas[[#This Row],[descuento_pct]]</f>
        <v>0</v>
      </c>
      <c r="T239">
        <f>ventas[[#This Row],[Total_Productos]]-ventas[[#This Row],[Valor_descuento]]</f>
        <v>1300000</v>
      </c>
    </row>
    <row r="240" spans="1:20" x14ac:dyDescent="0.3">
      <c r="A240">
        <v>364</v>
      </c>
      <c r="B240" s="1">
        <v>45291</v>
      </c>
      <c r="C240">
        <v>8</v>
      </c>
      <c r="D240">
        <v>1</v>
      </c>
      <c r="E240">
        <v>43</v>
      </c>
      <c r="F240" t="s">
        <v>112</v>
      </c>
      <c r="G240" t="s">
        <v>113</v>
      </c>
      <c r="H240" t="s">
        <v>19</v>
      </c>
      <c r="I240">
        <v>36</v>
      </c>
      <c r="J240" t="s">
        <v>76</v>
      </c>
      <c r="K240" t="str">
        <f>_xlfn.XLOOKUP( ventas[[#This Row],[ciudad_cliente]],  ciudades[Ciudad], ciudades[Region])</f>
        <v>Los Lagos</v>
      </c>
      <c r="L240" t="s">
        <v>22</v>
      </c>
      <c r="M240" t="s">
        <v>102</v>
      </c>
      <c r="N240" t="str">
        <f>_xlfn.XLOOKUP(ventas[[#This Row],[producto]], categ[Producto], categ[Categoria])</f>
        <v>Vestuario</v>
      </c>
      <c r="O240">
        <v>12000</v>
      </c>
      <c r="P240">
        <v>1</v>
      </c>
      <c r="Q240" s="11">
        <v>0.1</v>
      </c>
      <c r="R240">
        <f>(ventas[[#This Row],[precio_unitario]]*ventas[[#This Row],[cantidad]])</f>
        <v>12000</v>
      </c>
      <c r="S240">
        <f>ventas[[#This Row],[Total_Productos]]*ventas[[#This Row],[descuento_pct]]</f>
        <v>1200</v>
      </c>
      <c r="T240">
        <f>ventas[[#This Row],[Total_Productos]]-ventas[[#This Row],[Valor_descuento]]</f>
        <v>10800</v>
      </c>
    </row>
    <row r="241" spans="1:20" x14ac:dyDescent="0.3">
      <c r="A241">
        <v>368</v>
      </c>
      <c r="B241" s="1">
        <v>45295</v>
      </c>
      <c r="C241">
        <v>5</v>
      </c>
      <c r="D241">
        <v>1</v>
      </c>
      <c r="E241">
        <v>43</v>
      </c>
      <c r="F241" t="s">
        <v>112</v>
      </c>
      <c r="G241" t="s">
        <v>113</v>
      </c>
      <c r="H241" t="s">
        <v>19</v>
      </c>
      <c r="I241">
        <v>36</v>
      </c>
      <c r="J241" t="s">
        <v>27</v>
      </c>
      <c r="K241" t="str">
        <f>_xlfn.XLOOKUP( ventas[[#This Row],[ciudad_cliente]],  ciudades[Ciudad], ciudades[Region])</f>
        <v>Biobío</v>
      </c>
      <c r="L241" t="s">
        <v>38</v>
      </c>
      <c r="M241" t="s">
        <v>62</v>
      </c>
      <c r="N241" t="str">
        <f>_xlfn.XLOOKUP(ventas[[#This Row],[producto]], categ[Producto], categ[Categoria])</f>
        <v>Electrohogar</v>
      </c>
      <c r="O241">
        <v>650000</v>
      </c>
      <c r="P241">
        <v>3</v>
      </c>
      <c r="Q241" s="11">
        <v>0</v>
      </c>
      <c r="R241">
        <f>(ventas[[#This Row],[precio_unitario]]*ventas[[#This Row],[cantidad]])</f>
        <v>1950000</v>
      </c>
      <c r="S241">
        <f>ventas[[#This Row],[Total_Productos]]*ventas[[#This Row],[descuento_pct]]</f>
        <v>0</v>
      </c>
      <c r="T241">
        <f>ventas[[#This Row],[Total_Productos]]-ventas[[#This Row],[Valor_descuento]]</f>
        <v>1950000</v>
      </c>
    </row>
    <row r="242" spans="1:20" x14ac:dyDescent="0.3">
      <c r="A242">
        <v>545</v>
      </c>
      <c r="B242" s="1">
        <v>45472</v>
      </c>
      <c r="C242">
        <v>31</v>
      </c>
      <c r="D242">
        <v>4</v>
      </c>
      <c r="E242">
        <v>43</v>
      </c>
      <c r="F242" t="s">
        <v>112</v>
      </c>
      <c r="G242" t="s">
        <v>113</v>
      </c>
      <c r="H242" t="s">
        <v>19</v>
      </c>
      <c r="I242">
        <v>36</v>
      </c>
      <c r="J242" t="s">
        <v>101</v>
      </c>
      <c r="K242" t="str">
        <f>_xlfn.XLOOKUP( ventas[[#This Row],[ciudad_cliente]],  ciudades[Ciudad], ciudades[Region])</f>
        <v>O'Higgins</v>
      </c>
      <c r="L242" t="s">
        <v>38</v>
      </c>
      <c r="M242" t="s">
        <v>23</v>
      </c>
      <c r="N242" t="str">
        <f>_xlfn.XLOOKUP(ventas[[#This Row],[producto]], categ[Producto], categ[Categoria])</f>
        <v>Belleza</v>
      </c>
      <c r="O242">
        <v>15000</v>
      </c>
      <c r="P242">
        <v>2</v>
      </c>
      <c r="Q242" s="11">
        <v>0</v>
      </c>
      <c r="R242">
        <f>(ventas[[#This Row],[precio_unitario]]*ventas[[#This Row],[cantidad]])</f>
        <v>30000</v>
      </c>
      <c r="S242">
        <f>ventas[[#This Row],[Total_Productos]]*ventas[[#This Row],[descuento_pct]]</f>
        <v>0</v>
      </c>
      <c r="T242">
        <f>ventas[[#This Row],[Total_Productos]]-ventas[[#This Row],[Valor_descuento]]</f>
        <v>30000</v>
      </c>
    </row>
    <row r="243" spans="1:20" x14ac:dyDescent="0.3">
      <c r="A243">
        <v>119</v>
      </c>
      <c r="B243" s="1">
        <v>45046</v>
      </c>
      <c r="C243">
        <v>34</v>
      </c>
      <c r="D243">
        <v>1</v>
      </c>
      <c r="E243">
        <v>116</v>
      </c>
      <c r="F243" t="s">
        <v>257</v>
      </c>
      <c r="G243" t="s">
        <v>258</v>
      </c>
      <c r="H243" t="s">
        <v>42</v>
      </c>
      <c r="I243">
        <v>41</v>
      </c>
      <c r="J243" t="s">
        <v>52</v>
      </c>
      <c r="K243" t="str">
        <f>_xlfn.XLOOKUP( ventas[[#This Row],[ciudad_cliente]],  ciudades[Ciudad], ciudades[Region])</f>
        <v>Biobío</v>
      </c>
      <c r="L243" t="s">
        <v>22</v>
      </c>
      <c r="M243" t="s">
        <v>56</v>
      </c>
      <c r="N243" t="str">
        <f>_xlfn.XLOOKUP(ventas[[#This Row],[producto]], categ[Producto], categ[Categoria])</f>
        <v>Vestuario</v>
      </c>
      <c r="O243">
        <v>25000</v>
      </c>
      <c r="P243">
        <v>1</v>
      </c>
      <c r="Q243" s="11">
        <v>0.1</v>
      </c>
      <c r="R243">
        <f>(ventas[[#This Row],[precio_unitario]]*ventas[[#This Row],[cantidad]])</f>
        <v>25000</v>
      </c>
      <c r="S243">
        <f>ventas[[#This Row],[Total_Productos]]*ventas[[#This Row],[descuento_pct]]</f>
        <v>2500</v>
      </c>
      <c r="T243">
        <f>ventas[[#This Row],[Total_Productos]]-ventas[[#This Row],[Valor_descuento]]</f>
        <v>22500</v>
      </c>
    </row>
    <row r="244" spans="1:20" x14ac:dyDescent="0.3">
      <c r="A244">
        <v>422</v>
      </c>
      <c r="B244" s="1">
        <v>45349</v>
      </c>
      <c r="C244">
        <v>52</v>
      </c>
      <c r="D244">
        <v>0</v>
      </c>
      <c r="E244">
        <v>116</v>
      </c>
      <c r="F244" t="s">
        <v>257</v>
      </c>
      <c r="G244" t="s">
        <v>258</v>
      </c>
      <c r="H244" t="s">
        <v>42</v>
      </c>
      <c r="I244">
        <v>41</v>
      </c>
      <c r="J244" t="s">
        <v>27</v>
      </c>
      <c r="K244" t="str">
        <f>_xlfn.XLOOKUP( ventas[[#This Row],[ciudad_cliente]],  ciudades[Ciudad], ciudades[Region])</f>
        <v>Biobío</v>
      </c>
      <c r="L244" t="s">
        <v>38</v>
      </c>
      <c r="M244" t="s">
        <v>98</v>
      </c>
      <c r="N244" t="str">
        <f>_xlfn.XLOOKUP(ventas[[#This Row],[producto]], categ[Producto], categ[Categoria])</f>
        <v>Calzado</v>
      </c>
      <c r="O244">
        <v>55000</v>
      </c>
      <c r="P244">
        <v>1</v>
      </c>
      <c r="Q244" s="11">
        <v>0.05</v>
      </c>
      <c r="R244">
        <f>(ventas[[#This Row],[precio_unitario]]*ventas[[#This Row],[cantidad]])</f>
        <v>55000</v>
      </c>
      <c r="S244">
        <f>ventas[[#This Row],[Total_Productos]]*ventas[[#This Row],[descuento_pct]]</f>
        <v>2750</v>
      </c>
      <c r="T244">
        <f>ventas[[#This Row],[Total_Productos]]-ventas[[#This Row],[Valor_descuento]]</f>
        <v>52250</v>
      </c>
    </row>
    <row r="245" spans="1:20" x14ac:dyDescent="0.3">
      <c r="A245">
        <v>634</v>
      </c>
      <c r="B245" s="1">
        <v>45561</v>
      </c>
      <c r="C245">
        <v>21</v>
      </c>
      <c r="D245">
        <v>5</v>
      </c>
      <c r="E245">
        <v>116</v>
      </c>
      <c r="F245" t="s">
        <v>257</v>
      </c>
      <c r="G245" t="s">
        <v>258</v>
      </c>
      <c r="H245" t="s">
        <v>42</v>
      </c>
      <c r="I245">
        <v>41</v>
      </c>
      <c r="J245" t="s">
        <v>76</v>
      </c>
      <c r="K245" t="str">
        <f>_xlfn.XLOOKUP( ventas[[#This Row],[ciudad_cliente]],  ciudades[Ciudad], ciudades[Region])</f>
        <v>Los Lagos</v>
      </c>
      <c r="L245" t="s">
        <v>22</v>
      </c>
      <c r="M245" t="s">
        <v>23</v>
      </c>
      <c r="N245" t="str">
        <f>_xlfn.XLOOKUP(ventas[[#This Row],[producto]], categ[Producto], categ[Categoria])</f>
        <v>Belleza</v>
      </c>
      <c r="O245">
        <v>15000</v>
      </c>
      <c r="P245">
        <v>1</v>
      </c>
      <c r="Q245" s="11">
        <v>0</v>
      </c>
      <c r="R245">
        <f>(ventas[[#This Row],[precio_unitario]]*ventas[[#This Row],[cantidad]])</f>
        <v>15000</v>
      </c>
      <c r="S245">
        <f>ventas[[#This Row],[Total_Productos]]*ventas[[#This Row],[descuento_pct]]</f>
        <v>0</v>
      </c>
      <c r="T245">
        <f>ventas[[#This Row],[Total_Productos]]-ventas[[#This Row],[Valor_descuento]]</f>
        <v>15000</v>
      </c>
    </row>
    <row r="246" spans="1:20" x14ac:dyDescent="0.3">
      <c r="A246">
        <v>891</v>
      </c>
      <c r="B246" s="1">
        <v>45818</v>
      </c>
      <c r="C246">
        <v>7</v>
      </c>
      <c r="D246">
        <v>8</v>
      </c>
      <c r="E246">
        <v>116</v>
      </c>
      <c r="F246" t="s">
        <v>257</v>
      </c>
      <c r="G246" t="s">
        <v>258</v>
      </c>
      <c r="H246" t="s">
        <v>42</v>
      </c>
      <c r="I246">
        <v>41</v>
      </c>
      <c r="J246" t="s">
        <v>37</v>
      </c>
      <c r="K246" t="str">
        <f>_xlfn.XLOOKUP( ventas[[#This Row],[ciudad_cliente]],  ciudades[Ciudad], ciudades[Region])</f>
        <v>Valparaíso</v>
      </c>
      <c r="L246" t="s">
        <v>38</v>
      </c>
      <c r="M246" t="s">
        <v>23</v>
      </c>
      <c r="N246" t="str">
        <f>_xlfn.XLOOKUP(ventas[[#This Row],[producto]], categ[Producto], categ[Categoria])</f>
        <v>Belleza</v>
      </c>
      <c r="O246">
        <v>15000</v>
      </c>
      <c r="P246">
        <v>2</v>
      </c>
      <c r="Q246" s="11">
        <v>0.1</v>
      </c>
      <c r="R246">
        <f>(ventas[[#This Row],[precio_unitario]]*ventas[[#This Row],[cantidad]])</f>
        <v>30000</v>
      </c>
      <c r="S246">
        <f>ventas[[#This Row],[Total_Productos]]*ventas[[#This Row],[descuento_pct]]</f>
        <v>3000</v>
      </c>
      <c r="T246">
        <f>ventas[[#This Row],[Total_Productos]]-ventas[[#This Row],[Valor_descuento]]</f>
        <v>27000</v>
      </c>
    </row>
    <row r="247" spans="1:20" x14ac:dyDescent="0.3">
      <c r="A247">
        <v>988</v>
      </c>
      <c r="B247" s="1">
        <v>45915</v>
      </c>
      <c r="C247">
        <v>44</v>
      </c>
      <c r="D247">
        <v>7</v>
      </c>
      <c r="E247">
        <v>116</v>
      </c>
      <c r="F247" t="s">
        <v>257</v>
      </c>
      <c r="G247" t="s">
        <v>258</v>
      </c>
      <c r="H247" t="s">
        <v>42</v>
      </c>
      <c r="I247">
        <v>41</v>
      </c>
      <c r="J247" t="s">
        <v>43</v>
      </c>
      <c r="K247" t="str">
        <f>_xlfn.XLOOKUP( ventas[[#This Row],[ciudad_cliente]],  ciudades[Ciudad], ciudades[Region])</f>
        <v>Antofagasta</v>
      </c>
      <c r="L247" t="s">
        <v>22</v>
      </c>
      <c r="M247" t="s">
        <v>46</v>
      </c>
      <c r="N247" t="str">
        <f>_xlfn.XLOOKUP(ventas[[#This Row],[producto]], categ[Producto], categ[Categoria])</f>
        <v>Tecnología</v>
      </c>
      <c r="O247">
        <v>750000</v>
      </c>
      <c r="P247">
        <v>2</v>
      </c>
      <c r="Q247" s="11">
        <v>0</v>
      </c>
      <c r="R247">
        <f>(ventas[[#This Row],[precio_unitario]]*ventas[[#This Row],[cantidad]])</f>
        <v>1500000</v>
      </c>
      <c r="S247">
        <f>ventas[[#This Row],[Total_Productos]]*ventas[[#This Row],[descuento_pct]]</f>
        <v>0</v>
      </c>
      <c r="T247">
        <f>ventas[[#This Row],[Total_Productos]]-ventas[[#This Row],[Valor_descuento]]</f>
        <v>1500000</v>
      </c>
    </row>
    <row r="248" spans="1:20" x14ac:dyDescent="0.3">
      <c r="A248">
        <v>249</v>
      </c>
      <c r="B248" s="1">
        <v>45176</v>
      </c>
      <c r="C248">
        <v>25</v>
      </c>
      <c r="D248">
        <v>3</v>
      </c>
      <c r="E248">
        <v>7</v>
      </c>
      <c r="F248" t="s">
        <v>398</v>
      </c>
      <c r="G248" t="s">
        <v>399</v>
      </c>
      <c r="H248" t="s">
        <v>19</v>
      </c>
      <c r="I248">
        <v>56</v>
      </c>
      <c r="J248" t="s">
        <v>76</v>
      </c>
      <c r="K248" t="str">
        <f>_xlfn.XLOOKUP( ventas[[#This Row],[ciudad_cliente]],  ciudades[Ciudad], ciudades[Region])</f>
        <v>Los Lagos</v>
      </c>
      <c r="L248" t="s">
        <v>29</v>
      </c>
      <c r="M248" t="s">
        <v>69</v>
      </c>
      <c r="N248" t="str">
        <f>_xlfn.XLOOKUP(ventas[[#This Row],[producto]], categ[Producto], categ[Categoria])</f>
        <v>Tecnología</v>
      </c>
      <c r="O248">
        <v>450000</v>
      </c>
      <c r="P248">
        <v>3</v>
      </c>
      <c r="Q248" s="11">
        <v>0</v>
      </c>
      <c r="R248">
        <f>(ventas[[#This Row],[precio_unitario]]*ventas[[#This Row],[cantidad]])</f>
        <v>1350000</v>
      </c>
      <c r="S248">
        <f>ventas[[#This Row],[Total_Productos]]*ventas[[#This Row],[descuento_pct]]</f>
        <v>0</v>
      </c>
      <c r="T248">
        <f>ventas[[#This Row],[Total_Productos]]-ventas[[#This Row],[Valor_descuento]]</f>
        <v>1350000</v>
      </c>
    </row>
    <row r="249" spans="1:20" x14ac:dyDescent="0.3">
      <c r="A249">
        <v>582</v>
      </c>
      <c r="B249" s="1">
        <v>45509</v>
      </c>
      <c r="C249">
        <v>15</v>
      </c>
      <c r="D249">
        <v>0</v>
      </c>
      <c r="E249">
        <v>7</v>
      </c>
      <c r="F249" t="s">
        <v>398</v>
      </c>
      <c r="G249" t="s">
        <v>399</v>
      </c>
      <c r="H249" t="s">
        <v>19</v>
      </c>
      <c r="I249">
        <v>56</v>
      </c>
      <c r="J249" t="s">
        <v>34</v>
      </c>
      <c r="K249" t="str">
        <f>_xlfn.XLOOKUP( ventas[[#This Row],[ciudad_cliente]],  ciudades[Ciudad], ciudades[Region])</f>
        <v>Metropolitana</v>
      </c>
      <c r="L249" t="s">
        <v>22</v>
      </c>
      <c r="M249" t="s">
        <v>39</v>
      </c>
      <c r="N249" t="str">
        <f>_xlfn.XLOOKUP(ventas[[#This Row],[producto]], categ[Producto], categ[Categoria])</f>
        <v>Belleza</v>
      </c>
      <c r="O249">
        <v>35000</v>
      </c>
      <c r="P249">
        <v>3</v>
      </c>
      <c r="Q249" s="11">
        <v>0</v>
      </c>
      <c r="R249">
        <f>(ventas[[#This Row],[precio_unitario]]*ventas[[#This Row],[cantidad]])</f>
        <v>105000</v>
      </c>
      <c r="S249">
        <f>ventas[[#This Row],[Total_Productos]]*ventas[[#This Row],[descuento_pct]]</f>
        <v>0</v>
      </c>
      <c r="T249">
        <f>ventas[[#This Row],[Total_Productos]]-ventas[[#This Row],[Valor_descuento]]</f>
        <v>105000</v>
      </c>
    </row>
    <row r="250" spans="1:20" x14ac:dyDescent="0.3">
      <c r="A250">
        <v>805</v>
      </c>
      <c r="B250" s="1">
        <v>45732</v>
      </c>
      <c r="C250">
        <v>7</v>
      </c>
      <c r="D250">
        <v>8</v>
      </c>
      <c r="E250">
        <v>7</v>
      </c>
      <c r="F250" t="s">
        <v>398</v>
      </c>
      <c r="G250" t="s">
        <v>399</v>
      </c>
      <c r="H250" t="s">
        <v>19</v>
      </c>
      <c r="I250">
        <v>56</v>
      </c>
      <c r="J250" t="s">
        <v>37</v>
      </c>
      <c r="K250" t="str">
        <f>_xlfn.XLOOKUP( ventas[[#This Row],[ciudad_cliente]],  ciudades[Ciudad], ciudades[Region])</f>
        <v>Valparaíso</v>
      </c>
      <c r="L250" t="s">
        <v>22</v>
      </c>
      <c r="M250" t="s">
        <v>49</v>
      </c>
      <c r="N250" t="str">
        <f>_xlfn.XLOOKUP(ventas[[#This Row],[producto]], categ[Producto], categ[Categoria])</f>
        <v>Electrohogar</v>
      </c>
      <c r="O250">
        <v>800000</v>
      </c>
      <c r="P250">
        <v>1</v>
      </c>
      <c r="Q250" s="11">
        <v>0</v>
      </c>
      <c r="R250">
        <f>(ventas[[#This Row],[precio_unitario]]*ventas[[#This Row],[cantidad]])</f>
        <v>800000</v>
      </c>
      <c r="S250">
        <f>ventas[[#This Row],[Total_Productos]]*ventas[[#This Row],[descuento_pct]]</f>
        <v>0</v>
      </c>
      <c r="T250">
        <f>ventas[[#This Row],[Total_Productos]]-ventas[[#This Row],[Valor_descuento]]</f>
        <v>800000</v>
      </c>
    </row>
    <row r="251" spans="1:20" x14ac:dyDescent="0.3">
      <c r="A251">
        <v>3</v>
      </c>
      <c r="B251" s="1">
        <v>44930</v>
      </c>
      <c r="C251">
        <v>68</v>
      </c>
      <c r="D251">
        <v>2</v>
      </c>
      <c r="E251">
        <v>196</v>
      </c>
      <c r="F251" t="s">
        <v>32</v>
      </c>
      <c r="G251" t="s">
        <v>33</v>
      </c>
      <c r="H251" t="s">
        <v>19</v>
      </c>
      <c r="I251">
        <v>42</v>
      </c>
      <c r="J251" t="s">
        <v>34</v>
      </c>
      <c r="K251" t="str">
        <f>_xlfn.XLOOKUP( ventas[[#This Row],[ciudad_cliente]],  ciudades[Ciudad], ciudades[Region])</f>
        <v>Metropolitana</v>
      </c>
      <c r="L251" t="s">
        <v>29</v>
      </c>
      <c r="M251" t="s">
        <v>30</v>
      </c>
      <c r="N251" t="str">
        <f>_xlfn.XLOOKUP(ventas[[#This Row],[producto]], categ[Producto], categ[Categoria])</f>
        <v>Electrohogar</v>
      </c>
      <c r="O251">
        <v>700000</v>
      </c>
      <c r="P251">
        <v>2</v>
      </c>
      <c r="Q251" s="11">
        <v>0.05</v>
      </c>
      <c r="R251">
        <f>(ventas[[#This Row],[precio_unitario]]*ventas[[#This Row],[cantidad]])</f>
        <v>1400000</v>
      </c>
      <c r="S251">
        <f>ventas[[#This Row],[Total_Productos]]*ventas[[#This Row],[descuento_pct]]</f>
        <v>70000</v>
      </c>
      <c r="T251">
        <f>ventas[[#This Row],[Total_Productos]]-ventas[[#This Row],[Valor_descuento]]</f>
        <v>1330000</v>
      </c>
    </row>
    <row r="252" spans="1:20" x14ac:dyDescent="0.3">
      <c r="A252">
        <v>61</v>
      </c>
      <c r="B252" s="1">
        <v>44988</v>
      </c>
      <c r="C252">
        <v>22</v>
      </c>
      <c r="D252">
        <v>1</v>
      </c>
      <c r="E252">
        <v>196</v>
      </c>
      <c r="F252" t="s">
        <v>32</v>
      </c>
      <c r="G252" t="s">
        <v>33</v>
      </c>
      <c r="H252" t="s">
        <v>19</v>
      </c>
      <c r="I252">
        <v>42</v>
      </c>
      <c r="J252" t="s">
        <v>116</v>
      </c>
      <c r="K252" t="str">
        <f>_xlfn.XLOOKUP( ventas[[#This Row],[ciudad_cliente]],  ciudades[Ciudad], ciudades[Region])</f>
        <v>Valparaíso</v>
      </c>
      <c r="L252" t="s">
        <v>38</v>
      </c>
      <c r="M252" t="s">
        <v>102</v>
      </c>
      <c r="N252" t="str">
        <f>_xlfn.XLOOKUP(ventas[[#This Row],[producto]], categ[Producto], categ[Categoria])</f>
        <v>Vestuario</v>
      </c>
      <c r="O252">
        <v>12000</v>
      </c>
      <c r="P252">
        <v>1</v>
      </c>
      <c r="Q252" s="11">
        <v>0.1</v>
      </c>
      <c r="R252">
        <f>(ventas[[#This Row],[precio_unitario]]*ventas[[#This Row],[cantidad]])</f>
        <v>12000</v>
      </c>
      <c r="S252">
        <f>ventas[[#This Row],[Total_Productos]]*ventas[[#This Row],[descuento_pct]]</f>
        <v>1200</v>
      </c>
      <c r="T252">
        <f>ventas[[#This Row],[Total_Productos]]-ventas[[#This Row],[Valor_descuento]]</f>
        <v>10800</v>
      </c>
    </row>
    <row r="253" spans="1:20" x14ac:dyDescent="0.3">
      <c r="A253">
        <v>284</v>
      </c>
      <c r="B253" s="1">
        <v>45211</v>
      </c>
      <c r="C253">
        <v>1</v>
      </c>
      <c r="D253">
        <v>8</v>
      </c>
      <c r="E253">
        <v>196</v>
      </c>
      <c r="F253" t="s">
        <v>32</v>
      </c>
      <c r="G253" t="s">
        <v>33</v>
      </c>
      <c r="H253" t="s">
        <v>19</v>
      </c>
      <c r="I253">
        <v>42</v>
      </c>
      <c r="J253" t="s">
        <v>34</v>
      </c>
      <c r="K253" t="str">
        <f>_xlfn.XLOOKUP( ventas[[#This Row],[ciudad_cliente]],  ciudades[Ciudad], ciudades[Region])</f>
        <v>Metropolitana</v>
      </c>
      <c r="L253" t="s">
        <v>38</v>
      </c>
      <c r="M253" t="s">
        <v>30</v>
      </c>
      <c r="N253" t="str">
        <f>_xlfn.XLOOKUP(ventas[[#This Row],[producto]], categ[Producto], categ[Categoria])</f>
        <v>Electrohogar</v>
      </c>
      <c r="O253">
        <v>700000</v>
      </c>
      <c r="P253">
        <v>2</v>
      </c>
      <c r="Q253" s="11">
        <v>0</v>
      </c>
      <c r="R253">
        <f>(ventas[[#This Row],[precio_unitario]]*ventas[[#This Row],[cantidad]])</f>
        <v>1400000</v>
      </c>
      <c r="S253">
        <f>ventas[[#This Row],[Total_Productos]]*ventas[[#This Row],[descuento_pct]]</f>
        <v>0</v>
      </c>
      <c r="T253">
        <f>ventas[[#This Row],[Total_Productos]]-ventas[[#This Row],[Valor_descuento]]</f>
        <v>1400000</v>
      </c>
    </row>
    <row r="254" spans="1:20" x14ac:dyDescent="0.3">
      <c r="A254">
        <v>537</v>
      </c>
      <c r="B254" s="1">
        <v>45464</v>
      </c>
      <c r="C254">
        <v>11</v>
      </c>
      <c r="D254">
        <v>0</v>
      </c>
      <c r="E254">
        <v>196</v>
      </c>
      <c r="F254" t="s">
        <v>32</v>
      </c>
      <c r="G254" t="s">
        <v>33</v>
      </c>
      <c r="H254" t="s">
        <v>19</v>
      </c>
      <c r="I254">
        <v>42</v>
      </c>
      <c r="J254" t="s">
        <v>43</v>
      </c>
      <c r="K254" t="str">
        <f>_xlfn.XLOOKUP( ventas[[#This Row],[ciudad_cliente]],  ciudades[Ciudad], ciudades[Region])</f>
        <v>Antofagasta</v>
      </c>
      <c r="L254" t="s">
        <v>29</v>
      </c>
      <c r="M254" t="s">
        <v>69</v>
      </c>
      <c r="N254" t="str">
        <f>_xlfn.XLOOKUP(ventas[[#This Row],[producto]], categ[Producto], categ[Categoria])</f>
        <v>Tecnología</v>
      </c>
      <c r="O254">
        <v>450000</v>
      </c>
      <c r="P254">
        <v>1</v>
      </c>
      <c r="Q254" s="11">
        <v>0</v>
      </c>
      <c r="R254">
        <f>(ventas[[#This Row],[precio_unitario]]*ventas[[#This Row],[cantidad]])</f>
        <v>450000</v>
      </c>
      <c r="S254">
        <f>ventas[[#This Row],[Total_Productos]]*ventas[[#This Row],[descuento_pct]]</f>
        <v>0</v>
      </c>
      <c r="T254">
        <f>ventas[[#This Row],[Total_Productos]]-ventas[[#This Row],[Valor_descuento]]</f>
        <v>450000</v>
      </c>
    </row>
    <row r="255" spans="1:20" x14ac:dyDescent="0.3">
      <c r="A255">
        <v>736</v>
      </c>
      <c r="B255" s="1">
        <v>45663</v>
      </c>
      <c r="C255">
        <v>8</v>
      </c>
      <c r="D255">
        <v>1</v>
      </c>
      <c r="E255">
        <v>196</v>
      </c>
      <c r="F255" t="s">
        <v>32</v>
      </c>
      <c r="G255" t="s">
        <v>33</v>
      </c>
      <c r="H255" t="s">
        <v>19</v>
      </c>
      <c r="I255">
        <v>42</v>
      </c>
      <c r="J255" t="s">
        <v>76</v>
      </c>
      <c r="K255" t="str">
        <f>_xlfn.XLOOKUP( ventas[[#This Row],[ciudad_cliente]],  ciudades[Ciudad], ciudades[Region])</f>
        <v>Los Lagos</v>
      </c>
      <c r="L255" t="s">
        <v>22</v>
      </c>
      <c r="M255" t="s">
        <v>62</v>
      </c>
      <c r="N255" t="str">
        <f>_xlfn.XLOOKUP(ventas[[#This Row],[producto]], categ[Producto], categ[Categoria])</f>
        <v>Electrohogar</v>
      </c>
      <c r="O255">
        <v>650000</v>
      </c>
      <c r="P255">
        <v>3</v>
      </c>
      <c r="Q255" s="11">
        <v>0.1</v>
      </c>
      <c r="R255">
        <f>(ventas[[#This Row],[precio_unitario]]*ventas[[#This Row],[cantidad]])</f>
        <v>1950000</v>
      </c>
      <c r="S255">
        <f>ventas[[#This Row],[Total_Productos]]*ventas[[#This Row],[descuento_pct]]</f>
        <v>195000</v>
      </c>
      <c r="T255">
        <f>ventas[[#This Row],[Total_Productos]]-ventas[[#This Row],[Valor_descuento]]</f>
        <v>1755000</v>
      </c>
    </row>
    <row r="256" spans="1:20" x14ac:dyDescent="0.3">
      <c r="A256">
        <v>169</v>
      </c>
      <c r="B256" s="1">
        <v>45096</v>
      </c>
      <c r="C256">
        <v>58</v>
      </c>
      <c r="D256">
        <v>1</v>
      </c>
      <c r="E256">
        <v>14</v>
      </c>
      <c r="F256" t="s">
        <v>320</v>
      </c>
      <c r="G256" t="s">
        <v>321</v>
      </c>
      <c r="H256" t="s">
        <v>19</v>
      </c>
      <c r="I256">
        <v>18</v>
      </c>
      <c r="J256" t="s">
        <v>76</v>
      </c>
      <c r="K256" t="str">
        <f>_xlfn.XLOOKUP( ventas[[#This Row],[ciudad_cliente]],  ciudades[Ciudad], ciudades[Region])</f>
        <v>Los Lagos</v>
      </c>
      <c r="L256" t="s">
        <v>22</v>
      </c>
      <c r="M256" t="s">
        <v>23</v>
      </c>
      <c r="N256" t="str">
        <f>_xlfn.XLOOKUP(ventas[[#This Row],[producto]], categ[Producto], categ[Categoria])</f>
        <v>Belleza</v>
      </c>
      <c r="O256">
        <v>15000</v>
      </c>
      <c r="P256">
        <v>3</v>
      </c>
      <c r="Q256" s="11">
        <v>0</v>
      </c>
      <c r="R256">
        <f>(ventas[[#This Row],[precio_unitario]]*ventas[[#This Row],[cantidad]])</f>
        <v>45000</v>
      </c>
      <c r="S256">
        <f>ventas[[#This Row],[Total_Productos]]*ventas[[#This Row],[descuento_pct]]</f>
        <v>0</v>
      </c>
      <c r="T256">
        <f>ventas[[#This Row],[Total_Productos]]-ventas[[#This Row],[Valor_descuento]]</f>
        <v>45000</v>
      </c>
    </row>
    <row r="257" spans="1:20" x14ac:dyDescent="0.3">
      <c r="A257">
        <v>879</v>
      </c>
      <c r="B257" s="1">
        <v>45806</v>
      </c>
      <c r="C257">
        <v>49</v>
      </c>
      <c r="D257">
        <v>1</v>
      </c>
      <c r="E257">
        <v>198</v>
      </c>
      <c r="F257" t="s">
        <v>594</v>
      </c>
      <c r="G257" t="s">
        <v>595</v>
      </c>
      <c r="H257" t="s">
        <v>42</v>
      </c>
      <c r="I257">
        <v>39</v>
      </c>
      <c r="J257" t="s">
        <v>43</v>
      </c>
      <c r="K257" t="str">
        <f>_xlfn.XLOOKUP( ventas[[#This Row],[ciudad_cliente]],  ciudades[Ciudad], ciudades[Region])</f>
        <v>Antofagasta</v>
      </c>
      <c r="L257" t="s">
        <v>38</v>
      </c>
      <c r="M257" t="s">
        <v>39</v>
      </c>
      <c r="N257" t="str">
        <f>_xlfn.XLOOKUP(ventas[[#This Row],[producto]], categ[Producto], categ[Categoria])</f>
        <v>Belleza</v>
      </c>
      <c r="O257">
        <v>35000</v>
      </c>
      <c r="P257">
        <v>2</v>
      </c>
      <c r="Q257" s="11">
        <v>0</v>
      </c>
      <c r="R257">
        <f>(ventas[[#This Row],[precio_unitario]]*ventas[[#This Row],[cantidad]])</f>
        <v>70000</v>
      </c>
      <c r="S257">
        <f>ventas[[#This Row],[Total_Productos]]*ventas[[#This Row],[descuento_pct]]</f>
        <v>0</v>
      </c>
      <c r="T257">
        <f>ventas[[#This Row],[Total_Productos]]-ventas[[#This Row],[Valor_descuento]]</f>
        <v>70000</v>
      </c>
    </row>
    <row r="258" spans="1:20" x14ac:dyDescent="0.3">
      <c r="A258">
        <v>251</v>
      </c>
      <c r="B258" s="1">
        <v>45178</v>
      </c>
      <c r="C258">
        <v>58</v>
      </c>
      <c r="D258">
        <v>1</v>
      </c>
      <c r="E258">
        <v>258</v>
      </c>
      <c r="F258" t="s">
        <v>400</v>
      </c>
      <c r="G258" t="s">
        <v>401</v>
      </c>
      <c r="H258" t="s">
        <v>42</v>
      </c>
      <c r="I258">
        <v>29</v>
      </c>
      <c r="J258" t="s">
        <v>76</v>
      </c>
      <c r="K258" t="str">
        <f>_xlfn.XLOOKUP( ventas[[#This Row],[ciudad_cliente]],  ciudades[Ciudad], ciudades[Region])</f>
        <v>Los Lagos</v>
      </c>
      <c r="L258" t="s">
        <v>22</v>
      </c>
      <c r="M258" t="s">
        <v>23</v>
      </c>
      <c r="N258" t="str">
        <f>_xlfn.XLOOKUP(ventas[[#This Row],[producto]], categ[Producto], categ[Categoria])</f>
        <v>Belleza</v>
      </c>
      <c r="O258">
        <v>15000</v>
      </c>
      <c r="P258">
        <v>3</v>
      </c>
      <c r="Q258" s="11">
        <v>0</v>
      </c>
      <c r="R258">
        <f>(ventas[[#This Row],[precio_unitario]]*ventas[[#This Row],[cantidad]])</f>
        <v>45000</v>
      </c>
      <c r="S258">
        <f>ventas[[#This Row],[Total_Productos]]*ventas[[#This Row],[descuento_pct]]</f>
        <v>0</v>
      </c>
      <c r="T258">
        <f>ventas[[#This Row],[Total_Productos]]-ventas[[#This Row],[Valor_descuento]]</f>
        <v>45000</v>
      </c>
    </row>
    <row r="259" spans="1:20" x14ac:dyDescent="0.3">
      <c r="A259">
        <v>681</v>
      </c>
      <c r="B259" s="1">
        <v>45608</v>
      </c>
      <c r="C259">
        <v>23</v>
      </c>
      <c r="D259">
        <v>0</v>
      </c>
      <c r="E259">
        <v>258</v>
      </c>
      <c r="F259" t="s">
        <v>400</v>
      </c>
      <c r="G259" t="s">
        <v>401</v>
      </c>
      <c r="H259" t="s">
        <v>42</v>
      </c>
      <c r="I259">
        <v>29</v>
      </c>
      <c r="J259" t="s">
        <v>52</v>
      </c>
      <c r="K259" t="str">
        <f>_xlfn.XLOOKUP( ventas[[#This Row],[ciudad_cliente]],  ciudades[Ciudad], ciudades[Region])</f>
        <v>Biobío</v>
      </c>
      <c r="L259" t="s">
        <v>38</v>
      </c>
      <c r="M259" t="s">
        <v>49</v>
      </c>
      <c r="N259" t="str">
        <f>_xlfn.XLOOKUP(ventas[[#This Row],[producto]], categ[Producto], categ[Categoria])</f>
        <v>Electrohogar</v>
      </c>
      <c r="O259">
        <v>800000</v>
      </c>
      <c r="P259">
        <v>3</v>
      </c>
      <c r="Q259" s="11">
        <v>0</v>
      </c>
      <c r="R259">
        <f>(ventas[[#This Row],[precio_unitario]]*ventas[[#This Row],[cantidad]])</f>
        <v>2400000</v>
      </c>
      <c r="S259">
        <f>ventas[[#This Row],[Total_Productos]]*ventas[[#This Row],[descuento_pct]]</f>
        <v>0</v>
      </c>
      <c r="T259">
        <f>ventas[[#This Row],[Total_Productos]]-ventas[[#This Row],[Valor_descuento]]</f>
        <v>2400000</v>
      </c>
    </row>
    <row r="260" spans="1:20" x14ac:dyDescent="0.3">
      <c r="A260">
        <v>709</v>
      </c>
      <c r="B260" s="1">
        <v>45636</v>
      </c>
      <c r="C260">
        <v>37</v>
      </c>
      <c r="D260">
        <v>1</v>
      </c>
      <c r="E260">
        <v>258</v>
      </c>
      <c r="F260" t="s">
        <v>400</v>
      </c>
      <c r="G260" t="s">
        <v>401</v>
      </c>
      <c r="H260" t="s">
        <v>42</v>
      </c>
      <c r="I260">
        <v>29</v>
      </c>
      <c r="J260" t="s">
        <v>116</v>
      </c>
      <c r="K260" t="str">
        <f>_xlfn.XLOOKUP( ventas[[#This Row],[ciudad_cliente]],  ciudades[Ciudad], ciudades[Region])</f>
        <v>Valparaíso</v>
      </c>
      <c r="L260" t="s">
        <v>22</v>
      </c>
      <c r="M260" t="s">
        <v>62</v>
      </c>
      <c r="N260" t="str">
        <f>_xlfn.XLOOKUP(ventas[[#This Row],[producto]], categ[Producto], categ[Categoria])</f>
        <v>Electrohogar</v>
      </c>
      <c r="O260">
        <v>650000</v>
      </c>
      <c r="P260">
        <v>1</v>
      </c>
      <c r="Q260" s="11">
        <v>0.1</v>
      </c>
      <c r="R260">
        <f>(ventas[[#This Row],[precio_unitario]]*ventas[[#This Row],[cantidad]])</f>
        <v>650000</v>
      </c>
      <c r="S260">
        <f>ventas[[#This Row],[Total_Productos]]*ventas[[#This Row],[descuento_pct]]</f>
        <v>65000</v>
      </c>
      <c r="T260">
        <f>ventas[[#This Row],[Total_Productos]]-ventas[[#This Row],[Valor_descuento]]</f>
        <v>585000</v>
      </c>
    </row>
    <row r="261" spans="1:20" x14ac:dyDescent="0.3">
      <c r="A261">
        <v>235</v>
      </c>
      <c r="B261" s="1">
        <v>45162</v>
      </c>
      <c r="C261">
        <v>17</v>
      </c>
      <c r="D261">
        <v>0</v>
      </c>
      <c r="E261">
        <v>209</v>
      </c>
      <c r="F261" t="s">
        <v>388</v>
      </c>
      <c r="G261" t="s">
        <v>389</v>
      </c>
      <c r="H261" t="s">
        <v>19</v>
      </c>
      <c r="I261">
        <v>44</v>
      </c>
      <c r="J261" t="s">
        <v>34</v>
      </c>
      <c r="K261" t="str">
        <f>_xlfn.XLOOKUP( ventas[[#This Row],[ciudad_cliente]],  ciudades[Ciudad], ciudades[Region])</f>
        <v>Metropolitana</v>
      </c>
      <c r="L261" t="s">
        <v>38</v>
      </c>
      <c r="M261" t="s">
        <v>49</v>
      </c>
      <c r="N261" t="str">
        <f>_xlfn.XLOOKUP(ventas[[#This Row],[producto]], categ[Producto], categ[Categoria])</f>
        <v>Electrohogar</v>
      </c>
      <c r="O261">
        <v>800000</v>
      </c>
      <c r="P261">
        <v>2</v>
      </c>
      <c r="Q261" s="11">
        <v>0.05</v>
      </c>
      <c r="R261">
        <f>(ventas[[#This Row],[precio_unitario]]*ventas[[#This Row],[cantidad]])</f>
        <v>1600000</v>
      </c>
      <c r="S261">
        <f>ventas[[#This Row],[Total_Productos]]*ventas[[#This Row],[descuento_pct]]</f>
        <v>80000</v>
      </c>
      <c r="T261">
        <f>ventas[[#This Row],[Total_Productos]]-ventas[[#This Row],[Valor_descuento]]</f>
        <v>1520000</v>
      </c>
    </row>
    <row r="262" spans="1:20" x14ac:dyDescent="0.3">
      <c r="A262">
        <v>565</v>
      </c>
      <c r="B262" s="1">
        <v>45492</v>
      </c>
      <c r="C262">
        <v>44</v>
      </c>
      <c r="D262">
        <v>7</v>
      </c>
      <c r="E262">
        <v>209</v>
      </c>
      <c r="F262" t="s">
        <v>388</v>
      </c>
      <c r="G262" t="s">
        <v>389</v>
      </c>
      <c r="H262" t="s">
        <v>19</v>
      </c>
      <c r="I262">
        <v>44</v>
      </c>
      <c r="J262" t="s">
        <v>43</v>
      </c>
      <c r="K262" t="str">
        <f>_xlfn.XLOOKUP( ventas[[#This Row],[ciudad_cliente]],  ciudades[Ciudad], ciudades[Region])</f>
        <v>Antofagasta</v>
      </c>
      <c r="L262" t="s">
        <v>38</v>
      </c>
      <c r="M262" t="s">
        <v>62</v>
      </c>
      <c r="N262" t="str">
        <f>_xlfn.XLOOKUP(ventas[[#This Row],[producto]], categ[Producto], categ[Categoria])</f>
        <v>Electrohogar</v>
      </c>
      <c r="O262">
        <v>650000</v>
      </c>
      <c r="P262">
        <v>2</v>
      </c>
      <c r="Q262" s="11">
        <v>0</v>
      </c>
      <c r="R262">
        <f>(ventas[[#This Row],[precio_unitario]]*ventas[[#This Row],[cantidad]])</f>
        <v>1300000</v>
      </c>
      <c r="S262">
        <f>ventas[[#This Row],[Total_Productos]]*ventas[[#This Row],[descuento_pct]]</f>
        <v>0</v>
      </c>
      <c r="T262">
        <f>ventas[[#This Row],[Total_Productos]]-ventas[[#This Row],[Valor_descuento]]</f>
        <v>1300000</v>
      </c>
    </row>
    <row r="263" spans="1:20" x14ac:dyDescent="0.3">
      <c r="A263">
        <v>517</v>
      </c>
      <c r="B263" s="1">
        <v>45444</v>
      </c>
      <c r="C263">
        <v>6</v>
      </c>
      <c r="D263">
        <v>2</v>
      </c>
      <c r="E263">
        <v>59</v>
      </c>
      <c r="F263" t="s">
        <v>540</v>
      </c>
      <c r="G263" t="s">
        <v>541</v>
      </c>
      <c r="H263" t="s">
        <v>19</v>
      </c>
      <c r="I263">
        <v>41</v>
      </c>
      <c r="J263" t="s">
        <v>52</v>
      </c>
      <c r="K263" t="str">
        <f>_xlfn.XLOOKUP( ventas[[#This Row],[ciudad_cliente]],  ciudades[Ciudad], ciudades[Region])</f>
        <v>Biobío</v>
      </c>
      <c r="L263" t="s">
        <v>38</v>
      </c>
      <c r="M263" t="s">
        <v>46</v>
      </c>
      <c r="N263" t="str">
        <f>_xlfn.XLOOKUP(ventas[[#This Row],[producto]], categ[Producto], categ[Categoria])</f>
        <v>Tecnología</v>
      </c>
      <c r="O263">
        <v>750000</v>
      </c>
      <c r="P263">
        <v>3</v>
      </c>
      <c r="Q263" s="11">
        <v>0</v>
      </c>
      <c r="R263">
        <f>(ventas[[#This Row],[precio_unitario]]*ventas[[#This Row],[cantidad]])</f>
        <v>2250000</v>
      </c>
      <c r="S263">
        <f>ventas[[#This Row],[Total_Productos]]*ventas[[#This Row],[descuento_pct]]</f>
        <v>0</v>
      </c>
      <c r="T263">
        <f>ventas[[#This Row],[Total_Productos]]-ventas[[#This Row],[Valor_descuento]]</f>
        <v>2250000</v>
      </c>
    </row>
    <row r="264" spans="1:20" x14ac:dyDescent="0.3">
      <c r="A264">
        <v>105</v>
      </c>
      <c r="B264" s="1">
        <v>45032</v>
      </c>
      <c r="C264">
        <v>47</v>
      </c>
      <c r="D264">
        <v>1</v>
      </c>
      <c r="E264">
        <v>53</v>
      </c>
      <c r="F264" t="s">
        <v>235</v>
      </c>
      <c r="G264" t="s">
        <v>236</v>
      </c>
      <c r="H264" t="s">
        <v>42</v>
      </c>
      <c r="I264">
        <v>29</v>
      </c>
      <c r="J264" t="s">
        <v>116</v>
      </c>
      <c r="K264" t="str">
        <f>_xlfn.XLOOKUP( ventas[[#This Row],[ciudad_cliente]],  ciudades[Ciudad], ciudades[Region])</f>
        <v>Valparaíso</v>
      </c>
      <c r="L264" t="s">
        <v>22</v>
      </c>
      <c r="M264" t="s">
        <v>62</v>
      </c>
      <c r="N264" t="str">
        <f>_xlfn.XLOOKUP(ventas[[#This Row],[producto]], categ[Producto], categ[Categoria])</f>
        <v>Electrohogar</v>
      </c>
      <c r="O264">
        <v>650000</v>
      </c>
      <c r="P264">
        <v>1</v>
      </c>
      <c r="Q264" s="11">
        <v>0</v>
      </c>
      <c r="R264">
        <f>(ventas[[#This Row],[precio_unitario]]*ventas[[#This Row],[cantidad]])</f>
        <v>650000</v>
      </c>
      <c r="S264">
        <f>ventas[[#This Row],[Total_Productos]]*ventas[[#This Row],[descuento_pct]]</f>
        <v>0</v>
      </c>
      <c r="T264">
        <f>ventas[[#This Row],[Total_Productos]]-ventas[[#This Row],[Valor_descuento]]</f>
        <v>650000</v>
      </c>
    </row>
    <row r="265" spans="1:20" x14ac:dyDescent="0.3">
      <c r="A265">
        <v>105</v>
      </c>
      <c r="B265" s="1">
        <v>45032</v>
      </c>
      <c r="C265">
        <v>47</v>
      </c>
      <c r="D265">
        <v>1</v>
      </c>
      <c r="E265">
        <v>53</v>
      </c>
      <c r="F265" t="s">
        <v>235</v>
      </c>
      <c r="G265" t="s">
        <v>236</v>
      </c>
      <c r="H265" t="s">
        <v>42</v>
      </c>
      <c r="I265">
        <v>29</v>
      </c>
      <c r="J265" t="s">
        <v>116</v>
      </c>
      <c r="K265" t="str">
        <f>_xlfn.XLOOKUP( ventas[[#This Row],[ciudad_cliente]],  ciudades[Ciudad], ciudades[Region])</f>
        <v>Valparaíso</v>
      </c>
      <c r="L265" t="s">
        <v>22</v>
      </c>
      <c r="M265" t="s">
        <v>62</v>
      </c>
      <c r="N265" t="str">
        <f>_xlfn.XLOOKUP(ventas[[#This Row],[producto]], categ[Producto], categ[Categoria])</f>
        <v>Electrohogar</v>
      </c>
      <c r="O265">
        <v>650000</v>
      </c>
      <c r="P265">
        <v>1</v>
      </c>
      <c r="Q265" s="11">
        <v>0</v>
      </c>
      <c r="R265">
        <f>(ventas[[#This Row],[precio_unitario]]*ventas[[#This Row],[cantidad]])</f>
        <v>650000</v>
      </c>
      <c r="S265">
        <f>ventas[[#This Row],[Total_Productos]]*ventas[[#This Row],[descuento_pct]]</f>
        <v>0</v>
      </c>
      <c r="T265">
        <f>ventas[[#This Row],[Total_Productos]]-ventas[[#This Row],[Valor_descuento]]</f>
        <v>650000</v>
      </c>
    </row>
    <row r="266" spans="1:20" x14ac:dyDescent="0.3">
      <c r="A266">
        <v>244</v>
      </c>
      <c r="B266" s="1">
        <v>45171</v>
      </c>
      <c r="C266">
        <v>7</v>
      </c>
      <c r="D266">
        <v>8</v>
      </c>
      <c r="E266">
        <v>53</v>
      </c>
      <c r="F266" t="s">
        <v>235</v>
      </c>
      <c r="G266" t="s">
        <v>236</v>
      </c>
      <c r="H266" t="s">
        <v>42</v>
      </c>
      <c r="I266">
        <v>29</v>
      </c>
      <c r="J266" t="s">
        <v>37</v>
      </c>
      <c r="K266" t="str">
        <f>_xlfn.XLOOKUP( ventas[[#This Row],[ciudad_cliente]],  ciudades[Ciudad], ciudades[Region])</f>
        <v>Valparaíso</v>
      </c>
      <c r="L266" t="s">
        <v>38</v>
      </c>
      <c r="M266" t="s">
        <v>69</v>
      </c>
      <c r="N266" t="str">
        <f>_xlfn.XLOOKUP(ventas[[#This Row],[producto]], categ[Producto], categ[Categoria])</f>
        <v>Tecnología</v>
      </c>
      <c r="O266">
        <v>450000</v>
      </c>
      <c r="P266">
        <v>2</v>
      </c>
      <c r="Q266" s="11">
        <v>0</v>
      </c>
      <c r="R266">
        <f>(ventas[[#This Row],[precio_unitario]]*ventas[[#This Row],[cantidad]])</f>
        <v>900000</v>
      </c>
      <c r="S266">
        <f>ventas[[#This Row],[Total_Productos]]*ventas[[#This Row],[descuento_pct]]</f>
        <v>0</v>
      </c>
      <c r="T266">
        <f>ventas[[#This Row],[Total_Productos]]-ventas[[#This Row],[Valor_descuento]]</f>
        <v>900000</v>
      </c>
    </row>
    <row r="267" spans="1:20" x14ac:dyDescent="0.3">
      <c r="A267">
        <v>400</v>
      </c>
      <c r="B267" s="1">
        <v>45327</v>
      </c>
      <c r="C267">
        <v>63</v>
      </c>
      <c r="D267">
        <v>5</v>
      </c>
      <c r="E267">
        <v>53</v>
      </c>
      <c r="F267" t="s">
        <v>235</v>
      </c>
      <c r="G267" t="s">
        <v>236</v>
      </c>
      <c r="H267" t="s">
        <v>42</v>
      </c>
      <c r="I267">
        <v>29</v>
      </c>
      <c r="J267" t="s">
        <v>101</v>
      </c>
      <c r="K267" t="str">
        <f>_xlfn.XLOOKUP( ventas[[#This Row],[ciudad_cliente]],  ciudades[Ciudad], ciudades[Region])</f>
        <v>O'Higgins</v>
      </c>
      <c r="L267" t="s">
        <v>29</v>
      </c>
      <c r="M267" t="s">
        <v>23</v>
      </c>
      <c r="N267" t="str">
        <f>_xlfn.XLOOKUP(ventas[[#This Row],[producto]], categ[Producto], categ[Categoria])</f>
        <v>Belleza</v>
      </c>
      <c r="O267">
        <v>15000</v>
      </c>
      <c r="P267">
        <v>1</v>
      </c>
      <c r="Q267" s="11">
        <v>0.05</v>
      </c>
      <c r="R267">
        <f>(ventas[[#This Row],[precio_unitario]]*ventas[[#This Row],[cantidad]])</f>
        <v>15000</v>
      </c>
      <c r="S267">
        <f>ventas[[#This Row],[Total_Productos]]*ventas[[#This Row],[descuento_pct]]</f>
        <v>750</v>
      </c>
      <c r="T267">
        <f>ventas[[#This Row],[Total_Productos]]-ventas[[#This Row],[Valor_descuento]]</f>
        <v>14250</v>
      </c>
    </row>
    <row r="268" spans="1:20" x14ac:dyDescent="0.3">
      <c r="A268">
        <v>658</v>
      </c>
      <c r="B268" s="1">
        <v>45585</v>
      </c>
      <c r="C268">
        <v>2</v>
      </c>
      <c r="D268">
        <v>2</v>
      </c>
      <c r="E268">
        <v>53</v>
      </c>
      <c r="F268" t="s">
        <v>235</v>
      </c>
      <c r="G268" t="s">
        <v>236</v>
      </c>
      <c r="H268" t="s">
        <v>42</v>
      </c>
      <c r="I268">
        <v>29</v>
      </c>
      <c r="J268" t="s">
        <v>101</v>
      </c>
      <c r="K268" t="str">
        <f>_xlfn.XLOOKUP( ventas[[#This Row],[ciudad_cliente]],  ciudades[Ciudad], ciudades[Region])</f>
        <v>O'Higgins</v>
      </c>
      <c r="L268" t="s">
        <v>38</v>
      </c>
      <c r="M268" t="s">
        <v>39</v>
      </c>
      <c r="N268" t="str">
        <f>_xlfn.XLOOKUP(ventas[[#This Row],[producto]], categ[Producto], categ[Categoria])</f>
        <v>Belleza</v>
      </c>
      <c r="O268">
        <v>35000</v>
      </c>
      <c r="P268">
        <v>3</v>
      </c>
      <c r="Q268" s="11">
        <v>0.05</v>
      </c>
      <c r="R268">
        <f>(ventas[[#This Row],[precio_unitario]]*ventas[[#This Row],[cantidad]])</f>
        <v>105000</v>
      </c>
      <c r="S268">
        <f>ventas[[#This Row],[Total_Productos]]*ventas[[#This Row],[descuento_pct]]</f>
        <v>5250</v>
      </c>
      <c r="T268">
        <f>ventas[[#This Row],[Total_Productos]]-ventas[[#This Row],[Valor_descuento]]</f>
        <v>99750</v>
      </c>
    </row>
    <row r="269" spans="1:20" x14ac:dyDescent="0.3">
      <c r="A269">
        <v>17</v>
      </c>
      <c r="B269" s="1">
        <v>44944</v>
      </c>
      <c r="C269">
        <v>21</v>
      </c>
      <c r="D269">
        <v>5</v>
      </c>
      <c r="E269">
        <v>207</v>
      </c>
      <c r="F269" t="s">
        <v>74</v>
      </c>
      <c r="G269" t="s">
        <v>75</v>
      </c>
      <c r="H269" t="s">
        <v>42</v>
      </c>
      <c r="I269">
        <v>44</v>
      </c>
      <c r="J269" t="s">
        <v>76</v>
      </c>
      <c r="K269" t="str">
        <f>_xlfn.XLOOKUP( ventas[[#This Row],[ciudad_cliente]],  ciudades[Ciudad], ciudades[Region])</f>
        <v>Los Lagos</v>
      </c>
      <c r="L269" t="s">
        <v>22</v>
      </c>
      <c r="M269" t="s">
        <v>30</v>
      </c>
      <c r="N269" t="str">
        <f>_xlfn.XLOOKUP(ventas[[#This Row],[producto]], categ[Producto], categ[Categoria])</f>
        <v>Electrohogar</v>
      </c>
      <c r="O269">
        <v>700000</v>
      </c>
      <c r="P269">
        <v>2</v>
      </c>
      <c r="Q269" s="11">
        <v>0</v>
      </c>
      <c r="R269">
        <f>(ventas[[#This Row],[precio_unitario]]*ventas[[#This Row],[cantidad]])</f>
        <v>1400000</v>
      </c>
      <c r="S269">
        <f>ventas[[#This Row],[Total_Productos]]*ventas[[#This Row],[descuento_pct]]</f>
        <v>0</v>
      </c>
      <c r="T269">
        <f>ventas[[#This Row],[Total_Productos]]-ventas[[#This Row],[Valor_descuento]]</f>
        <v>1400000</v>
      </c>
    </row>
    <row r="270" spans="1:20" x14ac:dyDescent="0.3">
      <c r="A270">
        <v>598</v>
      </c>
      <c r="B270" s="1">
        <v>45525</v>
      </c>
      <c r="C270">
        <v>19</v>
      </c>
      <c r="D270">
        <v>5</v>
      </c>
      <c r="E270">
        <v>207</v>
      </c>
      <c r="F270" t="s">
        <v>74</v>
      </c>
      <c r="G270" t="s">
        <v>75</v>
      </c>
      <c r="H270" t="s">
        <v>42</v>
      </c>
      <c r="I270">
        <v>44</v>
      </c>
      <c r="J270" t="s">
        <v>20</v>
      </c>
      <c r="K270" t="str">
        <f>_xlfn.XLOOKUP( ventas[[#This Row],[ciudad_cliente]],  ciudades[Ciudad], ciudades[Region])</f>
        <v>La Araucanía</v>
      </c>
      <c r="L270" t="s">
        <v>22</v>
      </c>
      <c r="M270" t="s">
        <v>102</v>
      </c>
      <c r="N270" t="str">
        <f>_xlfn.XLOOKUP(ventas[[#This Row],[producto]], categ[Producto], categ[Categoria])</f>
        <v>Vestuario</v>
      </c>
      <c r="O270">
        <v>12000</v>
      </c>
      <c r="P270">
        <v>2</v>
      </c>
      <c r="Q270" s="11">
        <v>0.05</v>
      </c>
      <c r="R270">
        <f>(ventas[[#This Row],[precio_unitario]]*ventas[[#This Row],[cantidad]])</f>
        <v>24000</v>
      </c>
      <c r="S270">
        <f>ventas[[#This Row],[Total_Productos]]*ventas[[#This Row],[descuento_pct]]</f>
        <v>1200</v>
      </c>
      <c r="T270">
        <f>ventas[[#This Row],[Total_Productos]]-ventas[[#This Row],[Valor_descuento]]</f>
        <v>22800</v>
      </c>
    </row>
    <row r="271" spans="1:20" x14ac:dyDescent="0.3">
      <c r="A271">
        <v>630</v>
      </c>
      <c r="B271" s="1">
        <v>45557</v>
      </c>
      <c r="C271">
        <v>41</v>
      </c>
      <c r="D271">
        <v>4</v>
      </c>
      <c r="E271">
        <v>207</v>
      </c>
      <c r="F271" t="s">
        <v>74</v>
      </c>
      <c r="G271" t="s">
        <v>75</v>
      </c>
      <c r="H271" t="s">
        <v>42</v>
      </c>
      <c r="I271">
        <v>44</v>
      </c>
      <c r="J271" t="s">
        <v>43</v>
      </c>
      <c r="K271" t="str">
        <f>_xlfn.XLOOKUP( ventas[[#This Row],[ciudad_cliente]],  ciudades[Ciudad], ciudades[Region])</f>
        <v>Antofagasta</v>
      </c>
      <c r="L271" t="s">
        <v>22</v>
      </c>
      <c r="M271" t="s">
        <v>30</v>
      </c>
      <c r="N271" t="str">
        <f>_xlfn.XLOOKUP(ventas[[#This Row],[producto]], categ[Producto], categ[Categoria])</f>
        <v>Electrohogar</v>
      </c>
      <c r="O271">
        <v>700000</v>
      </c>
      <c r="P271">
        <v>2</v>
      </c>
      <c r="Q271" s="11">
        <v>0</v>
      </c>
      <c r="R271">
        <f>(ventas[[#This Row],[precio_unitario]]*ventas[[#This Row],[cantidad]])</f>
        <v>1400000</v>
      </c>
      <c r="S271">
        <f>ventas[[#This Row],[Total_Productos]]*ventas[[#This Row],[descuento_pct]]</f>
        <v>0</v>
      </c>
      <c r="T271">
        <f>ventas[[#This Row],[Total_Productos]]-ventas[[#This Row],[Valor_descuento]]</f>
        <v>1400000</v>
      </c>
    </row>
    <row r="272" spans="1:20" x14ac:dyDescent="0.3">
      <c r="A272">
        <v>894</v>
      </c>
      <c r="B272" s="1">
        <v>45821</v>
      </c>
      <c r="C272">
        <v>30</v>
      </c>
      <c r="D272">
        <v>0</v>
      </c>
      <c r="E272">
        <v>207</v>
      </c>
      <c r="F272" t="s">
        <v>74</v>
      </c>
      <c r="G272" t="s">
        <v>75</v>
      </c>
      <c r="H272" t="s">
        <v>42</v>
      </c>
      <c r="I272">
        <v>44</v>
      </c>
      <c r="J272" t="s">
        <v>37</v>
      </c>
      <c r="K272" t="str">
        <f>_xlfn.XLOOKUP( ventas[[#This Row],[ciudad_cliente]],  ciudades[Ciudad], ciudades[Region])</f>
        <v>Valparaíso</v>
      </c>
      <c r="L272" t="s">
        <v>38</v>
      </c>
      <c r="M272" t="s">
        <v>62</v>
      </c>
      <c r="N272" t="str">
        <f>_xlfn.XLOOKUP(ventas[[#This Row],[producto]], categ[Producto], categ[Categoria])</f>
        <v>Electrohogar</v>
      </c>
      <c r="O272">
        <v>650000</v>
      </c>
      <c r="P272">
        <v>1</v>
      </c>
      <c r="Q272" s="11">
        <v>0</v>
      </c>
      <c r="R272">
        <f>(ventas[[#This Row],[precio_unitario]]*ventas[[#This Row],[cantidad]])</f>
        <v>650000</v>
      </c>
      <c r="S272">
        <f>ventas[[#This Row],[Total_Productos]]*ventas[[#This Row],[descuento_pct]]</f>
        <v>0</v>
      </c>
      <c r="T272">
        <f>ventas[[#This Row],[Total_Productos]]-ventas[[#This Row],[Valor_descuento]]</f>
        <v>650000</v>
      </c>
    </row>
    <row r="273" spans="1:20" x14ac:dyDescent="0.3">
      <c r="A273">
        <v>106</v>
      </c>
      <c r="B273" s="1">
        <v>45033</v>
      </c>
      <c r="C273">
        <v>21</v>
      </c>
      <c r="D273">
        <v>5</v>
      </c>
      <c r="E273">
        <v>228</v>
      </c>
      <c r="F273" t="s">
        <v>237</v>
      </c>
      <c r="G273" t="s">
        <v>238</v>
      </c>
      <c r="H273" t="s">
        <v>42</v>
      </c>
      <c r="I273">
        <v>25</v>
      </c>
      <c r="J273" t="s">
        <v>76</v>
      </c>
      <c r="K273" t="str">
        <f>_xlfn.XLOOKUP( ventas[[#This Row],[ciudad_cliente]],  ciudades[Ciudad], ciudades[Region])</f>
        <v>Los Lagos</v>
      </c>
      <c r="L273" t="s">
        <v>38</v>
      </c>
      <c r="M273" t="s">
        <v>98</v>
      </c>
      <c r="N273" t="str">
        <f>_xlfn.XLOOKUP(ventas[[#This Row],[producto]], categ[Producto], categ[Categoria])</f>
        <v>Calzado</v>
      </c>
      <c r="O273">
        <v>55000</v>
      </c>
      <c r="P273">
        <v>3</v>
      </c>
      <c r="Q273" s="11">
        <v>0</v>
      </c>
      <c r="R273">
        <f>(ventas[[#This Row],[precio_unitario]]*ventas[[#This Row],[cantidad]])</f>
        <v>165000</v>
      </c>
      <c r="S273">
        <f>ventas[[#This Row],[Total_Productos]]*ventas[[#This Row],[descuento_pct]]</f>
        <v>0</v>
      </c>
      <c r="T273">
        <f>ventas[[#This Row],[Total_Productos]]-ventas[[#This Row],[Valor_descuento]]</f>
        <v>165000</v>
      </c>
    </row>
    <row r="274" spans="1:20" x14ac:dyDescent="0.3">
      <c r="A274">
        <v>148</v>
      </c>
      <c r="B274" s="1">
        <v>45075</v>
      </c>
      <c r="C274">
        <v>18</v>
      </c>
      <c r="D274">
        <v>1</v>
      </c>
      <c r="E274">
        <v>228</v>
      </c>
      <c r="F274" t="s">
        <v>237</v>
      </c>
      <c r="G274" t="s">
        <v>238</v>
      </c>
      <c r="H274" t="s">
        <v>42</v>
      </c>
      <c r="I274">
        <v>25</v>
      </c>
      <c r="J274" t="s">
        <v>27</v>
      </c>
      <c r="K274" t="str">
        <f>_xlfn.XLOOKUP( ventas[[#This Row],[ciudad_cliente]],  ciudades[Ciudad], ciudades[Region])</f>
        <v>Biobío</v>
      </c>
      <c r="L274" t="s">
        <v>29</v>
      </c>
      <c r="M274" t="s">
        <v>49</v>
      </c>
      <c r="N274" t="str">
        <f>_xlfn.XLOOKUP(ventas[[#This Row],[producto]], categ[Producto], categ[Categoria])</f>
        <v>Electrohogar</v>
      </c>
      <c r="O274">
        <v>800000</v>
      </c>
      <c r="P274">
        <v>3</v>
      </c>
      <c r="Q274" s="11">
        <v>0.05</v>
      </c>
      <c r="R274">
        <f>(ventas[[#This Row],[precio_unitario]]*ventas[[#This Row],[cantidad]])</f>
        <v>2400000</v>
      </c>
      <c r="S274">
        <f>ventas[[#This Row],[Total_Productos]]*ventas[[#This Row],[descuento_pct]]</f>
        <v>120000</v>
      </c>
      <c r="T274">
        <f>ventas[[#This Row],[Total_Productos]]-ventas[[#This Row],[Valor_descuento]]</f>
        <v>2280000</v>
      </c>
    </row>
    <row r="275" spans="1:20" x14ac:dyDescent="0.3">
      <c r="A275">
        <v>282</v>
      </c>
      <c r="B275" s="1">
        <v>45209</v>
      </c>
      <c r="C275">
        <v>65</v>
      </c>
      <c r="D275">
        <v>0</v>
      </c>
      <c r="E275">
        <v>228</v>
      </c>
      <c r="F275" t="s">
        <v>237</v>
      </c>
      <c r="G275" t="s">
        <v>238</v>
      </c>
      <c r="H275" t="s">
        <v>42</v>
      </c>
      <c r="I275">
        <v>25</v>
      </c>
      <c r="J275" t="s">
        <v>101</v>
      </c>
      <c r="K275" t="str">
        <f>_xlfn.XLOOKUP( ventas[[#This Row],[ciudad_cliente]],  ciudades[Ciudad], ciudades[Region])</f>
        <v>O'Higgins</v>
      </c>
      <c r="L275" t="s">
        <v>38</v>
      </c>
      <c r="M275" t="s">
        <v>102</v>
      </c>
      <c r="N275" t="str">
        <f>_xlfn.XLOOKUP(ventas[[#This Row],[producto]], categ[Producto], categ[Categoria])</f>
        <v>Vestuario</v>
      </c>
      <c r="O275">
        <v>12000</v>
      </c>
      <c r="P275">
        <v>1</v>
      </c>
      <c r="Q275" s="11">
        <v>0.05</v>
      </c>
      <c r="R275">
        <f>(ventas[[#This Row],[precio_unitario]]*ventas[[#This Row],[cantidad]])</f>
        <v>12000</v>
      </c>
      <c r="S275">
        <f>ventas[[#This Row],[Total_Productos]]*ventas[[#This Row],[descuento_pct]]</f>
        <v>600</v>
      </c>
      <c r="T275">
        <f>ventas[[#This Row],[Total_Productos]]-ventas[[#This Row],[Valor_descuento]]</f>
        <v>11400</v>
      </c>
    </row>
    <row r="276" spans="1:20" x14ac:dyDescent="0.3">
      <c r="A276">
        <v>327</v>
      </c>
      <c r="B276" s="1">
        <v>45254</v>
      </c>
      <c r="C276">
        <v>46</v>
      </c>
      <c r="D276">
        <v>5</v>
      </c>
      <c r="E276">
        <v>228</v>
      </c>
      <c r="F276" t="s">
        <v>237</v>
      </c>
      <c r="G276" t="s">
        <v>238</v>
      </c>
      <c r="H276" t="s">
        <v>42</v>
      </c>
      <c r="I276">
        <v>25</v>
      </c>
      <c r="J276" t="s">
        <v>84</v>
      </c>
      <c r="K276" t="str">
        <f>_xlfn.XLOOKUP( ventas[[#This Row],[ciudad_cliente]],  ciudades[Ciudad], ciudades[Region])</f>
        <v>Coquimbo</v>
      </c>
      <c r="L276" t="s">
        <v>29</v>
      </c>
      <c r="M276" t="s">
        <v>98</v>
      </c>
      <c r="N276" t="str">
        <f>_xlfn.XLOOKUP(ventas[[#This Row],[producto]], categ[Producto], categ[Categoria])</f>
        <v>Calzado</v>
      </c>
      <c r="O276">
        <v>55000</v>
      </c>
      <c r="P276">
        <v>1</v>
      </c>
      <c r="Q276" s="11">
        <v>0</v>
      </c>
      <c r="R276">
        <f>(ventas[[#This Row],[precio_unitario]]*ventas[[#This Row],[cantidad]])</f>
        <v>55000</v>
      </c>
      <c r="S276">
        <f>ventas[[#This Row],[Total_Productos]]*ventas[[#This Row],[descuento_pct]]</f>
        <v>0</v>
      </c>
      <c r="T276">
        <f>ventas[[#This Row],[Total_Productos]]-ventas[[#This Row],[Valor_descuento]]</f>
        <v>55000</v>
      </c>
    </row>
    <row r="277" spans="1:20" x14ac:dyDescent="0.3">
      <c r="A277">
        <v>552</v>
      </c>
      <c r="B277" s="1">
        <v>45479</v>
      </c>
      <c r="C277">
        <v>39</v>
      </c>
      <c r="D277">
        <v>6</v>
      </c>
      <c r="E277">
        <v>228</v>
      </c>
      <c r="F277" t="s">
        <v>237</v>
      </c>
      <c r="G277" t="s">
        <v>238</v>
      </c>
      <c r="H277" t="s">
        <v>42</v>
      </c>
      <c r="I277">
        <v>25</v>
      </c>
      <c r="J277" t="s">
        <v>43</v>
      </c>
      <c r="K277" t="str">
        <f>_xlfn.XLOOKUP( ventas[[#This Row],[ciudad_cliente]],  ciudades[Ciudad], ciudades[Region])</f>
        <v>Antofagasta</v>
      </c>
      <c r="L277" t="s">
        <v>38</v>
      </c>
      <c r="M277" t="s">
        <v>46</v>
      </c>
      <c r="N277" t="str">
        <f>_xlfn.XLOOKUP(ventas[[#This Row],[producto]], categ[Producto], categ[Categoria])</f>
        <v>Tecnología</v>
      </c>
      <c r="O277">
        <v>750000</v>
      </c>
      <c r="P277">
        <v>1</v>
      </c>
      <c r="Q277" s="11">
        <v>0</v>
      </c>
      <c r="R277">
        <f>(ventas[[#This Row],[precio_unitario]]*ventas[[#This Row],[cantidad]])</f>
        <v>750000</v>
      </c>
      <c r="S277">
        <f>ventas[[#This Row],[Total_Productos]]*ventas[[#This Row],[descuento_pct]]</f>
        <v>0</v>
      </c>
      <c r="T277">
        <f>ventas[[#This Row],[Total_Productos]]-ventas[[#This Row],[Valor_descuento]]</f>
        <v>750000</v>
      </c>
    </row>
    <row r="278" spans="1:20" x14ac:dyDescent="0.3">
      <c r="A278">
        <v>641</v>
      </c>
      <c r="B278" s="1">
        <v>45568</v>
      </c>
      <c r="C278">
        <v>14</v>
      </c>
      <c r="D278">
        <v>0</v>
      </c>
      <c r="E278">
        <v>190</v>
      </c>
      <c r="F278" t="s">
        <v>564</v>
      </c>
      <c r="G278" t="s">
        <v>565</v>
      </c>
      <c r="H278" t="s">
        <v>19</v>
      </c>
      <c r="I278">
        <v>19</v>
      </c>
      <c r="J278" t="s">
        <v>34</v>
      </c>
      <c r="K278" t="str">
        <f>_xlfn.XLOOKUP( ventas[[#This Row],[ciudad_cliente]],  ciudades[Ciudad], ciudades[Region])</f>
        <v>Metropolitana</v>
      </c>
      <c r="L278" t="s">
        <v>38</v>
      </c>
      <c r="M278" t="s">
        <v>56</v>
      </c>
      <c r="N278" t="str">
        <f>_xlfn.XLOOKUP(ventas[[#This Row],[producto]], categ[Producto], categ[Categoria])</f>
        <v>Vestuario</v>
      </c>
      <c r="O278">
        <v>25000</v>
      </c>
      <c r="P278">
        <v>1</v>
      </c>
      <c r="Q278" s="11">
        <v>0.05</v>
      </c>
      <c r="R278">
        <f>(ventas[[#This Row],[precio_unitario]]*ventas[[#This Row],[cantidad]])</f>
        <v>25000</v>
      </c>
      <c r="S278">
        <f>ventas[[#This Row],[Total_Productos]]*ventas[[#This Row],[descuento_pct]]</f>
        <v>1250</v>
      </c>
      <c r="T278">
        <f>ventas[[#This Row],[Total_Productos]]-ventas[[#This Row],[Valor_descuento]]</f>
        <v>23750</v>
      </c>
    </row>
    <row r="279" spans="1:20" x14ac:dyDescent="0.3">
      <c r="A279">
        <v>886</v>
      </c>
      <c r="B279" s="1">
        <v>45813</v>
      </c>
      <c r="C279">
        <v>48</v>
      </c>
      <c r="D279">
        <v>6</v>
      </c>
      <c r="E279">
        <v>190</v>
      </c>
      <c r="F279" t="s">
        <v>564</v>
      </c>
      <c r="G279" t="s">
        <v>565</v>
      </c>
      <c r="H279" t="s">
        <v>19</v>
      </c>
      <c r="I279">
        <v>19</v>
      </c>
      <c r="J279" t="s">
        <v>37</v>
      </c>
      <c r="K279" t="str">
        <f>_xlfn.XLOOKUP( ventas[[#This Row],[ciudad_cliente]],  ciudades[Ciudad], ciudades[Region])</f>
        <v>Valparaíso</v>
      </c>
      <c r="L279" t="s">
        <v>29</v>
      </c>
      <c r="M279" t="s">
        <v>62</v>
      </c>
      <c r="N279" t="str">
        <f>_xlfn.XLOOKUP(ventas[[#This Row],[producto]], categ[Producto], categ[Categoria])</f>
        <v>Electrohogar</v>
      </c>
      <c r="O279">
        <v>650000</v>
      </c>
      <c r="P279">
        <v>2</v>
      </c>
      <c r="Q279" s="11">
        <v>0.05</v>
      </c>
      <c r="R279">
        <f>(ventas[[#This Row],[precio_unitario]]*ventas[[#This Row],[cantidad]])</f>
        <v>1300000</v>
      </c>
      <c r="S279">
        <f>ventas[[#This Row],[Total_Productos]]*ventas[[#This Row],[descuento_pct]]</f>
        <v>65000</v>
      </c>
      <c r="T279">
        <f>ventas[[#This Row],[Total_Productos]]-ventas[[#This Row],[Valor_descuento]]</f>
        <v>1235000</v>
      </c>
    </row>
    <row r="280" spans="1:20" x14ac:dyDescent="0.3">
      <c r="A280">
        <v>22</v>
      </c>
      <c r="B280" s="1">
        <v>44949</v>
      </c>
      <c r="C280">
        <v>4</v>
      </c>
      <c r="D280">
        <v>3</v>
      </c>
      <c r="E280">
        <v>40</v>
      </c>
      <c r="F280" t="s">
        <v>88</v>
      </c>
      <c r="G280" t="s">
        <v>89</v>
      </c>
      <c r="H280" t="s">
        <v>19</v>
      </c>
      <c r="I280">
        <v>40</v>
      </c>
      <c r="J280" t="s">
        <v>52</v>
      </c>
      <c r="K280" t="str">
        <f>_xlfn.XLOOKUP( ventas[[#This Row],[ciudad_cliente]],  ciudades[Ciudad], ciudades[Region])</f>
        <v>Biobío</v>
      </c>
      <c r="L280" t="s">
        <v>38</v>
      </c>
      <c r="M280" t="s">
        <v>39</v>
      </c>
      <c r="N280" t="str">
        <f>_xlfn.XLOOKUP(ventas[[#This Row],[producto]], categ[Producto], categ[Categoria])</f>
        <v>Belleza</v>
      </c>
      <c r="O280">
        <v>35000</v>
      </c>
      <c r="P280">
        <v>3</v>
      </c>
      <c r="Q280" s="11">
        <v>0</v>
      </c>
      <c r="R280">
        <f>(ventas[[#This Row],[precio_unitario]]*ventas[[#This Row],[cantidad]])</f>
        <v>105000</v>
      </c>
      <c r="S280">
        <f>ventas[[#This Row],[Total_Productos]]*ventas[[#This Row],[descuento_pct]]</f>
        <v>0</v>
      </c>
      <c r="T280">
        <f>ventas[[#This Row],[Total_Productos]]-ventas[[#This Row],[Valor_descuento]]</f>
        <v>105000</v>
      </c>
    </row>
    <row r="281" spans="1:20" x14ac:dyDescent="0.3">
      <c r="A281">
        <v>127</v>
      </c>
      <c r="B281" s="1">
        <v>45054</v>
      </c>
      <c r="C281">
        <v>37</v>
      </c>
      <c r="D281">
        <v>1</v>
      </c>
      <c r="E281">
        <v>40</v>
      </c>
      <c r="F281" t="s">
        <v>88</v>
      </c>
      <c r="G281" t="s">
        <v>89</v>
      </c>
      <c r="H281" t="s">
        <v>19</v>
      </c>
      <c r="I281">
        <v>40</v>
      </c>
      <c r="J281" t="s">
        <v>116</v>
      </c>
      <c r="K281" t="str">
        <f>_xlfn.XLOOKUP( ventas[[#This Row],[ciudad_cliente]],  ciudades[Ciudad], ciudades[Region])</f>
        <v>Valparaíso</v>
      </c>
      <c r="L281" t="s">
        <v>38</v>
      </c>
      <c r="M281" t="s">
        <v>98</v>
      </c>
      <c r="N281" t="str">
        <f>_xlfn.XLOOKUP(ventas[[#This Row],[producto]], categ[Producto], categ[Categoria])</f>
        <v>Calzado</v>
      </c>
      <c r="O281">
        <v>55000</v>
      </c>
      <c r="P281">
        <v>1</v>
      </c>
      <c r="Q281" s="11">
        <v>0</v>
      </c>
      <c r="R281">
        <f>(ventas[[#This Row],[precio_unitario]]*ventas[[#This Row],[cantidad]])</f>
        <v>55000</v>
      </c>
      <c r="S281">
        <f>ventas[[#This Row],[Total_Productos]]*ventas[[#This Row],[descuento_pct]]</f>
        <v>0</v>
      </c>
      <c r="T281">
        <f>ventas[[#This Row],[Total_Productos]]-ventas[[#This Row],[Valor_descuento]]</f>
        <v>55000</v>
      </c>
    </row>
    <row r="282" spans="1:20" x14ac:dyDescent="0.3">
      <c r="A282">
        <v>173</v>
      </c>
      <c r="B282" s="1">
        <v>45100</v>
      </c>
      <c r="C282">
        <v>56</v>
      </c>
      <c r="D282">
        <v>2</v>
      </c>
      <c r="E282">
        <v>40</v>
      </c>
      <c r="F282" t="s">
        <v>88</v>
      </c>
      <c r="G282" t="s">
        <v>89</v>
      </c>
      <c r="H282" t="s">
        <v>19</v>
      </c>
      <c r="I282">
        <v>40</v>
      </c>
      <c r="J282" t="s">
        <v>27</v>
      </c>
      <c r="K282" t="str">
        <f>_xlfn.XLOOKUP( ventas[[#This Row],[ciudad_cliente]],  ciudades[Ciudad], ciudades[Region])</f>
        <v>Biobío</v>
      </c>
      <c r="L282" t="s">
        <v>22</v>
      </c>
      <c r="M282" t="s">
        <v>49</v>
      </c>
      <c r="N282" t="str">
        <f>_xlfn.XLOOKUP(ventas[[#This Row],[producto]], categ[Producto], categ[Categoria])</f>
        <v>Electrohogar</v>
      </c>
      <c r="O282">
        <v>800000</v>
      </c>
      <c r="P282">
        <v>3</v>
      </c>
      <c r="Q282" s="11">
        <v>0</v>
      </c>
      <c r="R282">
        <f>(ventas[[#This Row],[precio_unitario]]*ventas[[#This Row],[cantidad]])</f>
        <v>2400000</v>
      </c>
      <c r="S282">
        <f>ventas[[#This Row],[Total_Productos]]*ventas[[#This Row],[descuento_pct]]</f>
        <v>0</v>
      </c>
      <c r="T282">
        <f>ventas[[#This Row],[Total_Productos]]-ventas[[#This Row],[Valor_descuento]]</f>
        <v>2400000</v>
      </c>
    </row>
    <row r="283" spans="1:20" x14ac:dyDescent="0.3">
      <c r="A283">
        <v>720</v>
      </c>
      <c r="B283" s="1">
        <v>45647</v>
      </c>
      <c r="C283">
        <v>19</v>
      </c>
      <c r="D283">
        <v>5</v>
      </c>
      <c r="E283">
        <v>40</v>
      </c>
      <c r="F283" t="s">
        <v>88</v>
      </c>
      <c r="G283" t="s">
        <v>89</v>
      </c>
      <c r="H283" t="s">
        <v>19</v>
      </c>
      <c r="I283">
        <v>40</v>
      </c>
      <c r="J283" t="s">
        <v>20</v>
      </c>
      <c r="K283" t="str">
        <f>_xlfn.XLOOKUP( ventas[[#This Row],[ciudad_cliente]],  ciudades[Ciudad], ciudades[Region])</f>
        <v>La Araucanía</v>
      </c>
      <c r="L283" t="s">
        <v>38</v>
      </c>
      <c r="M283" t="s">
        <v>62</v>
      </c>
      <c r="N283" t="str">
        <f>_xlfn.XLOOKUP(ventas[[#This Row],[producto]], categ[Producto], categ[Categoria])</f>
        <v>Electrohogar</v>
      </c>
      <c r="O283">
        <v>650000</v>
      </c>
      <c r="P283">
        <v>3</v>
      </c>
      <c r="Q283" s="11">
        <v>0.1</v>
      </c>
      <c r="R283">
        <f>(ventas[[#This Row],[precio_unitario]]*ventas[[#This Row],[cantidad]])</f>
        <v>1950000</v>
      </c>
      <c r="S283">
        <f>ventas[[#This Row],[Total_Productos]]*ventas[[#This Row],[descuento_pct]]</f>
        <v>195000</v>
      </c>
      <c r="T283">
        <f>ventas[[#This Row],[Total_Productos]]-ventas[[#This Row],[Valor_descuento]]</f>
        <v>1755000</v>
      </c>
    </row>
    <row r="284" spans="1:20" x14ac:dyDescent="0.3">
      <c r="A284">
        <v>865</v>
      </c>
      <c r="B284" s="1">
        <v>45792</v>
      </c>
      <c r="C284">
        <v>56</v>
      </c>
      <c r="D284">
        <v>2</v>
      </c>
      <c r="E284">
        <v>40</v>
      </c>
      <c r="F284" t="s">
        <v>88</v>
      </c>
      <c r="G284" t="s">
        <v>89</v>
      </c>
      <c r="H284" t="s">
        <v>19</v>
      </c>
      <c r="I284">
        <v>40</v>
      </c>
      <c r="J284" t="s">
        <v>27</v>
      </c>
      <c r="K284" t="str">
        <f>_xlfn.XLOOKUP( ventas[[#This Row],[ciudad_cliente]],  ciudades[Ciudad], ciudades[Region])</f>
        <v>Biobío</v>
      </c>
      <c r="L284" t="s">
        <v>38</v>
      </c>
      <c r="M284" t="s">
        <v>56</v>
      </c>
      <c r="N284" t="str">
        <f>_xlfn.XLOOKUP(ventas[[#This Row],[producto]], categ[Producto], categ[Categoria])</f>
        <v>Vestuario</v>
      </c>
      <c r="O284">
        <v>25000</v>
      </c>
      <c r="P284">
        <v>1</v>
      </c>
      <c r="Q284" s="11">
        <v>0.1</v>
      </c>
      <c r="R284">
        <f>(ventas[[#This Row],[precio_unitario]]*ventas[[#This Row],[cantidad]])</f>
        <v>25000</v>
      </c>
      <c r="S284">
        <f>ventas[[#This Row],[Total_Productos]]*ventas[[#This Row],[descuento_pct]]</f>
        <v>2500</v>
      </c>
      <c r="T284">
        <f>ventas[[#This Row],[Total_Productos]]-ventas[[#This Row],[Valor_descuento]]</f>
        <v>22500</v>
      </c>
    </row>
    <row r="285" spans="1:20" x14ac:dyDescent="0.3">
      <c r="A285">
        <v>911</v>
      </c>
      <c r="B285" s="1">
        <v>45838</v>
      </c>
      <c r="C285">
        <v>40</v>
      </c>
      <c r="D285">
        <v>1</v>
      </c>
      <c r="E285">
        <v>40</v>
      </c>
      <c r="F285" t="s">
        <v>88</v>
      </c>
      <c r="G285" t="s">
        <v>89</v>
      </c>
      <c r="H285" t="s">
        <v>19</v>
      </c>
      <c r="I285">
        <v>40</v>
      </c>
      <c r="J285" t="s">
        <v>27</v>
      </c>
      <c r="K285" t="str">
        <f>_xlfn.XLOOKUP( ventas[[#This Row],[ciudad_cliente]],  ciudades[Ciudad], ciudades[Region])</f>
        <v>Biobío</v>
      </c>
      <c r="L285" t="s">
        <v>29</v>
      </c>
      <c r="M285" t="s">
        <v>49</v>
      </c>
      <c r="N285" t="str">
        <f>_xlfn.XLOOKUP(ventas[[#This Row],[producto]], categ[Producto], categ[Categoria])</f>
        <v>Electrohogar</v>
      </c>
      <c r="O285">
        <v>800000</v>
      </c>
      <c r="P285">
        <v>2</v>
      </c>
      <c r="Q285" s="11">
        <v>0</v>
      </c>
      <c r="R285">
        <f>(ventas[[#This Row],[precio_unitario]]*ventas[[#This Row],[cantidad]])</f>
        <v>1600000</v>
      </c>
      <c r="S285">
        <f>ventas[[#This Row],[Total_Productos]]*ventas[[#This Row],[descuento_pct]]</f>
        <v>0</v>
      </c>
      <c r="T285">
        <f>ventas[[#This Row],[Total_Productos]]-ventas[[#This Row],[Valor_descuento]]</f>
        <v>1600000</v>
      </c>
    </row>
    <row r="286" spans="1:20" x14ac:dyDescent="0.3">
      <c r="A286">
        <v>152</v>
      </c>
      <c r="B286" s="1">
        <v>45079</v>
      </c>
      <c r="C286">
        <v>57</v>
      </c>
      <c r="D286">
        <v>3</v>
      </c>
      <c r="E286">
        <v>229</v>
      </c>
      <c r="F286" t="s">
        <v>294</v>
      </c>
      <c r="G286" t="s">
        <v>295</v>
      </c>
      <c r="H286" t="s">
        <v>19</v>
      </c>
      <c r="I286">
        <v>29</v>
      </c>
      <c r="J286" t="s">
        <v>52</v>
      </c>
      <c r="K286" t="str">
        <f>_xlfn.XLOOKUP( ventas[[#This Row],[ciudad_cliente]],  ciudades[Ciudad], ciudades[Region])</f>
        <v>Biobío</v>
      </c>
      <c r="L286" t="s">
        <v>22</v>
      </c>
      <c r="M286" t="s">
        <v>98</v>
      </c>
      <c r="N286" t="str">
        <f>_xlfn.XLOOKUP(ventas[[#This Row],[producto]], categ[Producto], categ[Categoria])</f>
        <v>Calzado</v>
      </c>
      <c r="O286">
        <v>55000</v>
      </c>
      <c r="P286">
        <v>2</v>
      </c>
      <c r="Q286" s="11">
        <v>0.05</v>
      </c>
      <c r="R286">
        <f>(ventas[[#This Row],[precio_unitario]]*ventas[[#This Row],[cantidad]])</f>
        <v>110000</v>
      </c>
      <c r="S286">
        <f>ventas[[#This Row],[Total_Productos]]*ventas[[#This Row],[descuento_pct]]</f>
        <v>5500</v>
      </c>
      <c r="T286">
        <f>ventas[[#This Row],[Total_Productos]]-ventas[[#This Row],[Valor_descuento]]</f>
        <v>104500</v>
      </c>
    </row>
    <row r="287" spans="1:20" x14ac:dyDescent="0.3">
      <c r="A287">
        <v>183</v>
      </c>
      <c r="B287" s="1">
        <v>45110</v>
      </c>
      <c r="C287">
        <v>24</v>
      </c>
      <c r="D287">
        <v>3</v>
      </c>
      <c r="E287">
        <v>229</v>
      </c>
      <c r="F287" t="s">
        <v>294</v>
      </c>
      <c r="G287" t="s">
        <v>295</v>
      </c>
      <c r="H287" t="s">
        <v>19</v>
      </c>
      <c r="I287">
        <v>29</v>
      </c>
      <c r="J287" t="s">
        <v>84</v>
      </c>
      <c r="K287" t="str">
        <f>_xlfn.XLOOKUP( ventas[[#This Row],[ciudad_cliente]],  ciudades[Ciudad], ciudades[Region])</f>
        <v>Coquimbo</v>
      </c>
      <c r="L287" t="s">
        <v>29</v>
      </c>
      <c r="M287" t="s">
        <v>23</v>
      </c>
      <c r="N287" t="str">
        <f>_xlfn.XLOOKUP(ventas[[#This Row],[producto]], categ[Producto], categ[Categoria])</f>
        <v>Belleza</v>
      </c>
      <c r="O287">
        <v>15000</v>
      </c>
      <c r="P287">
        <v>3</v>
      </c>
      <c r="Q287" s="11">
        <v>0</v>
      </c>
      <c r="R287">
        <f>(ventas[[#This Row],[precio_unitario]]*ventas[[#This Row],[cantidad]])</f>
        <v>45000</v>
      </c>
      <c r="S287">
        <f>ventas[[#This Row],[Total_Productos]]*ventas[[#This Row],[descuento_pct]]</f>
        <v>0</v>
      </c>
      <c r="T287">
        <f>ventas[[#This Row],[Total_Productos]]-ventas[[#This Row],[Valor_descuento]]</f>
        <v>45000</v>
      </c>
    </row>
    <row r="288" spans="1:20" x14ac:dyDescent="0.3">
      <c r="A288">
        <v>374</v>
      </c>
      <c r="B288" s="1">
        <v>45301</v>
      </c>
      <c r="C288">
        <v>32</v>
      </c>
      <c r="D288">
        <v>5</v>
      </c>
      <c r="E288">
        <v>229</v>
      </c>
      <c r="F288" t="s">
        <v>294</v>
      </c>
      <c r="G288" t="s">
        <v>295</v>
      </c>
      <c r="H288" t="s">
        <v>19</v>
      </c>
      <c r="I288">
        <v>29</v>
      </c>
      <c r="J288" t="s">
        <v>76</v>
      </c>
      <c r="K288" t="str">
        <f>_xlfn.XLOOKUP( ventas[[#This Row],[ciudad_cliente]],  ciudades[Ciudad], ciudades[Region])</f>
        <v>Los Lagos</v>
      </c>
      <c r="L288" t="s">
        <v>22</v>
      </c>
      <c r="M288" t="s">
        <v>102</v>
      </c>
      <c r="N288" t="str">
        <f>_xlfn.XLOOKUP(ventas[[#This Row],[producto]], categ[Producto], categ[Categoria])</f>
        <v>Vestuario</v>
      </c>
      <c r="O288">
        <v>12000</v>
      </c>
      <c r="P288">
        <v>2</v>
      </c>
      <c r="Q288" s="11">
        <v>0.05</v>
      </c>
      <c r="R288">
        <f>(ventas[[#This Row],[precio_unitario]]*ventas[[#This Row],[cantidad]])</f>
        <v>24000</v>
      </c>
      <c r="S288">
        <f>ventas[[#This Row],[Total_Productos]]*ventas[[#This Row],[descuento_pct]]</f>
        <v>1200</v>
      </c>
      <c r="T288">
        <f>ventas[[#This Row],[Total_Productos]]-ventas[[#This Row],[Valor_descuento]]</f>
        <v>22800</v>
      </c>
    </row>
    <row r="289" spans="1:20" x14ac:dyDescent="0.3">
      <c r="A289">
        <v>962</v>
      </c>
      <c r="B289" s="1">
        <v>45889</v>
      </c>
      <c r="C289">
        <v>46</v>
      </c>
      <c r="D289">
        <v>5</v>
      </c>
      <c r="E289">
        <v>229</v>
      </c>
      <c r="F289" t="s">
        <v>294</v>
      </c>
      <c r="G289" t="s">
        <v>295</v>
      </c>
      <c r="H289" t="s">
        <v>19</v>
      </c>
      <c r="I289">
        <v>29</v>
      </c>
      <c r="J289" t="s">
        <v>84</v>
      </c>
      <c r="K289" t="str">
        <f>_xlfn.XLOOKUP( ventas[[#This Row],[ciudad_cliente]],  ciudades[Ciudad], ciudades[Region])</f>
        <v>Coquimbo</v>
      </c>
      <c r="L289" t="s">
        <v>22</v>
      </c>
      <c r="M289" t="s">
        <v>62</v>
      </c>
      <c r="N289" t="str">
        <f>_xlfn.XLOOKUP(ventas[[#This Row],[producto]], categ[Producto], categ[Categoria])</f>
        <v>Electrohogar</v>
      </c>
      <c r="O289">
        <v>650000</v>
      </c>
      <c r="P289">
        <v>2</v>
      </c>
      <c r="Q289" s="11">
        <v>0</v>
      </c>
      <c r="R289">
        <f>(ventas[[#This Row],[precio_unitario]]*ventas[[#This Row],[cantidad]])</f>
        <v>1300000</v>
      </c>
      <c r="S289">
        <f>ventas[[#This Row],[Total_Productos]]*ventas[[#This Row],[descuento_pct]]</f>
        <v>0</v>
      </c>
      <c r="T289">
        <f>ventas[[#This Row],[Total_Productos]]-ventas[[#This Row],[Valor_descuento]]</f>
        <v>1300000</v>
      </c>
    </row>
    <row r="290" spans="1:20" x14ac:dyDescent="0.3">
      <c r="A290">
        <v>984</v>
      </c>
      <c r="B290" s="1">
        <v>45911</v>
      </c>
      <c r="C290">
        <v>7</v>
      </c>
      <c r="D290">
        <v>8</v>
      </c>
      <c r="E290">
        <v>229</v>
      </c>
      <c r="F290" t="s">
        <v>294</v>
      </c>
      <c r="G290" t="s">
        <v>295</v>
      </c>
      <c r="H290" t="s">
        <v>19</v>
      </c>
      <c r="I290">
        <v>29</v>
      </c>
      <c r="J290" t="s">
        <v>37</v>
      </c>
      <c r="K290" t="str">
        <f>_xlfn.XLOOKUP( ventas[[#This Row],[ciudad_cliente]],  ciudades[Ciudad], ciudades[Region])</f>
        <v>Valparaíso</v>
      </c>
      <c r="L290" t="s">
        <v>38</v>
      </c>
      <c r="M290" t="s">
        <v>69</v>
      </c>
      <c r="N290" t="str">
        <f>_xlfn.XLOOKUP(ventas[[#This Row],[producto]], categ[Producto], categ[Categoria])</f>
        <v>Tecnología</v>
      </c>
      <c r="O290">
        <v>450000</v>
      </c>
      <c r="P290">
        <v>2</v>
      </c>
      <c r="Q290" s="11">
        <v>0.05</v>
      </c>
      <c r="R290">
        <f>(ventas[[#This Row],[precio_unitario]]*ventas[[#This Row],[cantidad]])</f>
        <v>900000</v>
      </c>
      <c r="S290">
        <f>ventas[[#This Row],[Total_Productos]]*ventas[[#This Row],[descuento_pct]]</f>
        <v>45000</v>
      </c>
      <c r="T290">
        <f>ventas[[#This Row],[Total_Productos]]-ventas[[#This Row],[Valor_descuento]]</f>
        <v>855000</v>
      </c>
    </row>
    <row r="291" spans="1:20" x14ac:dyDescent="0.3">
      <c r="A291">
        <v>146</v>
      </c>
      <c r="B291" s="1">
        <v>45073</v>
      </c>
      <c r="C291">
        <v>18</v>
      </c>
      <c r="D291">
        <v>1</v>
      </c>
      <c r="E291">
        <v>247</v>
      </c>
      <c r="F291" t="s">
        <v>284</v>
      </c>
      <c r="G291" t="s">
        <v>285</v>
      </c>
      <c r="H291" t="s">
        <v>42</v>
      </c>
      <c r="I291">
        <v>32</v>
      </c>
      <c r="J291" t="s">
        <v>27</v>
      </c>
      <c r="K291" t="str">
        <f>_xlfn.XLOOKUP( ventas[[#This Row],[ciudad_cliente]],  ciudades[Ciudad], ciudades[Region])</f>
        <v>Biobío</v>
      </c>
      <c r="L291" t="s">
        <v>22</v>
      </c>
      <c r="M291" t="s">
        <v>49</v>
      </c>
      <c r="N291" t="str">
        <f>_xlfn.XLOOKUP(ventas[[#This Row],[producto]], categ[Producto], categ[Categoria])</f>
        <v>Electrohogar</v>
      </c>
      <c r="O291">
        <v>800000</v>
      </c>
      <c r="P291">
        <v>3</v>
      </c>
      <c r="Q291" s="11">
        <v>0</v>
      </c>
      <c r="R291">
        <f>(ventas[[#This Row],[precio_unitario]]*ventas[[#This Row],[cantidad]])</f>
        <v>2400000</v>
      </c>
      <c r="S291">
        <f>ventas[[#This Row],[Total_Productos]]*ventas[[#This Row],[descuento_pct]]</f>
        <v>0</v>
      </c>
      <c r="T291">
        <f>ventas[[#This Row],[Total_Productos]]-ventas[[#This Row],[Valor_descuento]]</f>
        <v>2400000</v>
      </c>
    </row>
    <row r="292" spans="1:20" x14ac:dyDescent="0.3">
      <c r="A292">
        <v>487</v>
      </c>
      <c r="B292" s="1">
        <v>45414</v>
      </c>
      <c r="C292">
        <v>21</v>
      </c>
      <c r="D292">
        <v>5</v>
      </c>
      <c r="E292">
        <v>247</v>
      </c>
      <c r="F292" t="s">
        <v>284</v>
      </c>
      <c r="G292" t="s">
        <v>285</v>
      </c>
      <c r="H292" t="s">
        <v>42</v>
      </c>
      <c r="I292">
        <v>32</v>
      </c>
      <c r="J292" t="s">
        <v>76</v>
      </c>
      <c r="K292" t="str">
        <f>_xlfn.XLOOKUP( ventas[[#This Row],[ciudad_cliente]],  ciudades[Ciudad], ciudades[Region])</f>
        <v>Los Lagos</v>
      </c>
      <c r="L292" t="s">
        <v>38</v>
      </c>
      <c r="M292" t="s">
        <v>69</v>
      </c>
      <c r="N292" t="str">
        <f>_xlfn.XLOOKUP(ventas[[#This Row],[producto]], categ[Producto], categ[Categoria])</f>
        <v>Tecnología</v>
      </c>
      <c r="O292">
        <v>450000</v>
      </c>
      <c r="P292">
        <v>2</v>
      </c>
      <c r="Q292" s="11">
        <v>0</v>
      </c>
      <c r="R292">
        <f>(ventas[[#This Row],[precio_unitario]]*ventas[[#This Row],[cantidad]])</f>
        <v>900000</v>
      </c>
      <c r="S292">
        <f>ventas[[#This Row],[Total_Productos]]*ventas[[#This Row],[descuento_pct]]</f>
        <v>0</v>
      </c>
      <c r="T292">
        <f>ventas[[#This Row],[Total_Productos]]-ventas[[#This Row],[Valor_descuento]]</f>
        <v>900000</v>
      </c>
    </row>
    <row r="293" spans="1:20" x14ac:dyDescent="0.3">
      <c r="A293">
        <v>39</v>
      </c>
      <c r="B293" s="1">
        <v>44966</v>
      </c>
      <c r="C293">
        <v>20</v>
      </c>
      <c r="D293">
        <v>0</v>
      </c>
      <c r="E293">
        <v>178</v>
      </c>
      <c r="F293" t="s">
        <v>126</v>
      </c>
      <c r="G293" t="s">
        <v>127</v>
      </c>
      <c r="H293" t="s">
        <v>42</v>
      </c>
      <c r="I293">
        <v>55</v>
      </c>
      <c r="J293" t="s">
        <v>20</v>
      </c>
      <c r="K293" t="str">
        <f>_xlfn.XLOOKUP( ventas[[#This Row],[ciudad_cliente]],  ciudades[Ciudad], ciudades[Region])</f>
        <v>La Araucanía</v>
      </c>
      <c r="L293" t="s">
        <v>22</v>
      </c>
      <c r="M293" t="s">
        <v>46</v>
      </c>
      <c r="N293" t="str">
        <f>_xlfn.XLOOKUP(ventas[[#This Row],[producto]], categ[Producto], categ[Categoria])</f>
        <v>Tecnología</v>
      </c>
      <c r="O293">
        <v>750000</v>
      </c>
      <c r="P293">
        <v>2</v>
      </c>
      <c r="Q293" s="11">
        <v>0.05</v>
      </c>
      <c r="R293">
        <f>(ventas[[#This Row],[precio_unitario]]*ventas[[#This Row],[cantidad]])</f>
        <v>1500000</v>
      </c>
      <c r="S293">
        <f>ventas[[#This Row],[Total_Productos]]*ventas[[#This Row],[descuento_pct]]</f>
        <v>75000</v>
      </c>
      <c r="T293">
        <f>ventas[[#This Row],[Total_Productos]]-ventas[[#This Row],[Valor_descuento]]</f>
        <v>1425000</v>
      </c>
    </row>
    <row r="294" spans="1:20" x14ac:dyDescent="0.3">
      <c r="A294">
        <v>138</v>
      </c>
      <c r="B294" s="1">
        <v>45065</v>
      </c>
      <c r="C294">
        <v>56</v>
      </c>
      <c r="D294">
        <v>2</v>
      </c>
      <c r="E294">
        <v>178</v>
      </c>
      <c r="F294" t="s">
        <v>126</v>
      </c>
      <c r="G294" t="s">
        <v>127</v>
      </c>
      <c r="H294" t="s">
        <v>42</v>
      </c>
      <c r="I294">
        <v>55</v>
      </c>
      <c r="J294" t="s">
        <v>27</v>
      </c>
      <c r="K294" t="str">
        <f>_xlfn.XLOOKUP( ventas[[#This Row],[ciudad_cliente]],  ciudades[Ciudad], ciudades[Region])</f>
        <v>Biobío</v>
      </c>
      <c r="L294" t="s">
        <v>29</v>
      </c>
      <c r="M294" t="s">
        <v>62</v>
      </c>
      <c r="N294" t="str">
        <f>_xlfn.XLOOKUP(ventas[[#This Row],[producto]], categ[Producto], categ[Categoria])</f>
        <v>Electrohogar</v>
      </c>
      <c r="O294">
        <v>650000</v>
      </c>
      <c r="P294">
        <v>1</v>
      </c>
      <c r="Q294" s="11">
        <v>0</v>
      </c>
      <c r="R294">
        <f>(ventas[[#This Row],[precio_unitario]]*ventas[[#This Row],[cantidad]])</f>
        <v>650000</v>
      </c>
      <c r="S294">
        <f>ventas[[#This Row],[Total_Productos]]*ventas[[#This Row],[descuento_pct]]</f>
        <v>0</v>
      </c>
      <c r="T294">
        <f>ventas[[#This Row],[Total_Productos]]-ventas[[#This Row],[Valor_descuento]]</f>
        <v>650000</v>
      </c>
    </row>
    <row r="295" spans="1:20" x14ac:dyDescent="0.3">
      <c r="A295">
        <v>154</v>
      </c>
      <c r="B295" s="1">
        <v>45081</v>
      </c>
      <c r="C295">
        <v>27</v>
      </c>
      <c r="D295">
        <v>4</v>
      </c>
      <c r="E295">
        <v>178</v>
      </c>
      <c r="F295" t="s">
        <v>126</v>
      </c>
      <c r="G295" t="s">
        <v>127</v>
      </c>
      <c r="H295" t="s">
        <v>42</v>
      </c>
      <c r="I295">
        <v>55</v>
      </c>
      <c r="J295" t="s">
        <v>116</v>
      </c>
      <c r="K295" t="str">
        <f>_xlfn.XLOOKUP( ventas[[#This Row],[ciudad_cliente]],  ciudades[Ciudad], ciudades[Region])</f>
        <v>Valparaíso</v>
      </c>
      <c r="L295" t="s">
        <v>38</v>
      </c>
      <c r="M295" t="s">
        <v>30</v>
      </c>
      <c r="N295" t="str">
        <f>_xlfn.XLOOKUP(ventas[[#This Row],[producto]], categ[Producto], categ[Categoria])</f>
        <v>Electrohogar</v>
      </c>
      <c r="O295">
        <v>700000</v>
      </c>
      <c r="P295">
        <v>3</v>
      </c>
      <c r="Q295" s="11">
        <v>0.1</v>
      </c>
      <c r="R295">
        <f>(ventas[[#This Row],[precio_unitario]]*ventas[[#This Row],[cantidad]])</f>
        <v>2100000</v>
      </c>
      <c r="S295">
        <f>ventas[[#This Row],[Total_Productos]]*ventas[[#This Row],[descuento_pct]]</f>
        <v>210000</v>
      </c>
      <c r="T295">
        <f>ventas[[#This Row],[Total_Productos]]-ventas[[#This Row],[Valor_descuento]]</f>
        <v>1890000</v>
      </c>
    </row>
    <row r="296" spans="1:20" x14ac:dyDescent="0.3">
      <c r="A296">
        <v>410</v>
      </c>
      <c r="B296" s="1">
        <v>45337</v>
      </c>
      <c r="C296">
        <v>10</v>
      </c>
      <c r="D296">
        <v>7</v>
      </c>
      <c r="E296">
        <v>178</v>
      </c>
      <c r="F296" t="s">
        <v>126</v>
      </c>
      <c r="G296" t="s">
        <v>127</v>
      </c>
      <c r="H296" t="s">
        <v>42</v>
      </c>
      <c r="I296">
        <v>55</v>
      </c>
      <c r="J296" t="s">
        <v>37</v>
      </c>
      <c r="K296" t="str">
        <f>_xlfn.XLOOKUP( ventas[[#This Row],[ciudad_cliente]],  ciudades[Ciudad], ciudades[Region])</f>
        <v>Valparaíso</v>
      </c>
      <c r="L296" t="s">
        <v>29</v>
      </c>
      <c r="M296" t="s">
        <v>23</v>
      </c>
      <c r="N296" t="str">
        <f>_xlfn.XLOOKUP(ventas[[#This Row],[producto]], categ[Producto], categ[Categoria])</f>
        <v>Belleza</v>
      </c>
      <c r="O296">
        <v>15000</v>
      </c>
      <c r="P296">
        <v>3</v>
      </c>
      <c r="Q296" s="11">
        <v>0</v>
      </c>
      <c r="R296">
        <f>(ventas[[#This Row],[precio_unitario]]*ventas[[#This Row],[cantidad]])</f>
        <v>45000</v>
      </c>
      <c r="S296">
        <f>ventas[[#This Row],[Total_Productos]]*ventas[[#This Row],[descuento_pct]]</f>
        <v>0</v>
      </c>
      <c r="T296">
        <f>ventas[[#This Row],[Total_Productos]]-ventas[[#This Row],[Valor_descuento]]</f>
        <v>45000</v>
      </c>
    </row>
    <row r="297" spans="1:20" x14ac:dyDescent="0.3">
      <c r="A297">
        <v>510</v>
      </c>
      <c r="B297" s="1">
        <v>45437</v>
      </c>
      <c r="C297">
        <v>13</v>
      </c>
      <c r="D297">
        <v>0</v>
      </c>
      <c r="E297">
        <v>178</v>
      </c>
      <c r="F297" t="s">
        <v>126</v>
      </c>
      <c r="G297" t="s">
        <v>127</v>
      </c>
      <c r="H297" t="s">
        <v>42</v>
      </c>
      <c r="I297">
        <v>55</v>
      </c>
      <c r="J297" t="s">
        <v>27</v>
      </c>
      <c r="K297" t="str">
        <f>_xlfn.XLOOKUP( ventas[[#This Row],[ciudad_cliente]],  ciudades[Ciudad], ciudades[Region])</f>
        <v>Biobío</v>
      </c>
      <c r="L297" t="s">
        <v>38</v>
      </c>
      <c r="M297" t="s">
        <v>56</v>
      </c>
      <c r="N297" t="str">
        <f>_xlfn.XLOOKUP(ventas[[#This Row],[producto]], categ[Producto], categ[Categoria])</f>
        <v>Vestuario</v>
      </c>
      <c r="O297">
        <v>25000</v>
      </c>
      <c r="P297">
        <v>2</v>
      </c>
      <c r="Q297" s="11">
        <v>0.1</v>
      </c>
      <c r="R297">
        <f>(ventas[[#This Row],[precio_unitario]]*ventas[[#This Row],[cantidad]])</f>
        <v>50000</v>
      </c>
      <c r="S297">
        <f>ventas[[#This Row],[Total_Productos]]*ventas[[#This Row],[descuento_pct]]</f>
        <v>5000</v>
      </c>
      <c r="T297">
        <f>ventas[[#This Row],[Total_Productos]]-ventas[[#This Row],[Valor_descuento]]</f>
        <v>45000</v>
      </c>
    </row>
    <row r="298" spans="1:20" x14ac:dyDescent="0.3">
      <c r="A298">
        <v>581</v>
      </c>
      <c r="B298" s="1">
        <v>45508</v>
      </c>
      <c r="C298">
        <v>47</v>
      </c>
      <c r="D298">
        <v>1</v>
      </c>
      <c r="E298">
        <v>178</v>
      </c>
      <c r="F298" t="s">
        <v>126</v>
      </c>
      <c r="G298" t="s">
        <v>127</v>
      </c>
      <c r="H298" t="s">
        <v>42</v>
      </c>
      <c r="I298">
        <v>55</v>
      </c>
      <c r="J298" t="s">
        <v>116</v>
      </c>
      <c r="K298" t="str">
        <f>_xlfn.XLOOKUP( ventas[[#This Row],[ciudad_cliente]],  ciudades[Ciudad], ciudades[Region])</f>
        <v>Valparaíso</v>
      </c>
      <c r="L298" t="s">
        <v>38</v>
      </c>
      <c r="M298" t="s">
        <v>46</v>
      </c>
      <c r="N298" t="str">
        <f>_xlfn.XLOOKUP(ventas[[#This Row],[producto]], categ[Producto], categ[Categoria])</f>
        <v>Tecnología</v>
      </c>
      <c r="O298">
        <v>750000</v>
      </c>
      <c r="P298">
        <v>2</v>
      </c>
      <c r="Q298" s="11">
        <v>0.1</v>
      </c>
      <c r="R298">
        <f>(ventas[[#This Row],[precio_unitario]]*ventas[[#This Row],[cantidad]])</f>
        <v>1500000</v>
      </c>
      <c r="S298">
        <f>ventas[[#This Row],[Total_Productos]]*ventas[[#This Row],[descuento_pct]]</f>
        <v>150000</v>
      </c>
      <c r="T298">
        <f>ventas[[#This Row],[Total_Productos]]-ventas[[#This Row],[Valor_descuento]]</f>
        <v>1350000</v>
      </c>
    </row>
    <row r="299" spans="1:20" x14ac:dyDescent="0.3">
      <c r="A299">
        <v>833</v>
      </c>
      <c r="B299" s="1">
        <v>45760</v>
      </c>
      <c r="C299">
        <v>5</v>
      </c>
      <c r="D299">
        <v>1</v>
      </c>
      <c r="E299">
        <v>178</v>
      </c>
      <c r="F299" t="s">
        <v>126</v>
      </c>
      <c r="G299" t="s">
        <v>127</v>
      </c>
      <c r="H299" t="s">
        <v>42</v>
      </c>
      <c r="I299">
        <v>55</v>
      </c>
      <c r="J299" t="s">
        <v>27</v>
      </c>
      <c r="K299" t="str">
        <f>_xlfn.XLOOKUP( ventas[[#This Row],[ciudad_cliente]],  ciudades[Ciudad], ciudades[Region])</f>
        <v>Biobío</v>
      </c>
      <c r="L299" t="s">
        <v>22</v>
      </c>
      <c r="M299" t="s">
        <v>30</v>
      </c>
      <c r="N299" t="str">
        <f>_xlfn.XLOOKUP(ventas[[#This Row],[producto]], categ[Producto], categ[Categoria])</f>
        <v>Electrohogar</v>
      </c>
      <c r="O299">
        <v>700000</v>
      </c>
      <c r="P299">
        <v>1</v>
      </c>
      <c r="Q299" s="11">
        <v>0.05</v>
      </c>
      <c r="R299">
        <f>(ventas[[#This Row],[precio_unitario]]*ventas[[#This Row],[cantidad]])</f>
        <v>700000</v>
      </c>
      <c r="S299">
        <f>ventas[[#This Row],[Total_Productos]]*ventas[[#This Row],[descuento_pct]]</f>
        <v>35000</v>
      </c>
      <c r="T299">
        <f>ventas[[#This Row],[Total_Productos]]-ventas[[#This Row],[Valor_descuento]]</f>
        <v>665000</v>
      </c>
    </row>
    <row r="300" spans="1:20" x14ac:dyDescent="0.3">
      <c r="A300">
        <v>323</v>
      </c>
      <c r="B300" s="1">
        <v>45250</v>
      </c>
      <c r="C300">
        <v>30</v>
      </c>
      <c r="D300">
        <v>0</v>
      </c>
      <c r="E300">
        <v>153</v>
      </c>
      <c r="F300" t="s">
        <v>454</v>
      </c>
      <c r="G300" t="s">
        <v>455</v>
      </c>
      <c r="H300" t="s">
        <v>19</v>
      </c>
      <c r="I300">
        <v>29</v>
      </c>
      <c r="J300" t="s">
        <v>37</v>
      </c>
      <c r="K300" t="str">
        <f>_xlfn.XLOOKUP( ventas[[#This Row],[ciudad_cliente]],  ciudades[Ciudad], ciudades[Region])</f>
        <v>Valparaíso</v>
      </c>
      <c r="L300" t="s">
        <v>38</v>
      </c>
      <c r="M300" t="s">
        <v>56</v>
      </c>
      <c r="N300" t="str">
        <f>_xlfn.XLOOKUP(ventas[[#This Row],[producto]], categ[Producto], categ[Categoria])</f>
        <v>Vestuario</v>
      </c>
      <c r="O300">
        <v>25000</v>
      </c>
      <c r="P300">
        <v>2</v>
      </c>
      <c r="Q300" s="11">
        <v>0</v>
      </c>
      <c r="R300">
        <f>(ventas[[#This Row],[precio_unitario]]*ventas[[#This Row],[cantidad]])</f>
        <v>50000</v>
      </c>
      <c r="S300">
        <f>ventas[[#This Row],[Total_Productos]]*ventas[[#This Row],[descuento_pct]]</f>
        <v>0</v>
      </c>
      <c r="T300">
        <f>ventas[[#This Row],[Total_Productos]]-ventas[[#This Row],[Valor_descuento]]</f>
        <v>50000</v>
      </c>
    </row>
    <row r="301" spans="1:20" x14ac:dyDescent="0.3">
      <c r="A301">
        <v>810</v>
      </c>
      <c r="B301" s="1">
        <v>45737</v>
      </c>
      <c r="C301">
        <v>49</v>
      </c>
      <c r="D301">
        <v>1</v>
      </c>
      <c r="E301">
        <v>153</v>
      </c>
      <c r="F301" t="s">
        <v>454</v>
      </c>
      <c r="G301" t="s">
        <v>455</v>
      </c>
      <c r="H301" t="s">
        <v>19</v>
      </c>
      <c r="I301">
        <v>29</v>
      </c>
      <c r="J301" t="s">
        <v>43</v>
      </c>
      <c r="K301" t="str">
        <f>_xlfn.XLOOKUP( ventas[[#This Row],[ciudad_cliente]],  ciudades[Ciudad], ciudades[Region])</f>
        <v>Antofagasta</v>
      </c>
      <c r="L301" t="s">
        <v>38</v>
      </c>
      <c r="M301" t="s">
        <v>69</v>
      </c>
      <c r="N301" t="str">
        <f>_xlfn.XLOOKUP(ventas[[#This Row],[producto]], categ[Producto], categ[Categoria])</f>
        <v>Tecnología</v>
      </c>
      <c r="O301">
        <v>450000</v>
      </c>
      <c r="P301">
        <v>3</v>
      </c>
      <c r="Q301" s="11">
        <v>0.1</v>
      </c>
      <c r="R301">
        <f>(ventas[[#This Row],[precio_unitario]]*ventas[[#This Row],[cantidad]])</f>
        <v>1350000</v>
      </c>
      <c r="S301">
        <f>ventas[[#This Row],[Total_Productos]]*ventas[[#This Row],[descuento_pct]]</f>
        <v>135000</v>
      </c>
      <c r="T301">
        <f>ventas[[#This Row],[Total_Productos]]-ventas[[#This Row],[Valor_descuento]]</f>
        <v>1215000</v>
      </c>
    </row>
    <row r="302" spans="1:20" x14ac:dyDescent="0.3">
      <c r="A302">
        <v>898</v>
      </c>
      <c r="B302" s="1">
        <v>45825</v>
      </c>
      <c r="C302">
        <v>69</v>
      </c>
      <c r="D302">
        <v>1</v>
      </c>
      <c r="E302">
        <v>153</v>
      </c>
      <c r="F302" t="s">
        <v>454</v>
      </c>
      <c r="G302" t="s">
        <v>455</v>
      </c>
      <c r="H302" t="s">
        <v>19</v>
      </c>
      <c r="I302">
        <v>29</v>
      </c>
      <c r="J302" t="s">
        <v>76</v>
      </c>
      <c r="K302" t="str">
        <f>_xlfn.XLOOKUP( ventas[[#This Row],[ciudad_cliente]],  ciudades[Ciudad], ciudades[Region])</f>
        <v>Los Lagos</v>
      </c>
      <c r="L302" t="s">
        <v>22</v>
      </c>
      <c r="M302" t="s">
        <v>30</v>
      </c>
      <c r="N302" t="str">
        <f>_xlfn.XLOOKUP(ventas[[#This Row],[producto]], categ[Producto], categ[Categoria])</f>
        <v>Electrohogar</v>
      </c>
      <c r="O302">
        <v>700000</v>
      </c>
      <c r="P302">
        <v>3</v>
      </c>
      <c r="Q302" s="11">
        <v>0</v>
      </c>
      <c r="R302">
        <f>(ventas[[#This Row],[precio_unitario]]*ventas[[#This Row],[cantidad]])</f>
        <v>2100000</v>
      </c>
      <c r="S302">
        <f>ventas[[#This Row],[Total_Productos]]*ventas[[#This Row],[descuento_pct]]</f>
        <v>0</v>
      </c>
      <c r="T302">
        <f>ventas[[#This Row],[Total_Productos]]-ventas[[#This Row],[Valor_descuento]]</f>
        <v>2100000</v>
      </c>
    </row>
    <row r="303" spans="1:20" x14ac:dyDescent="0.3">
      <c r="A303">
        <v>702</v>
      </c>
      <c r="B303" s="1">
        <v>45629</v>
      </c>
      <c r="C303">
        <v>30</v>
      </c>
      <c r="D303">
        <v>0</v>
      </c>
      <c r="E303">
        <v>199</v>
      </c>
      <c r="F303" t="s">
        <v>574</v>
      </c>
      <c r="G303" t="s">
        <v>575</v>
      </c>
      <c r="H303" t="s">
        <v>19</v>
      </c>
      <c r="I303">
        <v>38</v>
      </c>
      <c r="J303" t="s">
        <v>37</v>
      </c>
      <c r="K303" t="str">
        <f>_xlfn.XLOOKUP( ventas[[#This Row],[ciudad_cliente]],  ciudades[Ciudad], ciudades[Region])</f>
        <v>Valparaíso</v>
      </c>
      <c r="L303" t="s">
        <v>22</v>
      </c>
      <c r="M303" t="s">
        <v>98</v>
      </c>
      <c r="N303" t="str">
        <f>_xlfn.XLOOKUP(ventas[[#This Row],[producto]], categ[Producto], categ[Categoria])</f>
        <v>Calzado</v>
      </c>
      <c r="O303">
        <v>55000</v>
      </c>
      <c r="P303">
        <v>2</v>
      </c>
      <c r="Q303" s="11">
        <v>0</v>
      </c>
      <c r="R303">
        <f>(ventas[[#This Row],[precio_unitario]]*ventas[[#This Row],[cantidad]])</f>
        <v>110000</v>
      </c>
      <c r="S303">
        <f>ventas[[#This Row],[Total_Productos]]*ventas[[#This Row],[descuento_pct]]</f>
        <v>0</v>
      </c>
      <c r="T303">
        <f>ventas[[#This Row],[Total_Productos]]-ventas[[#This Row],[Valor_descuento]]</f>
        <v>110000</v>
      </c>
    </row>
    <row r="304" spans="1:20" x14ac:dyDescent="0.3">
      <c r="A304">
        <v>889</v>
      </c>
      <c r="B304" s="1">
        <v>45816</v>
      </c>
      <c r="C304">
        <v>9</v>
      </c>
      <c r="D304">
        <v>9</v>
      </c>
      <c r="E304">
        <v>199</v>
      </c>
      <c r="F304" t="s">
        <v>574</v>
      </c>
      <c r="G304" t="s">
        <v>575</v>
      </c>
      <c r="H304" t="s">
        <v>19</v>
      </c>
      <c r="I304">
        <v>38</v>
      </c>
      <c r="J304" t="s">
        <v>37</v>
      </c>
      <c r="K304" t="str">
        <f>_xlfn.XLOOKUP( ventas[[#This Row],[ciudad_cliente]],  ciudades[Ciudad], ciudades[Region])</f>
        <v>Valparaíso</v>
      </c>
      <c r="L304" t="s">
        <v>22</v>
      </c>
      <c r="M304" t="s">
        <v>30</v>
      </c>
      <c r="N304" t="str">
        <f>_xlfn.XLOOKUP(ventas[[#This Row],[producto]], categ[Producto], categ[Categoria])</f>
        <v>Electrohogar</v>
      </c>
      <c r="O304">
        <v>700000</v>
      </c>
      <c r="P304">
        <v>1</v>
      </c>
      <c r="Q304" s="11">
        <v>0</v>
      </c>
      <c r="R304">
        <f>(ventas[[#This Row],[precio_unitario]]*ventas[[#This Row],[cantidad]])</f>
        <v>700000</v>
      </c>
      <c r="S304">
        <f>ventas[[#This Row],[Total_Productos]]*ventas[[#This Row],[descuento_pct]]</f>
        <v>0</v>
      </c>
      <c r="T304">
        <f>ventas[[#This Row],[Total_Productos]]-ventas[[#This Row],[Valor_descuento]]</f>
        <v>700000</v>
      </c>
    </row>
    <row r="305" spans="1:20" x14ac:dyDescent="0.3">
      <c r="A305">
        <v>172</v>
      </c>
      <c r="B305" s="1">
        <v>45099</v>
      </c>
      <c r="C305">
        <v>58</v>
      </c>
      <c r="D305">
        <v>1</v>
      </c>
      <c r="E305">
        <v>107</v>
      </c>
      <c r="F305" t="s">
        <v>324</v>
      </c>
      <c r="G305" t="s">
        <v>325</v>
      </c>
      <c r="H305" t="s">
        <v>42</v>
      </c>
      <c r="I305">
        <v>60</v>
      </c>
      <c r="J305" t="s">
        <v>76</v>
      </c>
      <c r="K305" t="str">
        <f>_xlfn.XLOOKUP( ventas[[#This Row],[ciudad_cliente]],  ciudades[Ciudad], ciudades[Region])</f>
        <v>Los Lagos</v>
      </c>
      <c r="L305" t="s">
        <v>38</v>
      </c>
      <c r="M305" t="s">
        <v>46</v>
      </c>
      <c r="N305" t="str">
        <f>_xlfn.XLOOKUP(ventas[[#This Row],[producto]], categ[Producto], categ[Categoria])</f>
        <v>Tecnología</v>
      </c>
      <c r="O305">
        <v>750000</v>
      </c>
      <c r="P305">
        <v>3</v>
      </c>
      <c r="Q305" s="11">
        <v>0</v>
      </c>
      <c r="R305">
        <f>(ventas[[#This Row],[precio_unitario]]*ventas[[#This Row],[cantidad]])</f>
        <v>2250000</v>
      </c>
      <c r="S305">
        <f>ventas[[#This Row],[Total_Productos]]*ventas[[#This Row],[descuento_pct]]</f>
        <v>0</v>
      </c>
      <c r="T305">
        <f>ventas[[#This Row],[Total_Productos]]-ventas[[#This Row],[Valor_descuento]]</f>
        <v>2250000</v>
      </c>
    </row>
    <row r="306" spans="1:20" x14ac:dyDescent="0.3">
      <c r="A306">
        <v>287</v>
      </c>
      <c r="B306" s="1">
        <v>45214</v>
      </c>
      <c r="C306">
        <v>17</v>
      </c>
      <c r="D306">
        <v>0</v>
      </c>
      <c r="E306">
        <v>107</v>
      </c>
      <c r="F306" t="s">
        <v>324</v>
      </c>
      <c r="G306" t="s">
        <v>325</v>
      </c>
      <c r="H306" t="s">
        <v>42</v>
      </c>
      <c r="I306">
        <v>60</v>
      </c>
      <c r="J306" t="s">
        <v>34</v>
      </c>
      <c r="K306" t="str">
        <f>_xlfn.XLOOKUP( ventas[[#This Row],[ciudad_cliente]],  ciudades[Ciudad], ciudades[Region])</f>
        <v>Metropolitana</v>
      </c>
      <c r="L306" t="s">
        <v>38</v>
      </c>
      <c r="M306" t="s">
        <v>30</v>
      </c>
      <c r="N306" t="str">
        <f>_xlfn.XLOOKUP(ventas[[#This Row],[producto]], categ[Producto], categ[Categoria])</f>
        <v>Electrohogar</v>
      </c>
      <c r="O306">
        <v>700000</v>
      </c>
      <c r="P306">
        <v>2</v>
      </c>
      <c r="Q306" s="11">
        <v>0</v>
      </c>
      <c r="R306">
        <f>(ventas[[#This Row],[precio_unitario]]*ventas[[#This Row],[cantidad]])</f>
        <v>1400000</v>
      </c>
      <c r="S306">
        <f>ventas[[#This Row],[Total_Productos]]*ventas[[#This Row],[descuento_pct]]</f>
        <v>0</v>
      </c>
      <c r="T306">
        <f>ventas[[#This Row],[Total_Productos]]-ventas[[#This Row],[Valor_descuento]]</f>
        <v>1400000</v>
      </c>
    </row>
    <row r="307" spans="1:20" x14ac:dyDescent="0.3">
      <c r="A307">
        <v>134</v>
      </c>
      <c r="B307" s="1">
        <v>45061</v>
      </c>
      <c r="C307">
        <v>12</v>
      </c>
      <c r="D307">
        <v>0</v>
      </c>
      <c r="E307">
        <v>188</v>
      </c>
      <c r="F307" t="s">
        <v>271</v>
      </c>
      <c r="G307" t="s">
        <v>272</v>
      </c>
      <c r="H307" t="s">
        <v>42</v>
      </c>
      <c r="I307">
        <v>37</v>
      </c>
      <c r="J307" t="s">
        <v>116</v>
      </c>
      <c r="K307" t="str">
        <f>_xlfn.XLOOKUP( ventas[[#This Row],[ciudad_cliente]],  ciudades[Ciudad], ciudades[Region])</f>
        <v>Valparaíso</v>
      </c>
      <c r="L307" t="s">
        <v>38</v>
      </c>
      <c r="M307" t="s">
        <v>46</v>
      </c>
      <c r="N307" t="str">
        <f>_xlfn.XLOOKUP(ventas[[#This Row],[producto]], categ[Producto], categ[Categoria])</f>
        <v>Tecnología</v>
      </c>
      <c r="O307">
        <v>750000</v>
      </c>
      <c r="P307">
        <v>3</v>
      </c>
      <c r="Q307" s="11">
        <v>0.05</v>
      </c>
      <c r="R307">
        <f>(ventas[[#This Row],[precio_unitario]]*ventas[[#This Row],[cantidad]])</f>
        <v>2250000</v>
      </c>
      <c r="S307">
        <f>ventas[[#This Row],[Total_Productos]]*ventas[[#This Row],[descuento_pct]]</f>
        <v>112500</v>
      </c>
      <c r="T307">
        <f>ventas[[#This Row],[Total_Productos]]-ventas[[#This Row],[Valor_descuento]]</f>
        <v>2137500</v>
      </c>
    </row>
    <row r="308" spans="1:20" x14ac:dyDescent="0.3">
      <c r="A308">
        <v>134</v>
      </c>
      <c r="B308" s="1">
        <v>45061</v>
      </c>
      <c r="C308">
        <v>12</v>
      </c>
      <c r="D308">
        <v>0</v>
      </c>
      <c r="E308">
        <v>188</v>
      </c>
      <c r="F308" t="s">
        <v>271</v>
      </c>
      <c r="G308" t="s">
        <v>272</v>
      </c>
      <c r="H308" t="s">
        <v>42</v>
      </c>
      <c r="I308">
        <v>37</v>
      </c>
      <c r="J308" t="s">
        <v>116</v>
      </c>
      <c r="K308" t="str">
        <f>_xlfn.XLOOKUP( ventas[[#This Row],[ciudad_cliente]],  ciudades[Ciudad], ciudades[Region])</f>
        <v>Valparaíso</v>
      </c>
      <c r="L308" t="s">
        <v>38</v>
      </c>
      <c r="M308" t="s">
        <v>46</v>
      </c>
      <c r="N308" t="str">
        <f>_xlfn.XLOOKUP(ventas[[#This Row],[producto]], categ[Producto], categ[Categoria])</f>
        <v>Tecnología</v>
      </c>
      <c r="O308">
        <v>750000</v>
      </c>
      <c r="P308">
        <v>3</v>
      </c>
      <c r="Q308" s="11">
        <v>0.05</v>
      </c>
      <c r="R308">
        <f>(ventas[[#This Row],[precio_unitario]]*ventas[[#This Row],[cantidad]])</f>
        <v>2250000</v>
      </c>
      <c r="S308">
        <f>ventas[[#This Row],[Total_Productos]]*ventas[[#This Row],[descuento_pct]]</f>
        <v>112500</v>
      </c>
      <c r="T308">
        <f>ventas[[#This Row],[Total_Productos]]-ventas[[#This Row],[Valor_descuento]]</f>
        <v>2137500</v>
      </c>
    </row>
    <row r="309" spans="1:20" x14ac:dyDescent="0.3">
      <c r="A309">
        <v>189</v>
      </c>
      <c r="B309" s="1">
        <v>45116</v>
      </c>
      <c r="C309">
        <v>37</v>
      </c>
      <c r="D309">
        <v>1</v>
      </c>
      <c r="E309">
        <v>188</v>
      </c>
      <c r="F309" t="s">
        <v>271</v>
      </c>
      <c r="G309" t="s">
        <v>272</v>
      </c>
      <c r="H309" t="s">
        <v>42</v>
      </c>
      <c r="I309">
        <v>37</v>
      </c>
      <c r="J309" t="s">
        <v>116</v>
      </c>
      <c r="K309" t="str">
        <f>_xlfn.XLOOKUP( ventas[[#This Row],[ciudad_cliente]],  ciudades[Ciudad], ciudades[Region])</f>
        <v>Valparaíso</v>
      </c>
      <c r="L309" t="s">
        <v>22</v>
      </c>
      <c r="M309" t="s">
        <v>49</v>
      </c>
      <c r="N309" t="str">
        <f>_xlfn.XLOOKUP(ventas[[#This Row],[producto]], categ[Producto], categ[Categoria])</f>
        <v>Electrohogar</v>
      </c>
      <c r="O309">
        <v>800000</v>
      </c>
      <c r="P309">
        <v>3</v>
      </c>
      <c r="Q309" s="11">
        <v>0.1</v>
      </c>
      <c r="R309">
        <f>(ventas[[#This Row],[precio_unitario]]*ventas[[#This Row],[cantidad]])</f>
        <v>2400000</v>
      </c>
      <c r="S309">
        <f>ventas[[#This Row],[Total_Productos]]*ventas[[#This Row],[descuento_pct]]</f>
        <v>240000</v>
      </c>
      <c r="T309">
        <f>ventas[[#This Row],[Total_Productos]]-ventas[[#This Row],[Valor_descuento]]</f>
        <v>2160000</v>
      </c>
    </row>
    <row r="310" spans="1:20" x14ac:dyDescent="0.3">
      <c r="A310">
        <v>349</v>
      </c>
      <c r="B310" s="1">
        <v>45276</v>
      </c>
      <c r="C310">
        <v>63</v>
      </c>
      <c r="D310">
        <v>5</v>
      </c>
      <c r="E310">
        <v>188</v>
      </c>
      <c r="F310" t="s">
        <v>271</v>
      </c>
      <c r="G310" t="s">
        <v>272</v>
      </c>
      <c r="H310" t="s">
        <v>42</v>
      </c>
      <c r="I310">
        <v>37</v>
      </c>
      <c r="J310" t="s">
        <v>101</v>
      </c>
      <c r="K310" t="str">
        <f>_xlfn.XLOOKUP( ventas[[#This Row],[ciudad_cliente]],  ciudades[Ciudad], ciudades[Region])</f>
        <v>O'Higgins</v>
      </c>
      <c r="L310" t="s">
        <v>29</v>
      </c>
      <c r="M310" t="s">
        <v>30</v>
      </c>
      <c r="N310" t="str">
        <f>_xlfn.XLOOKUP(ventas[[#This Row],[producto]], categ[Producto], categ[Categoria])</f>
        <v>Electrohogar</v>
      </c>
      <c r="O310">
        <v>700000</v>
      </c>
      <c r="P310">
        <v>3</v>
      </c>
      <c r="Q310" s="11">
        <v>0.05</v>
      </c>
      <c r="R310">
        <f>(ventas[[#This Row],[precio_unitario]]*ventas[[#This Row],[cantidad]])</f>
        <v>2100000</v>
      </c>
      <c r="S310">
        <f>ventas[[#This Row],[Total_Productos]]*ventas[[#This Row],[descuento_pct]]</f>
        <v>105000</v>
      </c>
      <c r="T310">
        <f>ventas[[#This Row],[Total_Productos]]-ventas[[#This Row],[Valor_descuento]]</f>
        <v>1995000</v>
      </c>
    </row>
    <row r="311" spans="1:20" x14ac:dyDescent="0.3">
      <c r="A311">
        <v>74</v>
      </c>
      <c r="B311" s="1">
        <v>45001</v>
      </c>
      <c r="C311">
        <v>33</v>
      </c>
      <c r="D311">
        <v>13</v>
      </c>
      <c r="E311">
        <v>26</v>
      </c>
      <c r="F311" t="s">
        <v>187</v>
      </c>
      <c r="G311" t="s">
        <v>188</v>
      </c>
      <c r="H311" t="s">
        <v>42</v>
      </c>
      <c r="I311">
        <v>39</v>
      </c>
      <c r="J311" t="s">
        <v>101</v>
      </c>
      <c r="K311" t="str">
        <f>_xlfn.XLOOKUP( ventas[[#This Row],[ciudad_cliente]],  ciudades[Ciudad], ciudades[Region])</f>
        <v>O'Higgins</v>
      </c>
      <c r="L311" t="s">
        <v>38</v>
      </c>
      <c r="M311" t="s">
        <v>46</v>
      </c>
      <c r="N311" t="str">
        <f>_xlfn.XLOOKUP(ventas[[#This Row],[producto]], categ[Producto], categ[Categoria])</f>
        <v>Tecnología</v>
      </c>
      <c r="O311">
        <v>750000</v>
      </c>
      <c r="P311">
        <v>2</v>
      </c>
      <c r="Q311" s="11">
        <v>0</v>
      </c>
      <c r="R311">
        <f>(ventas[[#This Row],[precio_unitario]]*ventas[[#This Row],[cantidad]])</f>
        <v>1500000</v>
      </c>
      <c r="S311">
        <f>ventas[[#This Row],[Total_Productos]]*ventas[[#This Row],[descuento_pct]]</f>
        <v>0</v>
      </c>
      <c r="T311">
        <f>ventas[[#This Row],[Total_Productos]]-ventas[[#This Row],[Valor_descuento]]</f>
        <v>1500000</v>
      </c>
    </row>
    <row r="312" spans="1:20" x14ac:dyDescent="0.3">
      <c r="A312">
        <v>198</v>
      </c>
      <c r="B312" s="1">
        <v>45125</v>
      </c>
      <c r="C312">
        <v>68</v>
      </c>
      <c r="D312">
        <v>2</v>
      </c>
      <c r="E312">
        <v>26</v>
      </c>
      <c r="F312" t="s">
        <v>187</v>
      </c>
      <c r="G312" t="s">
        <v>188</v>
      </c>
      <c r="H312" t="s">
        <v>42</v>
      </c>
      <c r="I312">
        <v>39</v>
      </c>
      <c r="J312" t="s">
        <v>34</v>
      </c>
      <c r="K312" t="str">
        <f>_xlfn.XLOOKUP( ventas[[#This Row],[ciudad_cliente]],  ciudades[Ciudad], ciudades[Region])</f>
        <v>Metropolitana</v>
      </c>
      <c r="L312" t="s">
        <v>22</v>
      </c>
      <c r="M312" t="s">
        <v>23</v>
      </c>
      <c r="N312" t="str">
        <f>_xlfn.XLOOKUP(ventas[[#This Row],[producto]], categ[Producto], categ[Categoria])</f>
        <v>Belleza</v>
      </c>
      <c r="O312">
        <v>15000</v>
      </c>
      <c r="P312">
        <v>1</v>
      </c>
      <c r="Q312" s="11">
        <v>0</v>
      </c>
      <c r="R312">
        <f>(ventas[[#This Row],[precio_unitario]]*ventas[[#This Row],[cantidad]])</f>
        <v>15000</v>
      </c>
      <c r="S312">
        <f>ventas[[#This Row],[Total_Productos]]*ventas[[#This Row],[descuento_pct]]</f>
        <v>0</v>
      </c>
      <c r="T312">
        <f>ventas[[#This Row],[Total_Productos]]-ventas[[#This Row],[Valor_descuento]]</f>
        <v>15000</v>
      </c>
    </row>
    <row r="313" spans="1:20" x14ac:dyDescent="0.3">
      <c r="A313">
        <v>361</v>
      </c>
      <c r="B313" s="1">
        <v>45288</v>
      </c>
      <c r="C313">
        <v>6</v>
      </c>
      <c r="D313">
        <v>2</v>
      </c>
      <c r="E313">
        <v>26</v>
      </c>
      <c r="F313" t="s">
        <v>187</v>
      </c>
      <c r="G313" t="s">
        <v>188</v>
      </c>
      <c r="H313" t="s">
        <v>42</v>
      </c>
      <c r="I313">
        <v>39</v>
      </c>
      <c r="J313" t="s">
        <v>52</v>
      </c>
      <c r="K313" t="str">
        <f>_xlfn.XLOOKUP( ventas[[#This Row],[ciudad_cliente]],  ciudades[Ciudad], ciudades[Region])</f>
        <v>Biobío</v>
      </c>
      <c r="L313" t="s">
        <v>38</v>
      </c>
      <c r="M313" t="s">
        <v>23</v>
      </c>
      <c r="N313" t="str">
        <f>_xlfn.XLOOKUP(ventas[[#This Row],[producto]], categ[Producto], categ[Categoria])</f>
        <v>Belleza</v>
      </c>
      <c r="O313">
        <v>15000</v>
      </c>
      <c r="P313">
        <v>2</v>
      </c>
      <c r="Q313" s="11">
        <v>0</v>
      </c>
      <c r="R313">
        <f>(ventas[[#This Row],[precio_unitario]]*ventas[[#This Row],[cantidad]])</f>
        <v>30000</v>
      </c>
      <c r="S313">
        <f>ventas[[#This Row],[Total_Productos]]*ventas[[#This Row],[descuento_pct]]</f>
        <v>0</v>
      </c>
      <c r="T313">
        <f>ventas[[#This Row],[Total_Productos]]-ventas[[#This Row],[Valor_descuento]]</f>
        <v>30000</v>
      </c>
    </row>
    <row r="314" spans="1:20" x14ac:dyDescent="0.3">
      <c r="A314">
        <v>385</v>
      </c>
      <c r="B314" s="1">
        <v>45312</v>
      </c>
      <c r="C314">
        <v>39</v>
      </c>
      <c r="D314">
        <v>6</v>
      </c>
      <c r="E314">
        <v>26</v>
      </c>
      <c r="F314" t="s">
        <v>187</v>
      </c>
      <c r="G314" t="s">
        <v>188</v>
      </c>
      <c r="H314" t="s">
        <v>42</v>
      </c>
      <c r="I314">
        <v>39</v>
      </c>
      <c r="J314" t="s">
        <v>43</v>
      </c>
      <c r="K314" t="str">
        <f>_xlfn.XLOOKUP( ventas[[#This Row],[ciudad_cliente]],  ciudades[Ciudad], ciudades[Region])</f>
        <v>Antofagasta</v>
      </c>
      <c r="L314" t="s">
        <v>22</v>
      </c>
      <c r="M314" t="s">
        <v>49</v>
      </c>
      <c r="N314" t="str">
        <f>_xlfn.XLOOKUP(ventas[[#This Row],[producto]], categ[Producto], categ[Categoria])</f>
        <v>Electrohogar</v>
      </c>
      <c r="O314">
        <v>800000</v>
      </c>
      <c r="P314">
        <v>2</v>
      </c>
      <c r="Q314" s="11">
        <v>0</v>
      </c>
      <c r="R314">
        <f>(ventas[[#This Row],[precio_unitario]]*ventas[[#This Row],[cantidad]])</f>
        <v>1600000</v>
      </c>
      <c r="S314">
        <f>ventas[[#This Row],[Total_Productos]]*ventas[[#This Row],[descuento_pct]]</f>
        <v>0</v>
      </c>
      <c r="T314">
        <f>ventas[[#This Row],[Total_Productos]]-ventas[[#This Row],[Valor_descuento]]</f>
        <v>1600000</v>
      </c>
    </row>
    <row r="315" spans="1:20" x14ac:dyDescent="0.3">
      <c r="A315">
        <v>451</v>
      </c>
      <c r="B315" s="1">
        <v>45378</v>
      </c>
      <c r="C315">
        <v>36</v>
      </c>
      <c r="D315">
        <v>4</v>
      </c>
      <c r="E315">
        <v>26</v>
      </c>
      <c r="F315" t="s">
        <v>187</v>
      </c>
      <c r="G315" t="s">
        <v>188</v>
      </c>
      <c r="H315" t="s">
        <v>42</v>
      </c>
      <c r="I315">
        <v>39</v>
      </c>
      <c r="J315" t="s">
        <v>101</v>
      </c>
      <c r="K315" t="str">
        <f>_xlfn.XLOOKUP( ventas[[#This Row],[ciudad_cliente]],  ciudades[Ciudad], ciudades[Region])</f>
        <v>O'Higgins</v>
      </c>
      <c r="L315" t="s">
        <v>29</v>
      </c>
      <c r="M315" t="s">
        <v>49</v>
      </c>
      <c r="N315" t="str">
        <f>_xlfn.XLOOKUP(ventas[[#This Row],[producto]], categ[Producto], categ[Categoria])</f>
        <v>Electrohogar</v>
      </c>
      <c r="O315">
        <v>800000</v>
      </c>
      <c r="P315">
        <v>2</v>
      </c>
      <c r="Q315" s="11">
        <v>0</v>
      </c>
      <c r="R315">
        <f>(ventas[[#This Row],[precio_unitario]]*ventas[[#This Row],[cantidad]])</f>
        <v>1600000</v>
      </c>
      <c r="S315">
        <f>ventas[[#This Row],[Total_Productos]]*ventas[[#This Row],[descuento_pct]]</f>
        <v>0</v>
      </c>
      <c r="T315">
        <f>ventas[[#This Row],[Total_Productos]]-ventas[[#This Row],[Valor_descuento]]</f>
        <v>1600000</v>
      </c>
    </row>
    <row r="316" spans="1:20" x14ac:dyDescent="0.3">
      <c r="A316">
        <v>738</v>
      </c>
      <c r="B316" s="1">
        <v>45665</v>
      </c>
      <c r="C316">
        <v>7</v>
      </c>
      <c r="D316">
        <v>8</v>
      </c>
      <c r="E316">
        <v>26</v>
      </c>
      <c r="F316" t="s">
        <v>187</v>
      </c>
      <c r="G316" t="s">
        <v>188</v>
      </c>
      <c r="H316" t="s">
        <v>42</v>
      </c>
      <c r="I316">
        <v>39</v>
      </c>
      <c r="J316" t="s">
        <v>37</v>
      </c>
      <c r="K316" t="str">
        <f>_xlfn.XLOOKUP( ventas[[#This Row],[ciudad_cliente]],  ciudades[Ciudad], ciudades[Region])</f>
        <v>Valparaíso</v>
      </c>
      <c r="L316" t="s">
        <v>38</v>
      </c>
      <c r="M316" t="s">
        <v>23</v>
      </c>
      <c r="N316" t="str">
        <f>_xlfn.XLOOKUP(ventas[[#This Row],[producto]], categ[Producto], categ[Categoria])</f>
        <v>Belleza</v>
      </c>
      <c r="O316">
        <v>15000</v>
      </c>
      <c r="P316">
        <v>3</v>
      </c>
      <c r="Q316" s="11">
        <v>0.05</v>
      </c>
      <c r="R316">
        <f>(ventas[[#This Row],[precio_unitario]]*ventas[[#This Row],[cantidad]])</f>
        <v>45000</v>
      </c>
      <c r="S316">
        <f>ventas[[#This Row],[Total_Productos]]*ventas[[#This Row],[descuento_pct]]</f>
        <v>2250</v>
      </c>
      <c r="T316">
        <f>ventas[[#This Row],[Total_Productos]]-ventas[[#This Row],[Valor_descuento]]</f>
        <v>42750</v>
      </c>
    </row>
    <row r="317" spans="1:20" x14ac:dyDescent="0.3">
      <c r="A317">
        <v>912</v>
      </c>
      <c r="B317" s="1">
        <v>45839</v>
      </c>
      <c r="C317">
        <v>55</v>
      </c>
      <c r="D317">
        <v>9</v>
      </c>
      <c r="E317">
        <v>26</v>
      </c>
      <c r="F317" t="s">
        <v>187</v>
      </c>
      <c r="G317" t="s">
        <v>188</v>
      </c>
      <c r="H317" t="s">
        <v>42</v>
      </c>
      <c r="I317">
        <v>39</v>
      </c>
      <c r="J317" t="s">
        <v>43</v>
      </c>
      <c r="K317" t="str">
        <f>_xlfn.XLOOKUP( ventas[[#This Row],[ciudad_cliente]],  ciudades[Ciudad], ciudades[Region])</f>
        <v>Antofagasta</v>
      </c>
      <c r="L317" t="s">
        <v>38</v>
      </c>
      <c r="M317" t="s">
        <v>56</v>
      </c>
      <c r="N317" t="str">
        <f>_xlfn.XLOOKUP(ventas[[#This Row],[producto]], categ[Producto], categ[Categoria])</f>
        <v>Vestuario</v>
      </c>
      <c r="O317">
        <v>25000</v>
      </c>
      <c r="P317">
        <v>2</v>
      </c>
      <c r="Q317" s="11">
        <v>0</v>
      </c>
      <c r="R317">
        <f>(ventas[[#This Row],[precio_unitario]]*ventas[[#This Row],[cantidad]])</f>
        <v>50000</v>
      </c>
      <c r="S317">
        <f>ventas[[#This Row],[Total_Productos]]*ventas[[#This Row],[descuento_pct]]</f>
        <v>0</v>
      </c>
      <c r="T317">
        <f>ventas[[#This Row],[Total_Productos]]-ventas[[#This Row],[Valor_descuento]]</f>
        <v>50000</v>
      </c>
    </row>
    <row r="318" spans="1:20" x14ac:dyDescent="0.3">
      <c r="A318">
        <v>919</v>
      </c>
      <c r="B318" s="1">
        <v>45846</v>
      </c>
      <c r="C318">
        <v>48</v>
      </c>
      <c r="D318">
        <v>6</v>
      </c>
      <c r="E318">
        <v>26</v>
      </c>
      <c r="F318" t="s">
        <v>187</v>
      </c>
      <c r="G318" t="s">
        <v>188</v>
      </c>
      <c r="H318" t="s">
        <v>42</v>
      </c>
      <c r="I318">
        <v>39</v>
      </c>
      <c r="J318" t="s">
        <v>37</v>
      </c>
      <c r="K318" t="str">
        <f>_xlfn.XLOOKUP( ventas[[#This Row],[ciudad_cliente]],  ciudades[Ciudad], ciudades[Region])</f>
        <v>Valparaíso</v>
      </c>
      <c r="L318" t="s">
        <v>29</v>
      </c>
      <c r="M318" t="s">
        <v>56</v>
      </c>
      <c r="N318" t="str">
        <f>_xlfn.XLOOKUP(ventas[[#This Row],[producto]], categ[Producto], categ[Categoria])</f>
        <v>Vestuario</v>
      </c>
      <c r="O318">
        <v>25000</v>
      </c>
      <c r="P318">
        <v>3</v>
      </c>
      <c r="Q318" s="11">
        <v>0.1</v>
      </c>
      <c r="R318">
        <f>(ventas[[#This Row],[precio_unitario]]*ventas[[#This Row],[cantidad]])</f>
        <v>75000</v>
      </c>
      <c r="S318">
        <f>ventas[[#This Row],[Total_Productos]]*ventas[[#This Row],[descuento_pct]]</f>
        <v>7500</v>
      </c>
      <c r="T318">
        <f>ventas[[#This Row],[Total_Productos]]-ventas[[#This Row],[Valor_descuento]]</f>
        <v>67500</v>
      </c>
    </row>
    <row r="319" spans="1:20" x14ac:dyDescent="0.3">
      <c r="A319">
        <v>292</v>
      </c>
      <c r="B319" s="1">
        <v>45219</v>
      </c>
      <c r="C319">
        <v>62</v>
      </c>
      <c r="D319">
        <v>4</v>
      </c>
      <c r="E319">
        <v>3</v>
      </c>
      <c r="F319" t="s">
        <v>430</v>
      </c>
      <c r="G319" t="s">
        <v>431</v>
      </c>
      <c r="H319" t="s">
        <v>19</v>
      </c>
      <c r="I319">
        <v>45</v>
      </c>
      <c r="J319" t="s">
        <v>76</v>
      </c>
      <c r="K319" t="str">
        <f>_xlfn.XLOOKUP( ventas[[#This Row],[ciudad_cliente]],  ciudades[Ciudad], ciudades[Region])</f>
        <v>Los Lagos</v>
      </c>
      <c r="L319" t="s">
        <v>22</v>
      </c>
      <c r="M319" t="s">
        <v>69</v>
      </c>
      <c r="N319" t="str">
        <f>_xlfn.XLOOKUP(ventas[[#This Row],[producto]], categ[Producto], categ[Categoria])</f>
        <v>Tecnología</v>
      </c>
      <c r="O319">
        <v>450000</v>
      </c>
      <c r="P319">
        <v>1</v>
      </c>
      <c r="Q319" s="11">
        <v>0.1</v>
      </c>
      <c r="R319">
        <f>(ventas[[#This Row],[precio_unitario]]*ventas[[#This Row],[cantidad]])</f>
        <v>450000</v>
      </c>
      <c r="S319">
        <f>ventas[[#This Row],[Total_Productos]]*ventas[[#This Row],[descuento_pct]]</f>
        <v>45000</v>
      </c>
      <c r="T319">
        <f>ventas[[#This Row],[Total_Productos]]-ventas[[#This Row],[Valor_descuento]]</f>
        <v>405000</v>
      </c>
    </row>
    <row r="320" spans="1:20" x14ac:dyDescent="0.3">
      <c r="A320">
        <v>424</v>
      </c>
      <c r="B320" s="1">
        <v>45351</v>
      </c>
      <c r="C320">
        <v>29</v>
      </c>
      <c r="D320">
        <v>1</v>
      </c>
      <c r="E320">
        <v>3</v>
      </c>
      <c r="F320" t="s">
        <v>430</v>
      </c>
      <c r="G320" t="s">
        <v>431</v>
      </c>
      <c r="H320" t="s">
        <v>19</v>
      </c>
      <c r="I320">
        <v>45</v>
      </c>
      <c r="J320" t="s">
        <v>116</v>
      </c>
      <c r="K320" t="str">
        <f>_xlfn.XLOOKUP( ventas[[#This Row],[ciudad_cliente]],  ciudades[Ciudad], ciudades[Region])</f>
        <v>Valparaíso</v>
      </c>
      <c r="L320" t="s">
        <v>38</v>
      </c>
      <c r="M320" t="s">
        <v>49</v>
      </c>
      <c r="N320" t="str">
        <f>_xlfn.XLOOKUP(ventas[[#This Row],[producto]], categ[Producto], categ[Categoria])</f>
        <v>Electrohogar</v>
      </c>
      <c r="O320">
        <v>800000</v>
      </c>
      <c r="P320">
        <v>1</v>
      </c>
      <c r="Q320" s="11">
        <v>0</v>
      </c>
      <c r="R320">
        <f>(ventas[[#This Row],[precio_unitario]]*ventas[[#This Row],[cantidad]])</f>
        <v>800000</v>
      </c>
      <c r="S320">
        <f>ventas[[#This Row],[Total_Productos]]*ventas[[#This Row],[descuento_pct]]</f>
        <v>0</v>
      </c>
      <c r="T320">
        <f>ventas[[#This Row],[Total_Productos]]-ventas[[#This Row],[Valor_descuento]]</f>
        <v>800000</v>
      </c>
    </row>
    <row r="321" spans="1:20" x14ac:dyDescent="0.3">
      <c r="A321">
        <v>211</v>
      </c>
      <c r="B321" s="1">
        <v>45138</v>
      </c>
      <c r="C321">
        <v>57</v>
      </c>
      <c r="D321">
        <v>3</v>
      </c>
      <c r="E321">
        <v>273</v>
      </c>
      <c r="F321" t="s">
        <v>364</v>
      </c>
      <c r="G321" t="s">
        <v>365</v>
      </c>
      <c r="H321" t="s">
        <v>42</v>
      </c>
      <c r="I321">
        <v>51</v>
      </c>
      <c r="J321" t="s">
        <v>52</v>
      </c>
      <c r="K321" t="str">
        <f>_xlfn.XLOOKUP( ventas[[#This Row],[ciudad_cliente]],  ciudades[Ciudad], ciudades[Region])</f>
        <v>Biobío</v>
      </c>
      <c r="L321" t="s">
        <v>38</v>
      </c>
      <c r="M321" t="s">
        <v>102</v>
      </c>
      <c r="N321" t="str">
        <f>_xlfn.XLOOKUP(ventas[[#This Row],[producto]], categ[Producto], categ[Categoria])</f>
        <v>Vestuario</v>
      </c>
      <c r="O321">
        <v>12000</v>
      </c>
      <c r="P321">
        <v>2</v>
      </c>
      <c r="Q321" s="11">
        <v>0</v>
      </c>
      <c r="R321">
        <f>(ventas[[#This Row],[precio_unitario]]*ventas[[#This Row],[cantidad]])</f>
        <v>24000</v>
      </c>
      <c r="S321">
        <f>ventas[[#This Row],[Total_Productos]]*ventas[[#This Row],[descuento_pct]]</f>
        <v>0</v>
      </c>
      <c r="T321">
        <f>ventas[[#This Row],[Total_Productos]]-ventas[[#This Row],[Valor_descuento]]</f>
        <v>24000</v>
      </c>
    </row>
    <row r="322" spans="1:20" x14ac:dyDescent="0.3">
      <c r="A322">
        <v>348</v>
      </c>
      <c r="B322" s="1">
        <v>45275</v>
      </c>
      <c r="C322">
        <v>52</v>
      </c>
      <c r="D322">
        <v>0</v>
      </c>
      <c r="E322">
        <v>250</v>
      </c>
      <c r="F322" t="s">
        <v>474</v>
      </c>
      <c r="G322" t="s">
        <v>475</v>
      </c>
      <c r="H322" t="s">
        <v>42</v>
      </c>
      <c r="I322">
        <v>42</v>
      </c>
      <c r="J322" t="s">
        <v>27</v>
      </c>
      <c r="K322" t="str">
        <f>_xlfn.XLOOKUP( ventas[[#This Row],[ciudad_cliente]],  ciudades[Ciudad], ciudades[Region])</f>
        <v>Biobío</v>
      </c>
      <c r="L322" t="s">
        <v>38</v>
      </c>
      <c r="M322" t="s">
        <v>30</v>
      </c>
      <c r="N322" t="str">
        <f>_xlfn.XLOOKUP(ventas[[#This Row],[producto]], categ[Producto], categ[Categoria])</f>
        <v>Electrohogar</v>
      </c>
      <c r="O322">
        <v>700000</v>
      </c>
      <c r="P322">
        <v>1</v>
      </c>
      <c r="Q322" s="11">
        <v>0</v>
      </c>
      <c r="R322">
        <f>(ventas[[#This Row],[precio_unitario]]*ventas[[#This Row],[cantidad]])</f>
        <v>700000</v>
      </c>
      <c r="S322">
        <f>ventas[[#This Row],[Total_Productos]]*ventas[[#This Row],[descuento_pct]]</f>
        <v>0</v>
      </c>
      <c r="T322">
        <f>ventas[[#This Row],[Total_Productos]]-ventas[[#This Row],[Valor_descuento]]</f>
        <v>700000</v>
      </c>
    </row>
    <row r="323" spans="1:20" x14ac:dyDescent="0.3">
      <c r="A323">
        <v>470</v>
      </c>
      <c r="B323" s="1">
        <v>45397</v>
      </c>
      <c r="C323">
        <v>28</v>
      </c>
      <c r="D323">
        <v>5</v>
      </c>
      <c r="E323">
        <v>250</v>
      </c>
      <c r="F323" t="s">
        <v>474</v>
      </c>
      <c r="G323" t="s">
        <v>475</v>
      </c>
      <c r="H323" t="s">
        <v>42</v>
      </c>
      <c r="I323">
        <v>42</v>
      </c>
      <c r="J323" t="s">
        <v>116</v>
      </c>
      <c r="K323" t="str">
        <f>_xlfn.XLOOKUP( ventas[[#This Row],[ciudad_cliente]],  ciudades[Ciudad], ciudades[Region])</f>
        <v>Valparaíso</v>
      </c>
      <c r="L323" t="s">
        <v>38</v>
      </c>
      <c r="M323" t="s">
        <v>23</v>
      </c>
      <c r="N323" t="str">
        <f>_xlfn.XLOOKUP(ventas[[#This Row],[producto]], categ[Producto], categ[Categoria])</f>
        <v>Belleza</v>
      </c>
      <c r="O323">
        <v>15000</v>
      </c>
      <c r="P323">
        <v>1</v>
      </c>
      <c r="Q323" s="11">
        <v>0</v>
      </c>
      <c r="R323">
        <f>(ventas[[#This Row],[precio_unitario]]*ventas[[#This Row],[cantidad]])</f>
        <v>15000</v>
      </c>
      <c r="S323">
        <f>ventas[[#This Row],[Total_Productos]]*ventas[[#This Row],[descuento_pct]]</f>
        <v>0</v>
      </c>
      <c r="T323">
        <f>ventas[[#This Row],[Total_Productos]]-ventas[[#This Row],[Valor_descuento]]</f>
        <v>15000</v>
      </c>
    </row>
    <row r="324" spans="1:20" x14ac:dyDescent="0.3">
      <c r="A324">
        <v>29</v>
      </c>
      <c r="B324" s="1">
        <v>44956</v>
      </c>
      <c r="C324">
        <v>62</v>
      </c>
      <c r="D324">
        <v>4</v>
      </c>
      <c r="E324">
        <v>110</v>
      </c>
      <c r="F324" t="s">
        <v>105</v>
      </c>
      <c r="G324" t="s">
        <v>106</v>
      </c>
      <c r="H324" t="s">
        <v>42</v>
      </c>
      <c r="I324">
        <v>37</v>
      </c>
      <c r="J324" t="s">
        <v>76</v>
      </c>
      <c r="K324" t="str">
        <f>_xlfn.XLOOKUP( ventas[[#This Row],[ciudad_cliente]],  ciudades[Ciudad], ciudades[Region])</f>
        <v>Los Lagos</v>
      </c>
      <c r="L324" t="s">
        <v>29</v>
      </c>
      <c r="M324" t="s">
        <v>102</v>
      </c>
      <c r="N324" t="str">
        <f>_xlfn.XLOOKUP(ventas[[#This Row],[producto]], categ[Producto], categ[Categoria])</f>
        <v>Vestuario</v>
      </c>
      <c r="O324">
        <v>12000</v>
      </c>
      <c r="P324">
        <v>2</v>
      </c>
      <c r="Q324" s="11">
        <v>0</v>
      </c>
      <c r="R324">
        <f>(ventas[[#This Row],[precio_unitario]]*ventas[[#This Row],[cantidad]])</f>
        <v>24000</v>
      </c>
      <c r="S324">
        <f>ventas[[#This Row],[Total_Productos]]*ventas[[#This Row],[descuento_pct]]</f>
        <v>0</v>
      </c>
      <c r="T324">
        <f>ventas[[#This Row],[Total_Productos]]-ventas[[#This Row],[Valor_descuento]]</f>
        <v>24000</v>
      </c>
    </row>
    <row r="325" spans="1:20" x14ac:dyDescent="0.3">
      <c r="A325">
        <v>78</v>
      </c>
      <c r="B325" s="1">
        <v>45005</v>
      </c>
      <c r="C325">
        <v>65</v>
      </c>
      <c r="D325">
        <v>0</v>
      </c>
      <c r="E325">
        <v>110</v>
      </c>
      <c r="F325" t="s">
        <v>105</v>
      </c>
      <c r="G325" t="s">
        <v>106</v>
      </c>
      <c r="H325" t="s">
        <v>42</v>
      </c>
      <c r="I325">
        <v>37</v>
      </c>
      <c r="J325" t="s">
        <v>101</v>
      </c>
      <c r="K325" t="str">
        <f>_xlfn.XLOOKUP( ventas[[#This Row],[ciudad_cliente]],  ciudades[Ciudad], ciudades[Region])</f>
        <v>O'Higgins</v>
      </c>
      <c r="L325" t="s">
        <v>22</v>
      </c>
      <c r="M325" t="s">
        <v>49</v>
      </c>
      <c r="N325" t="str">
        <f>_xlfn.XLOOKUP(ventas[[#This Row],[producto]], categ[Producto], categ[Categoria])</f>
        <v>Electrohogar</v>
      </c>
      <c r="O325">
        <v>800000</v>
      </c>
      <c r="P325">
        <v>1</v>
      </c>
      <c r="Q325" s="11">
        <v>0.1</v>
      </c>
      <c r="R325">
        <f>(ventas[[#This Row],[precio_unitario]]*ventas[[#This Row],[cantidad]])</f>
        <v>800000</v>
      </c>
      <c r="S325">
        <f>ventas[[#This Row],[Total_Productos]]*ventas[[#This Row],[descuento_pct]]</f>
        <v>80000</v>
      </c>
      <c r="T325">
        <f>ventas[[#This Row],[Total_Productos]]-ventas[[#This Row],[Valor_descuento]]</f>
        <v>720000</v>
      </c>
    </row>
    <row r="326" spans="1:20" x14ac:dyDescent="0.3">
      <c r="A326">
        <v>623</v>
      </c>
      <c r="B326" s="1">
        <v>45550</v>
      </c>
      <c r="C326">
        <v>21</v>
      </c>
      <c r="D326">
        <v>5</v>
      </c>
      <c r="E326">
        <v>110</v>
      </c>
      <c r="F326" t="s">
        <v>105</v>
      </c>
      <c r="G326" t="s">
        <v>106</v>
      </c>
      <c r="H326" t="s">
        <v>42</v>
      </c>
      <c r="I326">
        <v>37</v>
      </c>
      <c r="J326" t="s">
        <v>76</v>
      </c>
      <c r="K326" t="str">
        <f>_xlfn.XLOOKUP( ventas[[#This Row],[ciudad_cliente]],  ciudades[Ciudad], ciudades[Region])</f>
        <v>Los Lagos</v>
      </c>
      <c r="L326" t="s">
        <v>38</v>
      </c>
      <c r="M326" t="s">
        <v>69</v>
      </c>
      <c r="N326" t="str">
        <f>_xlfn.XLOOKUP(ventas[[#This Row],[producto]], categ[Producto], categ[Categoria])</f>
        <v>Tecnología</v>
      </c>
      <c r="O326">
        <v>450000</v>
      </c>
      <c r="P326">
        <v>3</v>
      </c>
      <c r="Q326" s="11">
        <v>0</v>
      </c>
      <c r="R326">
        <f>(ventas[[#This Row],[precio_unitario]]*ventas[[#This Row],[cantidad]])</f>
        <v>1350000</v>
      </c>
      <c r="S326">
        <f>ventas[[#This Row],[Total_Productos]]*ventas[[#This Row],[descuento_pct]]</f>
        <v>0</v>
      </c>
      <c r="T326">
        <f>ventas[[#This Row],[Total_Productos]]-ventas[[#This Row],[Valor_descuento]]</f>
        <v>1350000</v>
      </c>
    </row>
    <row r="327" spans="1:20" x14ac:dyDescent="0.3">
      <c r="A327">
        <v>654</v>
      </c>
      <c r="B327" s="1">
        <v>45581</v>
      </c>
      <c r="C327">
        <v>21</v>
      </c>
      <c r="D327">
        <v>5</v>
      </c>
      <c r="E327">
        <v>110</v>
      </c>
      <c r="F327" t="s">
        <v>105</v>
      </c>
      <c r="G327" t="s">
        <v>106</v>
      </c>
      <c r="H327" t="s">
        <v>42</v>
      </c>
      <c r="I327">
        <v>37</v>
      </c>
      <c r="J327" t="s">
        <v>76</v>
      </c>
      <c r="K327" t="str">
        <f>_xlfn.XLOOKUP( ventas[[#This Row],[ciudad_cliente]],  ciudades[Ciudad], ciudades[Region])</f>
        <v>Los Lagos</v>
      </c>
      <c r="L327" t="s">
        <v>22</v>
      </c>
      <c r="M327" t="s">
        <v>102</v>
      </c>
      <c r="N327" t="str">
        <f>_xlfn.XLOOKUP(ventas[[#This Row],[producto]], categ[Producto], categ[Categoria])</f>
        <v>Vestuario</v>
      </c>
      <c r="O327">
        <v>12000</v>
      </c>
      <c r="P327">
        <v>2</v>
      </c>
      <c r="Q327" s="11">
        <v>0.1</v>
      </c>
      <c r="R327">
        <f>(ventas[[#This Row],[precio_unitario]]*ventas[[#This Row],[cantidad]])</f>
        <v>24000</v>
      </c>
      <c r="S327">
        <f>ventas[[#This Row],[Total_Productos]]*ventas[[#This Row],[descuento_pct]]</f>
        <v>2400</v>
      </c>
      <c r="T327">
        <f>ventas[[#This Row],[Total_Productos]]-ventas[[#This Row],[Valor_descuento]]</f>
        <v>21600</v>
      </c>
    </row>
    <row r="328" spans="1:20" x14ac:dyDescent="0.3">
      <c r="A328">
        <v>628</v>
      </c>
      <c r="B328" s="1">
        <v>45555</v>
      </c>
      <c r="C328">
        <v>14</v>
      </c>
      <c r="D328">
        <v>0</v>
      </c>
      <c r="E328">
        <v>134</v>
      </c>
      <c r="F328" t="s">
        <v>562</v>
      </c>
      <c r="G328" t="s">
        <v>563</v>
      </c>
      <c r="H328" t="s">
        <v>19</v>
      </c>
      <c r="I328">
        <v>43</v>
      </c>
      <c r="J328" t="s">
        <v>34</v>
      </c>
      <c r="K328" t="str">
        <f>_xlfn.XLOOKUP( ventas[[#This Row],[ciudad_cliente]],  ciudades[Ciudad], ciudades[Region])</f>
        <v>Metropolitana</v>
      </c>
      <c r="L328" t="s">
        <v>22</v>
      </c>
      <c r="M328" t="s">
        <v>39</v>
      </c>
      <c r="N328" t="str">
        <f>_xlfn.XLOOKUP(ventas[[#This Row],[producto]], categ[Producto], categ[Categoria])</f>
        <v>Belleza</v>
      </c>
      <c r="O328">
        <v>35000</v>
      </c>
      <c r="P328">
        <v>3</v>
      </c>
      <c r="Q328" s="11">
        <v>0</v>
      </c>
      <c r="R328">
        <f>(ventas[[#This Row],[precio_unitario]]*ventas[[#This Row],[cantidad]])</f>
        <v>105000</v>
      </c>
      <c r="S328">
        <f>ventas[[#This Row],[Total_Productos]]*ventas[[#This Row],[descuento_pct]]</f>
        <v>0</v>
      </c>
      <c r="T328">
        <f>ventas[[#This Row],[Total_Productos]]-ventas[[#This Row],[Valor_descuento]]</f>
        <v>105000</v>
      </c>
    </row>
    <row r="329" spans="1:20" x14ac:dyDescent="0.3">
      <c r="A329">
        <v>65</v>
      </c>
      <c r="B329" s="1">
        <v>44992</v>
      </c>
      <c r="C329">
        <v>43</v>
      </c>
      <c r="D329">
        <v>0</v>
      </c>
      <c r="E329">
        <v>193</v>
      </c>
      <c r="F329" t="s">
        <v>169</v>
      </c>
      <c r="G329" t="s">
        <v>170</v>
      </c>
      <c r="H329" t="s">
        <v>19</v>
      </c>
      <c r="I329">
        <v>40</v>
      </c>
      <c r="J329" t="s">
        <v>34</v>
      </c>
      <c r="K329" t="str">
        <f>_xlfn.XLOOKUP( ventas[[#This Row],[ciudad_cliente]],  ciudades[Ciudad], ciudades[Region])</f>
        <v>Metropolitana</v>
      </c>
      <c r="L329" t="s">
        <v>22</v>
      </c>
      <c r="M329" t="s">
        <v>69</v>
      </c>
      <c r="N329" t="str">
        <f>_xlfn.XLOOKUP(ventas[[#This Row],[producto]], categ[Producto], categ[Categoria])</f>
        <v>Tecnología</v>
      </c>
      <c r="O329">
        <v>450000</v>
      </c>
      <c r="P329">
        <v>2</v>
      </c>
      <c r="Q329" s="11">
        <v>0.1</v>
      </c>
      <c r="R329">
        <f>(ventas[[#This Row],[precio_unitario]]*ventas[[#This Row],[cantidad]])</f>
        <v>900000</v>
      </c>
      <c r="S329">
        <f>ventas[[#This Row],[Total_Productos]]*ventas[[#This Row],[descuento_pct]]</f>
        <v>90000</v>
      </c>
      <c r="T329">
        <f>ventas[[#This Row],[Total_Productos]]-ventas[[#This Row],[Valor_descuento]]</f>
        <v>810000</v>
      </c>
    </row>
    <row r="330" spans="1:20" x14ac:dyDescent="0.3">
      <c r="A330">
        <v>660</v>
      </c>
      <c r="B330" s="1">
        <v>45587</v>
      </c>
      <c r="C330">
        <v>49</v>
      </c>
      <c r="D330">
        <v>1</v>
      </c>
      <c r="E330">
        <v>193</v>
      </c>
      <c r="F330" t="s">
        <v>169</v>
      </c>
      <c r="G330" t="s">
        <v>170</v>
      </c>
      <c r="H330" t="s">
        <v>19</v>
      </c>
      <c r="I330">
        <v>40</v>
      </c>
      <c r="J330" t="s">
        <v>43</v>
      </c>
      <c r="K330" t="str">
        <f>_xlfn.XLOOKUP( ventas[[#This Row],[ciudad_cliente]],  ciudades[Ciudad], ciudades[Region])</f>
        <v>Antofagasta</v>
      </c>
      <c r="L330" t="s">
        <v>29</v>
      </c>
      <c r="M330" t="s">
        <v>23</v>
      </c>
      <c r="N330" t="str">
        <f>_xlfn.XLOOKUP(ventas[[#This Row],[producto]], categ[Producto], categ[Categoria])</f>
        <v>Belleza</v>
      </c>
      <c r="O330">
        <v>15000</v>
      </c>
      <c r="P330">
        <v>1</v>
      </c>
      <c r="Q330" s="11">
        <v>0.1</v>
      </c>
      <c r="R330">
        <f>(ventas[[#This Row],[precio_unitario]]*ventas[[#This Row],[cantidad]])</f>
        <v>15000</v>
      </c>
      <c r="S330">
        <f>ventas[[#This Row],[Total_Productos]]*ventas[[#This Row],[descuento_pct]]</f>
        <v>1500</v>
      </c>
      <c r="T330">
        <f>ventas[[#This Row],[Total_Productos]]-ventas[[#This Row],[Valor_descuento]]</f>
        <v>13500</v>
      </c>
    </row>
    <row r="331" spans="1:20" x14ac:dyDescent="0.3">
      <c r="A331">
        <v>812</v>
      </c>
      <c r="B331" s="1">
        <v>45739</v>
      </c>
      <c r="C331">
        <v>21</v>
      </c>
      <c r="D331">
        <v>5</v>
      </c>
      <c r="E331">
        <v>193</v>
      </c>
      <c r="F331" t="s">
        <v>169</v>
      </c>
      <c r="G331" t="s">
        <v>170</v>
      </c>
      <c r="H331" t="s">
        <v>19</v>
      </c>
      <c r="I331">
        <v>40</v>
      </c>
      <c r="J331" t="s">
        <v>76</v>
      </c>
      <c r="K331" t="str">
        <f>_xlfn.XLOOKUP( ventas[[#This Row],[ciudad_cliente]],  ciudades[Ciudad], ciudades[Region])</f>
        <v>Los Lagos</v>
      </c>
      <c r="L331" t="s">
        <v>38</v>
      </c>
      <c r="M331" t="s">
        <v>46</v>
      </c>
      <c r="N331" t="str">
        <f>_xlfn.XLOOKUP(ventas[[#This Row],[producto]], categ[Producto], categ[Categoria])</f>
        <v>Tecnología</v>
      </c>
      <c r="O331">
        <v>750000</v>
      </c>
      <c r="P331">
        <v>2</v>
      </c>
      <c r="Q331" s="11">
        <v>0</v>
      </c>
      <c r="R331">
        <f>(ventas[[#This Row],[precio_unitario]]*ventas[[#This Row],[cantidad]])</f>
        <v>1500000</v>
      </c>
      <c r="S331">
        <f>ventas[[#This Row],[Total_Productos]]*ventas[[#This Row],[descuento_pct]]</f>
        <v>0</v>
      </c>
      <c r="T331">
        <f>ventas[[#This Row],[Total_Productos]]-ventas[[#This Row],[Valor_descuento]]</f>
        <v>1500000</v>
      </c>
    </row>
    <row r="332" spans="1:20" x14ac:dyDescent="0.3">
      <c r="A332">
        <v>982</v>
      </c>
      <c r="B332" s="1">
        <v>45909</v>
      </c>
      <c r="C332">
        <v>12</v>
      </c>
      <c r="D332">
        <v>0</v>
      </c>
      <c r="E332">
        <v>193</v>
      </c>
      <c r="F332" t="s">
        <v>169</v>
      </c>
      <c r="G332" t="s">
        <v>170</v>
      </c>
      <c r="H332" t="s">
        <v>19</v>
      </c>
      <c r="I332">
        <v>40</v>
      </c>
      <c r="J332" t="s">
        <v>116</v>
      </c>
      <c r="K332" t="str">
        <f>_xlfn.XLOOKUP( ventas[[#This Row],[ciudad_cliente]],  ciudades[Ciudad], ciudades[Region])</f>
        <v>Valparaíso</v>
      </c>
      <c r="L332" t="s">
        <v>38</v>
      </c>
      <c r="M332" t="s">
        <v>39</v>
      </c>
      <c r="N332" t="str">
        <f>_xlfn.XLOOKUP(ventas[[#This Row],[producto]], categ[Producto], categ[Categoria])</f>
        <v>Belleza</v>
      </c>
      <c r="O332">
        <v>35000</v>
      </c>
      <c r="P332">
        <v>2</v>
      </c>
      <c r="Q332" s="11">
        <v>0.1</v>
      </c>
      <c r="R332">
        <f>(ventas[[#This Row],[precio_unitario]]*ventas[[#This Row],[cantidad]])</f>
        <v>70000</v>
      </c>
      <c r="S332">
        <f>ventas[[#This Row],[Total_Productos]]*ventas[[#This Row],[descuento_pct]]</f>
        <v>7000</v>
      </c>
      <c r="T332">
        <f>ventas[[#This Row],[Total_Productos]]-ventas[[#This Row],[Valor_descuento]]</f>
        <v>63000</v>
      </c>
    </row>
    <row r="333" spans="1:20" x14ac:dyDescent="0.3">
      <c r="A333">
        <v>472</v>
      </c>
      <c r="B333" s="1">
        <v>45399</v>
      </c>
      <c r="C333">
        <v>19</v>
      </c>
      <c r="D333">
        <v>5</v>
      </c>
      <c r="E333">
        <v>11</v>
      </c>
      <c r="F333" t="s">
        <v>528</v>
      </c>
      <c r="G333" t="s">
        <v>529</v>
      </c>
      <c r="H333" t="s">
        <v>19</v>
      </c>
      <c r="I333">
        <v>32</v>
      </c>
      <c r="J333" t="s">
        <v>20</v>
      </c>
      <c r="K333" t="str">
        <f>_xlfn.XLOOKUP( ventas[[#This Row],[ciudad_cliente]],  ciudades[Ciudad], ciudades[Region])</f>
        <v>La Araucanía</v>
      </c>
      <c r="L333" t="s">
        <v>38</v>
      </c>
      <c r="M333" t="s">
        <v>98</v>
      </c>
      <c r="N333" t="str">
        <f>_xlfn.XLOOKUP(ventas[[#This Row],[producto]], categ[Producto], categ[Categoria])</f>
        <v>Calzado</v>
      </c>
      <c r="O333">
        <v>55000</v>
      </c>
      <c r="P333">
        <v>3</v>
      </c>
      <c r="Q333" s="11">
        <v>0</v>
      </c>
      <c r="R333">
        <f>(ventas[[#This Row],[precio_unitario]]*ventas[[#This Row],[cantidad]])</f>
        <v>165000</v>
      </c>
      <c r="S333">
        <f>ventas[[#This Row],[Total_Productos]]*ventas[[#This Row],[descuento_pct]]</f>
        <v>0</v>
      </c>
      <c r="T333">
        <f>ventas[[#This Row],[Total_Productos]]-ventas[[#This Row],[Valor_descuento]]</f>
        <v>165000</v>
      </c>
    </row>
    <row r="334" spans="1:20" x14ac:dyDescent="0.3">
      <c r="A334">
        <v>485</v>
      </c>
      <c r="B334" s="1">
        <v>45412</v>
      </c>
      <c r="C334">
        <v>68</v>
      </c>
      <c r="D334">
        <v>2</v>
      </c>
      <c r="E334">
        <v>11</v>
      </c>
      <c r="F334" t="s">
        <v>528</v>
      </c>
      <c r="G334" t="s">
        <v>529</v>
      </c>
      <c r="H334" t="s">
        <v>19</v>
      </c>
      <c r="I334">
        <v>32</v>
      </c>
      <c r="J334" t="s">
        <v>34</v>
      </c>
      <c r="K334" t="str">
        <f>_xlfn.XLOOKUP( ventas[[#This Row],[ciudad_cliente]],  ciudades[Ciudad], ciudades[Region])</f>
        <v>Metropolitana</v>
      </c>
      <c r="L334" t="s">
        <v>38</v>
      </c>
      <c r="M334" t="s">
        <v>56</v>
      </c>
      <c r="N334" t="str">
        <f>_xlfn.XLOOKUP(ventas[[#This Row],[producto]], categ[Producto], categ[Categoria])</f>
        <v>Vestuario</v>
      </c>
      <c r="O334">
        <v>25000</v>
      </c>
      <c r="P334">
        <v>1</v>
      </c>
      <c r="Q334" s="11">
        <v>0.05</v>
      </c>
      <c r="R334">
        <f>(ventas[[#This Row],[precio_unitario]]*ventas[[#This Row],[cantidad]])</f>
        <v>25000</v>
      </c>
      <c r="S334">
        <f>ventas[[#This Row],[Total_Productos]]*ventas[[#This Row],[descuento_pct]]</f>
        <v>1250</v>
      </c>
      <c r="T334">
        <f>ventas[[#This Row],[Total_Productos]]-ventas[[#This Row],[Valor_descuento]]</f>
        <v>23750</v>
      </c>
    </row>
    <row r="335" spans="1:20" x14ac:dyDescent="0.3">
      <c r="A335">
        <v>548</v>
      </c>
      <c r="B335" s="1">
        <v>45475</v>
      </c>
      <c r="C335">
        <v>9</v>
      </c>
      <c r="D335">
        <v>9</v>
      </c>
      <c r="E335">
        <v>11</v>
      </c>
      <c r="F335" t="s">
        <v>528</v>
      </c>
      <c r="G335" t="s">
        <v>529</v>
      </c>
      <c r="H335" t="s">
        <v>19</v>
      </c>
      <c r="I335">
        <v>32</v>
      </c>
      <c r="J335" t="s">
        <v>37</v>
      </c>
      <c r="K335" t="str">
        <f>_xlfn.XLOOKUP( ventas[[#This Row],[ciudad_cliente]],  ciudades[Ciudad], ciudades[Region])</f>
        <v>Valparaíso</v>
      </c>
      <c r="L335" t="s">
        <v>38</v>
      </c>
      <c r="M335" t="s">
        <v>30</v>
      </c>
      <c r="N335" t="str">
        <f>_xlfn.XLOOKUP(ventas[[#This Row],[producto]], categ[Producto], categ[Categoria])</f>
        <v>Electrohogar</v>
      </c>
      <c r="O335">
        <v>700000</v>
      </c>
      <c r="P335">
        <v>1</v>
      </c>
      <c r="Q335" s="11">
        <v>0</v>
      </c>
      <c r="R335">
        <f>(ventas[[#This Row],[precio_unitario]]*ventas[[#This Row],[cantidad]])</f>
        <v>700000</v>
      </c>
      <c r="S335">
        <f>ventas[[#This Row],[Total_Productos]]*ventas[[#This Row],[descuento_pct]]</f>
        <v>0</v>
      </c>
      <c r="T335">
        <f>ventas[[#This Row],[Total_Productos]]-ventas[[#This Row],[Valor_descuento]]</f>
        <v>700000</v>
      </c>
    </row>
    <row r="336" spans="1:20" x14ac:dyDescent="0.3">
      <c r="A336">
        <v>715</v>
      </c>
      <c r="B336" s="1">
        <v>45642</v>
      </c>
      <c r="C336">
        <v>45</v>
      </c>
      <c r="D336">
        <v>2</v>
      </c>
      <c r="E336">
        <v>11</v>
      </c>
      <c r="F336" t="s">
        <v>528</v>
      </c>
      <c r="G336" t="s">
        <v>529</v>
      </c>
      <c r="H336" t="s">
        <v>19</v>
      </c>
      <c r="I336">
        <v>32</v>
      </c>
      <c r="J336" t="s">
        <v>27</v>
      </c>
      <c r="K336" t="str">
        <f>_xlfn.XLOOKUP( ventas[[#This Row],[ciudad_cliente]],  ciudades[Ciudad], ciudades[Region])</f>
        <v>Biobío</v>
      </c>
      <c r="L336" t="s">
        <v>22</v>
      </c>
      <c r="M336" t="s">
        <v>56</v>
      </c>
      <c r="N336" t="str">
        <f>_xlfn.XLOOKUP(ventas[[#This Row],[producto]], categ[Producto], categ[Categoria])</f>
        <v>Vestuario</v>
      </c>
      <c r="O336">
        <v>25000</v>
      </c>
      <c r="P336">
        <v>3</v>
      </c>
      <c r="Q336" s="11">
        <v>0.05</v>
      </c>
      <c r="R336">
        <f>(ventas[[#This Row],[precio_unitario]]*ventas[[#This Row],[cantidad]])</f>
        <v>75000</v>
      </c>
      <c r="S336">
        <f>ventas[[#This Row],[Total_Productos]]*ventas[[#This Row],[descuento_pct]]</f>
        <v>3750</v>
      </c>
      <c r="T336">
        <f>ventas[[#This Row],[Total_Productos]]-ventas[[#This Row],[Valor_descuento]]</f>
        <v>71250</v>
      </c>
    </row>
    <row r="337" spans="1:20" x14ac:dyDescent="0.3">
      <c r="A337">
        <v>15</v>
      </c>
      <c r="B337" s="1">
        <v>44942</v>
      </c>
      <c r="C337">
        <v>49</v>
      </c>
      <c r="D337">
        <v>1</v>
      </c>
      <c r="E337">
        <v>67</v>
      </c>
      <c r="F337" t="s">
        <v>70</v>
      </c>
      <c r="G337" t="s">
        <v>71</v>
      </c>
      <c r="H337" t="s">
        <v>19</v>
      </c>
      <c r="I337">
        <v>37</v>
      </c>
      <c r="J337" t="s">
        <v>43</v>
      </c>
      <c r="K337" t="str">
        <f>_xlfn.XLOOKUP( ventas[[#This Row],[ciudad_cliente]],  ciudades[Ciudad], ciudades[Region])</f>
        <v>Antofagasta</v>
      </c>
      <c r="L337" t="s">
        <v>38</v>
      </c>
      <c r="M337" t="s">
        <v>62</v>
      </c>
      <c r="N337" t="str">
        <f>_xlfn.XLOOKUP(ventas[[#This Row],[producto]], categ[Producto], categ[Categoria])</f>
        <v>Electrohogar</v>
      </c>
      <c r="O337">
        <v>650000</v>
      </c>
      <c r="P337">
        <v>3</v>
      </c>
      <c r="Q337" s="11">
        <v>0.05</v>
      </c>
      <c r="R337">
        <f>(ventas[[#This Row],[precio_unitario]]*ventas[[#This Row],[cantidad]])</f>
        <v>1950000</v>
      </c>
      <c r="S337">
        <f>ventas[[#This Row],[Total_Productos]]*ventas[[#This Row],[descuento_pct]]</f>
        <v>97500</v>
      </c>
      <c r="T337">
        <f>ventas[[#This Row],[Total_Productos]]-ventas[[#This Row],[Valor_descuento]]</f>
        <v>1852500</v>
      </c>
    </row>
    <row r="338" spans="1:20" x14ac:dyDescent="0.3">
      <c r="A338">
        <v>112</v>
      </c>
      <c r="B338" s="1">
        <v>45039</v>
      </c>
      <c r="C338">
        <v>25</v>
      </c>
      <c r="D338">
        <v>3</v>
      </c>
      <c r="E338">
        <v>67</v>
      </c>
      <c r="F338" t="s">
        <v>70</v>
      </c>
      <c r="G338" t="s">
        <v>71</v>
      </c>
      <c r="H338" t="s">
        <v>19</v>
      </c>
      <c r="I338">
        <v>37</v>
      </c>
      <c r="J338" t="s">
        <v>76</v>
      </c>
      <c r="K338" t="str">
        <f>_xlfn.XLOOKUP( ventas[[#This Row],[ciudad_cliente]],  ciudades[Ciudad], ciudades[Region])</f>
        <v>Los Lagos</v>
      </c>
      <c r="L338" t="s">
        <v>22</v>
      </c>
      <c r="M338" t="s">
        <v>49</v>
      </c>
      <c r="N338" t="str">
        <f>_xlfn.XLOOKUP(ventas[[#This Row],[producto]], categ[Producto], categ[Categoria])</f>
        <v>Electrohogar</v>
      </c>
      <c r="O338">
        <v>800000</v>
      </c>
      <c r="P338">
        <v>3</v>
      </c>
      <c r="Q338" s="11">
        <v>0</v>
      </c>
      <c r="R338">
        <f>(ventas[[#This Row],[precio_unitario]]*ventas[[#This Row],[cantidad]])</f>
        <v>2400000</v>
      </c>
      <c r="S338">
        <f>ventas[[#This Row],[Total_Productos]]*ventas[[#This Row],[descuento_pct]]</f>
        <v>0</v>
      </c>
      <c r="T338">
        <f>ventas[[#This Row],[Total_Productos]]-ventas[[#This Row],[Valor_descuento]]</f>
        <v>2400000</v>
      </c>
    </row>
    <row r="339" spans="1:20" x14ac:dyDescent="0.3">
      <c r="A339">
        <v>276</v>
      </c>
      <c r="B339" s="1">
        <v>45203</v>
      </c>
      <c r="C339">
        <v>23</v>
      </c>
      <c r="D339">
        <v>0</v>
      </c>
      <c r="E339">
        <v>67</v>
      </c>
      <c r="F339" t="s">
        <v>70</v>
      </c>
      <c r="G339" t="s">
        <v>71</v>
      </c>
      <c r="H339" t="s">
        <v>19</v>
      </c>
      <c r="I339">
        <v>37</v>
      </c>
      <c r="J339" t="s">
        <v>52</v>
      </c>
      <c r="K339" t="str">
        <f>_xlfn.XLOOKUP( ventas[[#This Row],[ciudad_cliente]],  ciudades[Ciudad], ciudades[Region])</f>
        <v>Biobío</v>
      </c>
      <c r="L339" t="s">
        <v>38</v>
      </c>
      <c r="M339" t="s">
        <v>39</v>
      </c>
      <c r="N339" t="str">
        <f>_xlfn.XLOOKUP(ventas[[#This Row],[producto]], categ[Producto], categ[Categoria])</f>
        <v>Belleza</v>
      </c>
      <c r="O339">
        <v>35000</v>
      </c>
      <c r="P339">
        <v>1</v>
      </c>
      <c r="Q339" s="11">
        <v>0</v>
      </c>
      <c r="R339">
        <f>(ventas[[#This Row],[precio_unitario]]*ventas[[#This Row],[cantidad]])</f>
        <v>35000</v>
      </c>
      <c r="S339">
        <f>ventas[[#This Row],[Total_Productos]]*ventas[[#This Row],[descuento_pct]]</f>
        <v>0</v>
      </c>
      <c r="T339">
        <f>ventas[[#This Row],[Total_Productos]]-ventas[[#This Row],[Valor_descuento]]</f>
        <v>35000</v>
      </c>
    </row>
    <row r="340" spans="1:20" x14ac:dyDescent="0.3">
      <c r="A340">
        <v>553</v>
      </c>
      <c r="B340" s="1">
        <v>45480</v>
      </c>
      <c r="C340">
        <v>14</v>
      </c>
      <c r="D340">
        <v>0</v>
      </c>
      <c r="E340">
        <v>67</v>
      </c>
      <c r="F340" t="s">
        <v>70</v>
      </c>
      <c r="G340" t="s">
        <v>71</v>
      </c>
      <c r="H340" t="s">
        <v>19</v>
      </c>
      <c r="I340">
        <v>37</v>
      </c>
      <c r="J340" t="s">
        <v>34</v>
      </c>
      <c r="K340" t="str">
        <f>_xlfn.XLOOKUP( ventas[[#This Row],[ciudad_cliente]],  ciudades[Ciudad], ciudades[Region])</f>
        <v>Metropolitana</v>
      </c>
      <c r="L340" t="s">
        <v>38</v>
      </c>
      <c r="M340" t="s">
        <v>30</v>
      </c>
      <c r="N340" t="str">
        <f>_xlfn.XLOOKUP(ventas[[#This Row],[producto]], categ[Producto], categ[Categoria])</f>
        <v>Electrohogar</v>
      </c>
      <c r="O340">
        <v>700000</v>
      </c>
      <c r="P340">
        <v>3</v>
      </c>
      <c r="Q340" s="11">
        <v>0</v>
      </c>
      <c r="R340">
        <f>(ventas[[#This Row],[precio_unitario]]*ventas[[#This Row],[cantidad]])</f>
        <v>2100000</v>
      </c>
      <c r="S340">
        <f>ventas[[#This Row],[Total_Productos]]*ventas[[#This Row],[descuento_pct]]</f>
        <v>0</v>
      </c>
      <c r="T340">
        <f>ventas[[#This Row],[Total_Productos]]-ventas[[#This Row],[Valor_descuento]]</f>
        <v>2100000</v>
      </c>
    </row>
    <row r="341" spans="1:20" x14ac:dyDescent="0.3">
      <c r="A341">
        <v>578</v>
      </c>
      <c r="B341" s="1">
        <v>45505</v>
      </c>
      <c r="C341">
        <v>4</v>
      </c>
      <c r="D341">
        <v>3</v>
      </c>
      <c r="E341">
        <v>67</v>
      </c>
      <c r="F341" t="s">
        <v>70</v>
      </c>
      <c r="G341" t="s">
        <v>71</v>
      </c>
      <c r="H341" t="s">
        <v>19</v>
      </c>
      <c r="I341">
        <v>37</v>
      </c>
      <c r="J341" t="s">
        <v>52</v>
      </c>
      <c r="K341" t="str">
        <f>_xlfn.XLOOKUP( ventas[[#This Row],[ciudad_cliente]],  ciudades[Ciudad], ciudades[Region])</f>
        <v>Biobío</v>
      </c>
      <c r="L341" t="s">
        <v>22</v>
      </c>
      <c r="M341" t="s">
        <v>46</v>
      </c>
      <c r="N341" t="str">
        <f>_xlfn.XLOOKUP(ventas[[#This Row],[producto]], categ[Producto], categ[Categoria])</f>
        <v>Tecnología</v>
      </c>
      <c r="O341">
        <v>750000</v>
      </c>
      <c r="P341">
        <v>2</v>
      </c>
      <c r="Q341" s="11">
        <v>0.1</v>
      </c>
      <c r="R341">
        <f>(ventas[[#This Row],[precio_unitario]]*ventas[[#This Row],[cantidad]])</f>
        <v>1500000</v>
      </c>
      <c r="S341">
        <f>ventas[[#This Row],[Total_Productos]]*ventas[[#This Row],[descuento_pct]]</f>
        <v>150000</v>
      </c>
      <c r="T341">
        <f>ventas[[#This Row],[Total_Productos]]-ventas[[#This Row],[Valor_descuento]]</f>
        <v>1350000</v>
      </c>
    </row>
    <row r="342" spans="1:20" x14ac:dyDescent="0.3">
      <c r="A342">
        <v>729</v>
      </c>
      <c r="B342" s="1">
        <v>45656</v>
      </c>
      <c r="C342">
        <v>3</v>
      </c>
      <c r="D342">
        <v>1</v>
      </c>
      <c r="E342">
        <v>67</v>
      </c>
      <c r="F342" t="s">
        <v>70</v>
      </c>
      <c r="G342" t="s">
        <v>71</v>
      </c>
      <c r="H342" t="s">
        <v>19</v>
      </c>
      <c r="I342">
        <v>37</v>
      </c>
      <c r="J342" t="s">
        <v>37</v>
      </c>
      <c r="K342" t="str">
        <f>_xlfn.XLOOKUP( ventas[[#This Row],[ciudad_cliente]],  ciudades[Ciudad], ciudades[Region])</f>
        <v>Valparaíso</v>
      </c>
      <c r="L342" t="s">
        <v>22</v>
      </c>
      <c r="M342" t="s">
        <v>46</v>
      </c>
      <c r="N342" t="str">
        <f>_xlfn.XLOOKUP(ventas[[#This Row],[producto]], categ[Producto], categ[Categoria])</f>
        <v>Tecnología</v>
      </c>
      <c r="O342">
        <v>750000</v>
      </c>
      <c r="P342">
        <v>1</v>
      </c>
      <c r="Q342" s="11">
        <v>0.05</v>
      </c>
      <c r="R342">
        <f>(ventas[[#This Row],[precio_unitario]]*ventas[[#This Row],[cantidad]])</f>
        <v>750000</v>
      </c>
      <c r="S342">
        <f>ventas[[#This Row],[Total_Productos]]*ventas[[#This Row],[descuento_pct]]</f>
        <v>37500</v>
      </c>
      <c r="T342">
        <f>ventas[[#This Row],[Total_Productos]]-ventas[[#This Row],[Valor_descuento]]</f>
        <v>712500</v>
      </c>
    </row>
    <row r="343" spans="1:20" x14ac:dyDescent="0.3">
      <c r="A343">
        <v>976</v>
      </c>
      <c r="B343" s="1">
        <v>45903</v>
      </c>
      <c r="C343">
        <v>4</v>
      </c>
      <c r="D343">
        <v>3</v>
      </c>
      <c r="E343">
        <v>67</v>
      </c>
      <c r="F343" t="s">
        <v>70</v>
      </c>
      <c r="G343" t="s">
        <v>71</v>
      </c>
      <c r="H343" t="s">
        <v>19</v>
      </c>
      <c r="I343">
        <v>37</v>
      </c>
      <c r="J343" t="s">
        <v>52</v>
      </c>
      <c r="K343" t="str">
        <f>_xlfn.XLOOKUP( ventas[[#This Row],[ciudad_cliente]],  ciudades[Ciudad], ciudades[Region])</f>
        <v>Biobío</v>
      </c>
      <c r="L343" t="s">
        <v>29</v>
      </c>
      <c r="M343" t="s">
        <v>23</v>
      </c>
      <c r="N343" t="str">
        <f>_xlfn.XLOOKUP(ventas[[#This Row],[producto]], categ[Producto], categ[Categoria])</f>
        <v>Belleza</v>
      </c>
      <c r="O343">
        <v>15000</v>
      </c>
      <c r="P343">
        <v>3</v>
      </c>
      <c r="Q343" s="11">
        <v>0.05</v>
      </c>
      <c r="R343">
        <f>(ventas[[#This Row],[precio_unitario]]*ventas[[#This Row],[cantidad]])</f>
        <v>45000</v>
      </c>
      <c r="S343">
        <f>ventas[[#This Row],[Total_Productos]]*ventas[[#This Row],[descuento_pct]]</f>
        <v>2250</v>
      </c>
      <c r="T343">
        <f>ventas[[#This Row],[Total_Productos]]-ventas[[#This Row],[Valor_descuento]]</f>
        <v>42750</v>
      </c>
    </row>
    <row r="344" spans="1:20" x14ac:dyDescent="0.3">
      <c r="A344">
        <v>31</v>
      </c>
      <c r="B344" s="1">
        <v>44958</v>
      </c>
      <c r="C344">
        <v>45</v>
      </c>
      <c r="D344">
        <v>2</v>
      </c>
      <c r="E344">
        <v>162</v>
      </c>
      <c r="F344" t="s">
        <v>110</v>
      </c>
      <c r="G344" t="s">
        <v>111</v>
      </c>
      <c r="H344" t="s">
        <v>42</v>
      </c>
      <c r="I344">
        <v>47</v>
      </c>
      <c r="J344" t="s">
        <v>27</v>
      </c>
      <c r="K344" t="str">
        <f>_xlfn.XLOOKUP( ventas[[#This Row],[ciudad_cliente]],  ciudades[Ciudad], ciudades[Region])</f>
        <v>Biobío</v>
      </c>
      <c r="L344" t="s">
        <v>22</v>
      </c>
      <c r="M344" t="s">
        <v>62</v>
      </c>
      <c r="N344" t="str">
        <f>_xlfn.XLOOKUP(ventas[[#This Row],[producto]], categ[Producto], categ[Categoria])</f>
        <v>Electrohogar</v>
      </c>
      <c r="O344">
        <v>650000</v>
      </c>
      <c r="P344">
        <v>1</v>
      </c>
      <c r="Q344" s="11">
        <v>0.1</v>
      </c>
      <c r="R344">
        <f>(ventas[[#This Row],[precio_unitario]]*ventas[[#This Row],[cantidad]])</f>
        <v>650000</v>
      </c>
      <c r="S344">
        <f>ventas[[#This Row],[Total_Productos]]*ventas[[#This Row],[descuento_pct]]</f>
        <v>65000</v>
      </c>
      <c r="T344">
        <f>ventas[[#This Row],[Total_Productos]]-ventas[[#This Row],[Valor_descuento]]</f>
        <v>585000</v>
      </c>
    </row>
    <row r="345" spans="1:20" x14ac:dyDescent="0.3">
      <c r="A345">
        <v>77</v>
      </c>
      <c r="B345" s="1">
        <v>45004</v>
      </c>
      <c r="C345">
        <v>15</v>
      </c>
      <c r="D345">
        <v>0</v>
      </c>
      <c r="E345">
        <v>162</v>
      </c>
      <c r="F345" t="s">
        <v>110</v>
      </c>
      <c r="G345" t="s">
        <v>111</v>
      </c>
      <c r="H345" t="s">
        <v>42</v>
      </c>
      <c r="I345">
        <v>47</v>
      </c>
      <c r="J345" t="s">
        <v>34</v>
      </c>
      <c r="K345" t="str">
        <f>_xlfn.XLOOKUP( ventas[[#This Row],[ciudad_cliente]],  ciudades[Ciudad], ciudades[Region])</f>
        <v>Metropolitana</v>
      </c>
      <c r="L345" t="s">
        <v>29</v>
      </c>
      <c r="M345" t="s">
        <v>62</v>
      </c>
      <c r="N345" t="str">
        <f>_xlfn.XLOOKUP(ventas[[#This Row],[producto]], categ[Producto], categ[Categoria])</f>
        <v>Electrohogar</v>
      </c>
      <c r="O345">
        <v>650000</v>
      </c>
      <c r="P345">
        <v>3</v>
      </c>
      <c r="Q345" s="11">
        <v>0</v>
      </c>
      <c r="R345">
        <f>(ventas[[#This Row],[precio_unitario]]*ventas[[#This Row],[cantidad]])</f>
        <v>1950000</v>
      </c>
      <c r="S345">
        <f>ventas[[#This Row],[Total_Productos]]*ventas[[#This Row],[descuento_pct]]</f>
        <v>0</v>
      </c>
      <c r="T345">
        <f>ventas[[#This Row],[Total_Productos]]-ventas[[#This Row],[Valor_descuento]]</f>
        <v>1950000</v>
      </c>
    </row>
    <row r="346" spans="1:20" x14ac:dyDescent="0.3">
      <c r="A346">
        <v>546</v>
      </c>
      <c r="B346" s="1">
        <v>45473</v>
      </c>
      <c r="C346">
        <v>53</v>
      </c>
      <c r="D346">
        <v>1</v>
      </c>
      <c r="E346">
        <v>162</v>
      </c>
      <c r="F346" t="s">
        <v>110</v>
      </c>
      <c r="G346" t="s">
        <v>111</v>
      </c>
      <c r="H346" t="s">
        <v>42</v>
      </c>
      <c r="I346">
        <v>47</v>
      </c>
      <c r="J346" t="s">
        <v>76</v>
      </c>
      <c r="K346" t="str">
        <f>_xlfn.XLOOKUP( ventas[[#This Row],[ciudad_cliente]],  ciudades[Ciudad], ciudades[Region])</f>
        <v>Los Lagos</v>
      </c>
      <c r="L346" t="s">
        <v>38</v>
      </c>
      <c r="M346" t="s">
        <v>49</v>
      </c>
      <c r="N346" t="str">
        <f>_xlfn.XLOOKUP(ventas[[#This Row],[producto]], categ[Producto], categ[Categoria])</f>
        <v>Electrohogar</v>
      </c>
      <c r="O346">
        <v>800000</v>
      </c>
      <c r="P346">
        <v>1</v>
      </c>
      <c r="Q346" s="11">
        <v>0</v>
      </c>
      <c r="R346">
        <f>(ventas[[#This Row],[precio_unitario]]*ventas[[#This Row],[cantidad]])</f>
        <v>800000</v>
      </c>
      <c r="S346">
        <f>ventas[[#This Row],[Total_Productos]]*ventas[[#This Row],[descuento_pct]]</f>
        <v>0</v>
      </c>
      <c r="T346">
        <f>ventas[[#This Row],[Total_Productos]]-ventas[[#This Row],[Valor_descuento]]</f>
        <v>800000</v>
      </c>
    </row>
    <row r="347" spans="1:20" x14ac:dyDescent="0.3">
      <c r="A347">
        <v>989</v>
      </c>
      <c r="B347" s="1">
        <v>45916</v>
      </c>
      <c r="C347">
        <v>53</v>
      </c>
      <c r="D347">
        <v>1</v>
      </c>
      <c r="E347">
        <v>162</v>
      </c>
      <c r="F347" t="s">
        <v>110</v>
      </c>
      <c r="G347" t="s">
        <v>111</v>
      </c>
      <c r="H347" t="s">
        <v>42</v>
      </c>
      <c r="I347">
        <v>47</v>
      </c>
      <c r="J347" t="s">
        <v>76</v>
      </c>
      <c r="K347" t="str">
        <f>_xlfn.XLOOKUP( ventas[[#This Row],[ciudad_cliente]],  ciudades[Ciudad], ciudades[Region])</f>
        <v>Los Lagos</v>
      </c>
      <c r="L347" t="s">
        <v>38</v>
      </c>
      <c r="M347" t="s">
        <v>62</v>
      </c>
      <c r="N347" t="str">
        <f>_xlfn.XLOOKUP(ventas[[#This Row],[producto]], categ[Producto], categ[Categoria])</f>
        <v>Electrohogar</v>
      </c>
      <c r="O347">
        <v>650000</v>
      </c>
      <c r="P347">
        <v>3</v>
      </c>
      <c r="Q347" s="11">
        <v>0.05</v>
      </c>
      <c r="R347">
        <f>(ventas[[#This Row],[precio_unitario]]*ventas[[#This Row],[cantidad]])</f>
        <v>1950000</v>
      </c>
      <c r="S347">
        <f>ventas[[#This Row],[Total_Productos]]*ventas[[#This Row],[descuento_pct]]</f>
        <v>97500</v>
      </c>
      <c r="T347">
        <f>ventas[[#This Row],[Total_Productos]]-ventas[[#This Row],[Valor_descuento]]</f>
        <v>1852500</v>
      </c>
    </row>
    <row r="348" spans="1:20" x14ac:dyDescent="0.3">
      <c r="A348">
        <v>5</v>
      </c>
      <c r="B348" s="1">
        <v>44932</v>
      </c>
      <c r="C348">
        <v>11</v>
      </c>
      <c r="D348">
        <v>0</v>
      </c>
      <c r="E348">
        <v>218</v>
      </c>
      <c r="F348" t="s">
        <v>40</v>
      </c>
      <c r="G348" t="s">
        <v>41</v>
      </c>
      <c r="H348" t="s">
        <v>42</v>
      </c>
      <c r="I348">
        <v>35</v>
      </c>
      <c r="J348" t="s">
        <v>43</v>
      </c>
      <c r="K348" t="str">
        <f>_xlfn.XLOOKUP( ventas[[#This Row],[ciudad_cliente]],  ciudades[Ciudad], ciudades[Region])</f>
        <v>Antofagasta</v>
      </c>
      <c r="L348" t="s">
        <v>38</v>
      </c>
      <c r="M348" t="s">
        <v>23</v>
      </c>
      <c r="N348" t="str">
        <f>_xlfn.XLOOKUP(ventas[[#This Row],[producto]], categ[Producto], categ[Categoria])</f>
        <v>Belleza</v>
      </c>
      <c r="O348">
        <v>15000</v>
      </c>
      <c r="P348">
        <v>1</v>
      </c>
      <c r="Q348" s="11">
        <v>0.1</v>
      </c>
      <c r="R348">
        <f>(ventas[[#This Row],[precio_unitario]]*ventas[[#This Row],[cantidad]])</f>
        <v>15000</v>
      </c>
      <c r="S348">
        <f>ventas[[#This Row],[Total_Productos]]*ventas[[#This Row],[descuento_pct]]</f>
        <v>1500</v>
      </c>
      <c r="T348">
        <f>ventas[[#This Row],[Total_Productos]]-ventas[[#This Row],[Valor_descuento]]</f>
        <v>13500</v>
      </c>
    </row>
    <row r="349" spans="1:20" x14ac:dyDescent="0.3">
      <c r="A349">
        <v>353</v>
      </c>
      <c r="B349" s="1">
        <v>45280</v>
      </c>
      <c r="C349">
        <v>48</v>
      </c>
      <c r="D349">
        <v>6</v>
      </c>
      <c r="E349">
        <v>218</v>
      </c>
      <c r="F349" t="s">
        <v>40</v>
      </c>
      <c r="G349" t="s">
        <v>41</v>
      </c>
      <c r="H349" t="s">
        <v>42</v>
      </c>
      <c r="I349">
        <v>35</v>
      </c>
      <c r="J349" t="s">
        <v>37</v>
      </c>
      <c r="K349" t="str">
        <f>_xlfn.XLOOKUP( ventas[[#This Row],[ciudad_cliente]],  ciudades[Ciudad], ciudades[Region])</f>
        <v>Valparaíso</v>
      </c>
      <c r="L349" t="s">
        <v>38</v>
      </c>
      <c r="M349" t="s">
        <v>56</v>
      </c>
      <c r="N349" t="str">
        <f>_xlfn.XLOOKUP(ventas[[#This Row],[producto]], categ[Producto], categ[Categoria])</f>
        <v>Vestuario</v>
      </c>
      <c r="O349">
        <v>25000</v>
      </c>
      <c r="P349">
        <v>1</v>
      </c>
      <c r="Q349" s="11">
        <v>0</v>
      </c>
      <c r="R349">
        <f>(ventas[[#This Row],[precio_unitario]]*ventas[[#This Row],[cantidad]])</f>
        <v>25000</v>
      </c>
      <c r="S349">
        <f>ventas[[#This Row],[Total_Productos]]*ventas[[#This Row],[descuento_pct]]</f>
        <v>0</v>
      </c>
      <c r="T349">
        <f>ventas[[#This Row],[Total_Productos]]-ventas[[#This Row],[Valor_descuento]]</f>
        <v>25000</v>
      </c>
    </row>
    <row r="350" spans="1:20" x14ac:dyDescent="0.3">
      <c r="A350">
        <v>330</v>
      </c>
      <c r="B350" s="1">
        <v>45257</v>
      </c>
      <c r="C350">
        <v>46</v>
      </c>
      <c r="D350">
        <v>5</v>
      </c>
      <c r="E350">
        <v>54</v>
      </c>
      <c r="F350" t="s">
        <v>458</v>
      </c>
      <c r="G350" t="s">
        <v>459</v>
      </c>
      <c r="H350" t="s">
        <v>42</v>
      </c>
      <c r="I350">
        <v>45</v>
      </c>
      <c r="J350" t="s">
        <v>84</v>
      </c>
      <c r="K350" t="str">
        <f>_xlfn.XLOOKUP( ventas[[#This Row],[ciudad_cliente]],  ciudades[Ciudad], ciudades[Region])</f>
        <v>Coquimbo</v>
      </c>
      <c r="L350" t="s">
        <v>29</v>
      </c>
      <c r="M350" t="s">
        <v>30</v>
      </c>
      <c r="N350" t="str">
        <f>_xlfn.XLOOKUP(ventas[[#This Row],[producto]], categ[Producto], categ[Categoria])</f>
        <v>Electrohogar</v>
      </c>
      <c r="O350">
        <v>700000</v>
      </c>
      <c r="P350">
        <v>1</v>
      </c>
      <c r="Q350" s="11">
        <v>0.1</v>
      </c>
      <c r="R350">
        <f>(ventas[[#This Row],[precio_unitario]]*ventas[[#This Row],[cantidad]])</f>
        <v>700000</v>
      </c>
      <c r="S350">
        <f>ventas[[#This Row],[Total_Productos]]*ventas[[#This Row],[descuento_pct]]</f>
        <v>70000</v>
      </c>
      <c r="T350">
        <f>ventas[[#This Row],[Total_Productos]]-ventas[[#This Row],[Valor_descuento]]</f>
        <v>630000</v>
      </c>
    </row>
    <row r="351" spans="1:20" x14ac:dyDescent="0.3">
      <c r="A351">
        <v>746</v>
      </c>
      <c r="B351" s="1">
        <v>45673</v>
      </c>
      <c r="C351">
        <v>36</v>
      </c>
      <c r="D351">
        <v>4</v>
      </c>
      <c r="E351">
        <v>54</v>
      </c>
      <c r="F351" t="s">
        <v>458</v>
      </c>
      <c r="G351" t="s">
        <v>459</v>
      </c>
      <c r="H351" t="s">
        <v>42</v>
      </c>
      <c r="I351">
        <v>45</v>
      </c>
      <c r="J351" t="s">
        <v>101</v>
      </c>
      <c r="K351" t="str">
        <f>_xlfn.XLOOKUP( ventas[[#This Row],[ciudad_cliente]],  ciudades[Ciudad], ciudades[Region])</f>
        <v>O'Higgins</v>
      </c>
      <c r="L351" t="s">
        <v>38</v>
      </c>
      <c r="M351" t="s">
        <v>69</v>
      </c>
      <c r="N351" t="str">
        <f>_xlfn.XLOOKUP(ventas[[#This Row],[producto]], categ[Producto], categ[Categoria])</f>
        <v>Tecnología</v>
      </c>
      <c r="O351">
        <v>450000</v>
      </c>
      <c r="P351">
        <v>1</v>
      </c>
      <c r="Q351" s="11">
        <v>0.05</v>
      </c>
      <c r="R351">
        <f>(ventas[[#This Row],[precio_unitario]]*ventas[[#This Row],[cantidad]])</f>
        <v>450000</v>
      </c>
      <c r="S351">
        <f>ventas[[#This Row],[Total_Productos]]*ventas[[#This Row],[descuento_pct]]</f>
        <v>22500</v>
      </c>
      <c r="T351">
        <f>ventas[[#This Row],[Total_Productos]]-ventas[[#This Row],[Valor_descuento]]</f>
        <v>427500</v>
      </c>
    </row>
    <row r="352" spans="1:20" x14ac:dyDescent="0.3">
      <c r="A352">
        <v>162</v>
      </c>
      <c r="B352" s="1">
        <v>45089</v>
      </c>
      <c r="C352">
        <v>47</v>
      </c>
      <c r="D352">
        <v>1</v>
      </c>
      <c r="E352">
        <v>227</v>
      </c>
      <c r="F352" t="s">
        <v>310</v>
      </c>
      <c r="G352" t="s">
        <v>311</v>
      </c>
      <c r="H352" t="s">
        <v>42</v>
      </c>
      <c r="I352">
        <v>38</v>
      </c>
      <c r="J352" t="s">
        <v>116</v>
      </c>
      <c r="K352" t="str">
        <f>_xlfn.XLOOKUP( ventas[[#This Row],[ciudad_cliente]],  ciudades[Ciudad], ciudades[Region])</f>
        <v>Valparaíso</v>
      </c>
      <c r="L352" t="s">
        <v>38</v>
      </c>
      <c r="M352" t="s">
        <v>46</v>
      </c>
      <c r="N352" t="str">
        <f>_xlfn.XLOOKUP(ventas[[#This Row],[producto]], categ[Producto], categ[Categoria])</f>
        <v>Tecnología</v>
      </c>
      <c r="O352">
        <v>750000</v>
      </c>
      <c r="P352">
        <v>1</v>
      </c>
      <c r="Q352" s="11">
        <v>0</v>
      </c>
      <c r="R352">
        <f>(ventas[[#This Row],[precio_unitario]]*ventas[[#This Row],[cantidad]])</f>
        <v>750000</v>
      </c>
      <c r="S352">
        <f>ventas[[#This Row],[Total_Productos]]*ventas[[#This Row],[descuento_pct]]</f>
        <v>0</v>
      </c>
      <c r="T352">
        <f>ventas[[#This Row],[Total_Productos]]-ventas[[#This Row],[Valor_descuento]]</f>
        <v>750000</v>
      </c>
    </row>
    <row r="353" spans="1:20" x14ac:dyDescent="0.3">
      <c r="A353">
        <v>643</v>
      </c>
      <c r="B353" s="1">
        <v>45570</v>
      </c>
      <c r="C353">
        <v>10</v>
      </c>
      <c r="D353">
        <v>7</v>
      </c>
      <c r="E353">
        <v>227</v>
      </c>
      <c r="F353" t="s">
        <v>310</v>
      </c>
      <c r="G353" t="s">
        <v>311</v>
      </c>
      <c r="H353" t="s">
        <v>42</v>
      </c>
      <c r="I353">
        <v>38</v>
      </c>
      <c r="J353" t="s">
        <v>37</v>
      </c>
      <c r="K353" t="str">
        <f>_xlfn.XLOOKUP( ventas[[#This Row],[ciudad_cliente]],  ciudades[Ciudad], ciudades[Region])</f>
        <v>Valparaíso</v>
      </c>
      <c r="L353" t="s">
        <v>38</v>
      </c>
      <c r="M353" t="s">
        <v>62</v>
      </c>
      <c r="N353" t="str">
        <f>_xlfn.XLOOKUP(ventas[[#This Row],[producto]], categ[Producto], categ[Categoria])</f>
        <v>Electrohogar</v>
      </c>
      <c r="O353">
        <v>650000</v>
      </c>
      <c r="P353">
        <v>2</v>
      </c>
      <c r="Q353" s="11">
        <v>0.05</v>
      </c>
      <c r="R353">
        <f>(ventas[[#This Row],[precio_unitario]]*ventas[[#This Row],[cantidad]])</f>
        <v>1300000</v>
      </c>
      <c r="S353">
        <f>ventas[[#This Row],[Total_Productos]]*ventas[[#This Row],[descuento_pct]]</f>
        <v>65000</v>
      </c>
      <c r="T353">
        <f>ventas[[#This Row],[Total_Productos]]-ventas[[#This Row],[Valor_descuento]]</f>
        <v>1235000</v>
      </c>
    </row>
    <row r="354" spans="1:20" x14ac:dyDescent="0.3">
      <c r="A354">
        <v>737</v>
      </c>
      <c r="B354" s="1">
        <v>45664</v>
      </c>
      <c r="C354">
        <v>36</v>
      </c>
      <c r="D354">
        <v>4</v>
      </c>
      <c r="E354">
        <v>227</v>
      </c>
      <c r="F354" t="s">
        <v>310</v>
      </c>
      <c r="G354" t="s">
        <v>311</v>
      </c>
      <c r="H354" t="s">
        <v>42</v>
      </c>
      <c r="I354">
        <v>38</v>
      </c>
      <c r="J354" t="s">
        <v>101</v>
      </c>
      <c r="K354" t="str">
        <f>_xlfn.XLOOKUP( ventas[[#This Row],[ciudad_cliente]],  ciudades[Ciudad], ciudades[Region])</f>
        <v>O'Higgins</v>
      </c>
      <c r="L354" t="s">
        <v>22</v>
      </c>
      <c r="M354" t="s">
        <v>98</v>
      </c>
      <c r="N354" t="str">
        <f>_xlfn.XLOOKUP(ventas[[#This Row],[producto]], categ[Producto], categ[Categoria])</f>
        <v>Calzado</v>
      </c>
      <c r="O354">
        <v>55000</v>
      </c>
      <c r="P354">
        <v>2</v>
      </c>
      <c r="Q354" s="11">
        <v>0.1</v>
      </c>
      <c r="R354">
        <f>(ventas[[#This Row],[precio_unitario]]*ventas[[#This Row],[cantidad]])</f>
        <v>110000</v>
      </c>
      <c r="S354">
        <f>ventas[[#This Row],[Total_Productos]]*ventas[[#This Row],[descuento_pct]]</f>
        <v>11000</v>
      </c>
      <c r="T354">
        <f>ventas[[#This Row],[Total_Productos]]-ventas[[#This Row],[Valor_descuento]]</f>
        <v>99000</v>
      </c>
    </row>
    <row r="355" spans="1:20" x14ac:dyDescent="0.3">
      <c r="A355">
        <v>952</v>
      </c>
      <c r="B355" s="1">
        <v>45879</v>
      </c>
      <c r="C355">
        <v>8</v>
      </c>
      <c r="D355">
        <v>1</v>
      </c>
      <c r="E355">
        <v>227</v>
      </c>
      <c r="F355" t="s">
        <v>310</v>
      </c>
      <c r="G355" t="s">
        <v>311</v>
      </c>
      <c r="H355" t="s">
        <v>42</v>
      </c>
      <c r="I355">
        <v>38</v>
      </c>
      <c r="J355" t="s">
        <v>76</v>
      </c>
      <c r="K355" t="str">
        <f>_xlfn.XLOOKUP( ventas[[#This Row],[ciudad_cliente]],  ciudades[Ciudad], ciudades[Region])</f>
        <v>Los Lagos</v>
      </c>
      <c r="L355" t="s">
        <v>29</v>
      </c>
      <c r="M355" t="s">
        <v>46</v>
      </c>
      <c r="N355" t="str">
        <f>_xlfn.XLOOKUP(ventas[[#This Row],[producto]], categ[Producto], categ[Categoria])</f>
        <v>Tecnología</v>
      </c>
      <c r="O355">
        <v>750000</v>
      </c>
      <c r="P355">
        <v>3</v>
      </c>
      <c r="Q355" s="11">
        <v>0</v>
      </c>
      <c r="R355">
        <f>(ventas[[#This Row],[precio_unitario]]*ventas[[#This Row],[cantidad]])</f>
        <v>2250000</v>
      </c>
      <c r="S355">
        <f>ventas[[#This Row],[Total_Productos]]*ventas[[#This Row],[descuento_pct]]</f>
        <v>0</v>
      </c>
      <c r="T355">
        <f>ventas[[#This Row],[Total_Productos]]-ventas[[#This Row],[Valor_descuento]]</f>
        <v>2250000</v>
      </c>
    </row>
    <row r="356" spans="1:20" x14ac:dyDescent="0.3">
      <c r="A356">
        <v>876</v>
      </c>
      <c r="B356" s="1">
        <v>45803</v>
      </c>
      <c r="C356">
        <v>64</v>
      </c>
      <c r="D356">
        <v>4</v>
      </c>
      <c r="E356">
        <v>280</v>
      </c>
      <c r="F356" t="s">
        <v>592</v>
      </c>
      <c r="G356" t="s">
        <v>593</v>
      </c>
      <c r="H356" t="s">
        <v>42</v>
      </c>
      <c r="I356">
        <v>33</v>
      </c>
      <c r="J356" t="s">
        <v>20</v>
      </c>
      <c r="K356" t="str">
        <f>_xlfn.XLOOKUP( ventas[[#This Row],[ciudad_cliente]],  ciudades[Ciudad], ciudades[Region])</f>
        <v>La Araucanía</v>
      </c>
      <c r="L356" t="s">
        <v>22</v>
      </c>
      <c r="M356" t="s">
        <v>30</v>
      </c>
      <c r="N356" t="str">
        <f>_xlfn.XLOOKUP(ventas[[#This Row],[producto]], categ[Producto], categ[Categoria])</f>
        <v>Electrohogar</v>
      </c>
      <c r="O356">
        <v>700000</v>
      </c>
      <c r="P356">
        <v>1</v>
      </c>
      <c r="Q356" s="11">
        <v>0</v>
      </c>
      <c r="R356">
        <f>(ventas[[#This Row],[precio_unitario]]*ventas[[#This Row],[cantidad]])</f>
        <v>700000</v>
      </c>
      <c r="S356">
        <f>ventas[[#This Row],[Total_Productos]]*ventas[[#This Row],[descuento_pct]]</f>
        <v>0</v>
      </c>
      <c r="T356">
        <f>ventas[[#This Row],[Total_Productos]]-ventas[[#This Row],[Valor_descuento]]</f>
        <v>700000</v>
      </c>
    </row>
    <row r="357" spans="1:20" x14ac:dyDescent="0.3">
      <c r="A357">
        <v>82</v>
      </c>
      <c r="B357" s="1">
        <v>45009</v>
      </c>
      <c r="C357">
        <v>54</v>
      </c>
      <c r="D357">
        <v>9</v>
      </c>
      <c r="E357">
        <v>145</v>
      </c>
      <c r="F357" t="s">
        <v>197</v>
      </c>
      <c r="G357" t="s">
        <v>198</v>
      </c>
      <c r="H357" t="s">
        <v>19</v>
      </c>
      <c r="I357">
        <v>41</v>
      </c>
      <c r="J357" t="s">
        <v>27</v>
      </c>
      <c r="K357" t="str">
        <f>_xlfn.XLOOKUP( ventas[[#This Row],[ciudad_cliente]],  ciudades[Ciudad], ciudades[Region])</f>
        <v>Biobío</v>
      </c>
      <c r="L357" t="s">
        <v>29</v>
      </c>
      <c r="M357" t="s">
        <v>46</v>
      </c>
      <c r="N357" t="str">
        <f>_xlfn.XLOOKUP(ventas[[#This Row],[producto]], categ[Producto], categ[Categoria])</f>
        <v>Tecnología</v>
      </c>
      <c r="O357">
        <v>750000</v>
      </c>
      <c r="P357">
        <v>3</v>
      </c>
      <c r="Q357" s="11">
        <v>0</v>
      </c>
      <c r="R357">
        <f>(ventas[[#This Row],[precio_unitario]]*ventas[[#This Row],[cantidad]])</f>
        <v>2250000</v>
      </c>
      <c r="S357">
        <f>ventas[[#This Row],[Total_Productos]]*ventas[[#This Row],[descuento_pct]]</f>
        <v>0</v>
      </c>
      <c r="T357">
        <f>ventas[[#This Row],[Total_Productos]]-ventas[[#This Row],[Valor_descuento]]</f>
        <v>2250000</v>
      </c>
    </row>
    <row r="358" spans="1:20" x14ac:dyDescent="0.3">
      <c r="A358">
        <v>457</v>
      </c>
      <c r="B358" s="1">
        <v>45384</v>
      </c>
      <c r="C358">
        <v>34</v>
      </c>
      <c r="D358">
        <v>1</v>
      </c>
      <c r="E358">
        <v>145</v>
      </c>
      <c r="F358" t="s">
        <v>197</v>
      </c>
      <c r="G358" t="s">
        <v>198</v>
      </c>
      <c r="H358" t="s">
        <v>19</v>
      </c>
      <c r="I358">
        <v>41</v>
      </c>
      <c r="J358" t="s">
        <v>52</v>
      </c>
      <c r="K358" t="str">
        <f>_xlfn.XLOOKUP( ventas[[#This Row],[ciudad_cliente]],  ciudades[Ciudad], ciudades[Region])</f>
        <v>Biobío</v>
      </c>
      <c r="L358" t="s">
        <v>38</v>
      </c>
      <c r="M358" t="s">
        <v>30</v>
      </c>
      <c r="N358" t="str">
        <f>_xlfn.XLOOKUP(ventas[[#This Row],[producto]], categ[Producto], categ[Categoria])</f>
        <v>Electrohogar</v>
      </c>
      <c r="O358">
        <v>700000</v>
      </c>
      <c r="P358">
        <v>3</v>
      </c>
      <c r="Q358" s="11">
        <v>0.05</v>
      </c>
      <c r="R358">
        <f>(ventas[[#This Row],[precio_unitario]]*ventas[[#This Row],[cantidad]])</f>
        <v>2100000</v>
      </c>
      <c r="S358">
        <f>ventas[[#This Row],[Total_Productos]]*ventas[[#This Row],[descuento_pct]]</f>
        <v>105000</v>
      </c>
      <c r="T358">
        <f>ventas[[#This Row],[Total_Productos]]-ventas[[#This Row],[Valor_descuento]]</f>
        <v>1995000</v>
      </c>
    </row>
    <row r="359" spans="1:20" x14ac:dyDescent="0.3">
      <c r="A359">
        <v>907</v>
      </c>
      <c r="B359" s="1">
        <v>45834</v>
      </c>
      <c r="C359">
        <v>48</v>
      </c>
      <c r="D359">
        <v>6</v>
      </c>
      <c r="E359">
        <v>145</v>
      </c>
      <c r="F359" t="s">
        <v>197</v>
      </c>
      <c r="G359" t="s">
        <v>198</v>
      </c>
      <c r="H359" t="s">
        <v>19</v>
      </c>
      <c r="I359">
        <v>41</v>
      </c>
      <c r="J359" t="s">
        <v>37</v>
      </c>
      <c r="K359" t="str">
        <f>_xlfn.XLOOKUP( ventas[[#This Row],[ciudad_cliente]],  ciudades[Ciudad], ciudades[Region])</f>
        <v>Valparaíso</v>
      </c>
      <c r="L359" t="s">
        <v>38</v>
      </c>
      <c r="M359" t="s">
        <v>23</v>
      </c>
      <c r="N359" t="str">
        <f>_xlfn.XLOOKUP(ventas[[#This Row],[producto]], categ[Producto], categ[Categoria])</f>
        <v>Belleza</v>
      </c>
      <c r="O359">
        <v>15000</v>
      </c>
      <c r="P359">
        <v>2</v>
      </c>
      <c r="Q359" s="11">
        <v>0</v>
      </c>
      <c r="R359">
        <f>(ventas[[#This Row],[precio_unitario]]*ventas[[#This Row],[cantidad]])</f>
        <v>30000</v>
      </c>
      <c r="S359">
        <f>ventas[[#This Row],[Total_Productos]]*ventas[[#This Row],[descuento_pct]]</f>
        <v>0</v>
      </c>
      <c r="T359">
        <f>ventas[[#This Row],[Total_Productos]]-ventas[[#This Row],[Valor_descuento]]</f>
        <v>30000</v>
      </c>
    </row>
    <row r="360" spans="1:20" x14ac:dyDescent="0.3">
      <c r="A360">
        <v>28</v>
      </c>
      <c r="B360" s="1">
        <v>44955</v>
      </c>
      <c r="C360">
        <v>70</v>
      </c>
      <c r="D360">
        <v>6</v>
      </c>
      <c r="E360">
        <v>220</v>
      </c>
      <c r="F360" t="s">
        <v>103</v>
      </c>
      <c r="G360" t="s">
        <v>104</v>
      </c>
      <c r="H360" t="s">
        <v>19</v>
      </c>
      <c r="I360">
        <v>38</v>
      </c>
      <c r="J360" t="s">
        <v>27</v>
      </c>
      <c r="K360" t="str">
        <f>_xlfn.XLOOKUP( ventas[[#This Row],[ciudad_cliente]],  ciudades[Ciudad], ciudades[Region])</f>
        <v>Biobío</v>
      </c>
      <c r="L360" t="s">
        <v>38</v>
      </c>
      <c r="M360" t="s">
        <v>46</v>
      </c>
      <c r="N360" t="str">
        <f>_xlfn.XLOOKUP(ventas[[#This Row],[producto]], categ[Producto], categ[Categoria])</f>
        <v>Tecnología</v>
      </c>
      <c r="O360">
        <v>750000</v>
      </c>
      <c r="P360">
        <v>2</v>
      </c>
      <c r="Q360" s="11">
        <v>0</v>
      </c>
      <c r="R360">
        <f>(ventas[[#This Row],[precio_unitario]]*ventas[[#This Row],[cantidad]])</f>
        <v>1500000</v>
      </c>
      <c r="S360">
        <f>ventas[[#This Row],[Total_Productos]]*ventas[[#This Row],[descuento_pct]]</f>
        <v>0</v>
      </c>
      <c r="T360">
        <f>ventas[[#This Row],[Total_Productos]]-ventas[[#This Row],[Valor_descuento]]</f>
        <v>1500000</v>
      </c>
    </row>
    <row r="361" spans="1:20" x14ac:dyDescent="0.3">
      <c r="A361">
        <v>458</v>
      </c>
      <c r="B361" s="1">
        <v>45385</v>
      </c>
      <c r="C361">
        <v>4</v>
      </c>
      <c r="D361">
        <v>3</v>
      </c>
      <c r="E361">
        <v>220</v>
      </c>
      <c r="F361" t="s">
        <v>103</v>
      </c>
      <c r="G361" t="s">
        <v>104</v>
      </c>
      <c r="H361" t="s">
        <v>19</v>
      </c>
      <c r="I361">
        <v>38</v>
      </c>
      <c r="J361" t="s">
        <v>52</v>
      </c>
      <c r="K361" t="str">
        <f>_xlfn.XLOOKUP( ventas[[#This Row],[ciudad_cliente]],  ciudades[Ciudad], ciudades[Region])</f>
        <v>Biobío</v>
      </c>
      <c r="L361" t="s">
        <v>22</v>
      </c>
      <c r="M361" t="s">
        <v>30</v>
      </c>
      <c r="N361" t="str">
        <f>_xlfn.XLOOKUP(ventas[[#This Row],[producto]], categ[Producto], categ[Categoria])</f>
        <v>Electrohogar</v>
      </c>
      <c r="O361">
        <v>700000</v>
      </c>
      <c r="P361">
        <v>2</v>
      </c>
      <c r="Q361" s="11">
        <v>0</v>
      </c>
      <c r="R361">
        <f>(ventas[[#This Row],[precio_unitario]]*ventas[[#This Row],[cantidad]])</f>
        <v>1400000</v>
      </c>
      <c r="S361">
        <f>ventas[[#This Row],[Total_Productos]]*ventas[[#This Row],[descuento_pct]]</f>
        <v>0</v>
      </c>
      <c r="T361">
        <f>ventas[[#This Row],[Total_Productos]]-ventas[[#This Row],[Valor_descuento]]</f>
        <v>1400000</v>
      </c>
    </row>
    <row r="362" spans="1:20" x14ac:dyDescent="0.3">
      <c r="A362">
        <v>568</v>
      </c>
      <c r="B362" s="1">
        <v>45495</v>
      </c>
      <c r="C362">
        <v>69</v>
      </c>
      <c r="D362">
        <v>1</v>
      </c>
      <c r="E362">
        <v>220</v>
      </c>
      <c r="F362" t="s">
        <v>103</v>
      </c>
      <c r="G362" t="s">
        <v>104</v>
      </c>
      <c r="H362" t="s">
        <v>19</v>
      </c>
      <c r="I362">
        <v>38</v>
      </c>
      <c r="J362" t="s">
        <v>76</v>
      </c>
      <c r="K362" t="str">
        <f>_xlfn.XLOOKUP( ventas[[#This Row],[ciudad_cliente]],  ciudades[Ciudad], ciudades[Region])</f>
        <v>Los Lagos</v>
      </c>
      <c r="L362" t="s">
        <v>29</v>
      </c>
      <c r="M362" t="s">
        <v>69</v>
      </c>
      <c r="N362" t="str">
        <f>_xlfn.XLOOKUP(ventas[[#This Row],[producto]], categ[Producto], categ[Categoria])</f>
        <v>Tecnología</v>
      </c>
      <c r="O362">
        <v>450000</v>
      </c>
      <c r="P362">
        <v>2</v>
      </c>
      <c r="Q362" s="11">
        <v>0</v>
      </c>
      <c r="R362">
        <f>(ventas[[#This Row],[precio_unitario]]*ventas[[#This Row],[cantidad]])</f>
        <v>900000</v>
      </c>
      <c r="S362">
        <f>ventas[[#This Row],[Total_Productos]]*ventas[[#This Row],[descuento_pct]]</f>
        <v>0</v>
      </c>
      <c r="T362">
        <f>ventas[[#This Row],[Total_Productos]]-ventas[[#This Row],[Valor_descuento]]</f>
        <v>900000</v>
      </c>
    </row>
    <row r="363" spans="1:20" x14ac:dyDescent="0.3">
      <c r="A363">
        <v>213</v>
      </c>
      <c r="B363" s="1">
        <v>45140</v>
      </c>
      <c r="C363">
        <v>13</v>
      </c>
      <c r="D363">
        <v>0</v>
      </c>
      <c r="E363">
        <v>63</v>
      </c>
      <c r="F363" t="s">
        <v>366</v>
      </c>
      <c r="G363" t="s">
        <v>367</v>
      </c>
      <c r="H363" t="s">
        <v>42</v>
      </c>
      <c r="I363">
        <v>24</v>
      </c>
      <c r="J363" t="s">
        <v>27</v>
      </c>
      <c r="K363" t="str">
        <f>_xlfn.XLOOKUP( ventas[[#This Row],[ciudad_cliente]],  ciudades[Ciudad], ciudades[Region])</f>
        <v>Biobío</v>
      </c>
      <c r="L363" t="s">
        <v>38</v>
      </c>
      <c r="M363" t="s">
        <v>102</v>
      </c>
      <c r="N363" t="str">
        <f>_xlfn.XLOOKUP(ventas[[#This Row],[producto]], categ[Producto], categ[Categoria])</f>
        <v>Vestuario</v>
      </c>
      <c r="O363">
        <v>12000</v>
      </c>
      <c r="P363">
        <v>1</v>
      </c>
      <c r="Q363" s="11">
        <v>0.1</v>
      </c>
      <c r="R363">
        <f>(ventas[[#This Row],[precio_unitario]]*ventas[[#This Row],[cantidad]])</f>
        <v>12000</v>
      </c>
      <c r="S363">
        <f>ventas[[#This Row],[Total_Productos]]*ventas[[#This Row],[descuento_pct]]</f>
        <v>1200</v>
      </c>
      <c r="T363">
        <f>ventas[[#This Row],[Total_Productos]]-ventas[[#This Row],[Valor_descuento]]</f>
        <v>10800</v>
      </c>
    </row>
    <row r="364" spans="1:20" x14ac:dyDescent="0.3">
      <c r="A364">
        <v>248</v>
      </c>
      <c r="B364" s="1">
        <v>45175</v>
      </c>
      <c r="C364">
        <v>49</v>
      </c>
      <c r="D364">
        <v>1</v>
      </c>
      <c r="E364">
        <v>63</v>
      </c>
      <c r="F364" t="s">
        <v>366</v>
      </c>
      <c r="G364" t="s">
        <v>367</v>
      </c>
      <c r="H364" t="s">
        <v>42</v>
      </c>
      <c r="I364">
        <v>24</v>
      </c>
      <c r="J364" t="s">
        <v>43</v>
      </c>
      <c r="K364" t="str">
        <f>_xlfn.XLOOKUP( ventas[[#This Row],[ciudad_cliente]],  ciudades[Ciudad], ciudades[Region])</f>
        <v>Antofagasta</v>
      </c>
      <c r="L364" t="s">
        <v>22</v>
      </c>
      <c r="M364" t="s">
        <v>49</v>
      </c>
      <c r="N364" t="str">
        <f>_xlfn.XLOOKUP(ventas[[#This Row],[producto]], categ[Producto], categ[Categoria])</f>
        <v>Electrohogar</v>
      </c>
      <c r="O364">
        <v>800000</v>
      </c>
      <c r="P364">
        <v>3</v>
      </c>
      <c r="Q364" s="11">
        <v>0.05</v>
      </c>
      <c r="R364">
        <f>(ventas[[#This Row],[precio_unitario]]*ventas[[#This Row],[cantidad]])</f>
        <v>2400000</v>
      </c>
      <c r="S364">
        <f>ventas[[#This Row],[Total_Productos]]*ventas[[#This Row],[descuento_pct]]</f>
        <v>120000</v>
      </c>
      <c r="T364">
        <f>ventas[[#This Row],[Total_Productos]]-ventas[[#This Row],[Valor_descuento]]</f>
        <v>2280000</v>
      </c>
    </row>
    <row r="365" spans="1:20" x14ac:dyDescent="0.3">
      <c r="A365">
        <v>832</v>
      </c>
      <c r="B365" s="1">
        <v>45759</v>
      </c>
      <c r="C365">
        <v>14</v>
      </c>
      <c r="D365">
        <v>0</v>
      </c>
      <c r="E365">
        <v>63</v>
      </c>
      <c r="F365" t="s">
        <v>366</v>
      </c>
      <c r="G365" t="s">
        <v>367</v>
      </c>
      <c r="H365" t="s">
        <v>42</v>
      </c>
      <c r="I365">
        <v>24</v>
      </c>
      <c r="J365" t="s">
        <v>34</v>
      </c>
      <c r="K365" t="str">
        <f>_xlfn.XLOOKUP( ventas[[#This Row],[ciudad_cliente]],  ciudades[Ciudad], ciudades[Region])</f>
        <v>Metropolitana</v>
      </c>
      <c r="L365" t="s">
        <v>22</v>
      </c>
      <c r="M365" t="s">
        <v>46</v>
      </c>
      <c r="N365" t="str">
        <f>_xlfn.XLOOKUP(ventas[[#This Row],[producto]], categ[Producto], categ[Categoria])</f>
        <v>Tecnología</v>
      </c>
      <c r="O365">
        <v>750000</v>
      </c>
      <c r="P365">
        <v>2</v>
      </c>
      <c r="Q365" s="11">
        <v>0</v>
      </c>
      <c r="R365">
        <f>(ventas[[#This Row],[precio_unitario]]*ventas[[#This Row],[cantidad]])</f>
        <v>1500000</v>
      </c>
      <c r="S365">
        <f>ventas[[#This Row],[Total_Productos]]*ventas[[#This Row],[descuento_pct]]</f>
        <v>0</v>
      </c>
      <c r="T365">
        <f>ventas[[#This Row],[Total_Productos]]-ventas[[#This Row],[Valor_descuento]]</f>
        <v>1500000</v>
      </c>
    </row>
    <row r="366" spans="1:20" x14ac:dyDescent="0.3">
      <c r="A366">
        <v>167</v>
      </c>
      <c r="B366" s="1">
        <v>45094</v>
      </c>
      <c r="C366">
        <v>4</v>
      </c>
      <c r="D366">
        <v>3</v>
      </c>
      <c r="E366">
        <v>213</v>
      </c>
      <c r="F366" t="s">
        <v>316</v>
      </c>
      <c r="G366" t="s">
        <v>317</v>
      </c>
      <c r="H366" t="s">
        <v>42</v>
      </c>
      <c r="I366">
        <v>49</v>
      </c>
      <c r="J366" t="s">
        <v>52</v>
      </c>
      <c r="K366" t="str">
        <f>_xlfn.XLOOKUP( ventas[[#This Row],[ciudad_cliente]],  ciudades[Ciudad], ciudades[Region])</f>
        <v>Biobío</v>
      </c>
      <c r="L366" t="s">
        <v>22</v>
      </c>
      <c r="M366" t="s">
        <v>62</v>
      </c>
      <c r="N366" t="str">
        <f>_xlfn.XLOOKUP(ventas[[#This Row],[producto]], categ[Producto], categ[Categoria])</f>
        <v>Electrohogar</v>
      </c>
      <c r="O366">
        <v>650000</v>
      </c>
      <c r="P366">
        <v>1</v>
      </c>
      <c r="Q366" s="11">
        <v>0</v>
      </c>
      <c r="R366">
        <f>(ventas[[#This Row],[precio_unitario]]*ventas[[#This Row],[cantidad]])</f>
        <v>650000</v>
      </c>
      <c r="S366">
        <f>ventas[[#This Row],[Total_Productos]]*ventas[[#This Row],[descuento_pct]]</f>
        <v>0</v>
      </c>
      <c r="T366">
        <f>ventas[[#This Row],[Total_Productos]]-ventas[[#This Row],[Valor_descuento]]</f>
        <v>650000</v>
      </c>
    </row>
    <row r="367" spans="1:20" x14ac:dyDescent="0.3">
      <c r="A367">
        <v>202</v>
      </c>
      <c r="B367" s="1">
        <v>45129</v>
      </c>
      <c r="C367">
        <v>37</v>
      </c>
      <c r="D367">
        <v>1</v>
      </c>
      <c r="E367">
        <v>213</v>
      </c>
      <c r="F367" t="s">
        <v>316</v>
      </c>
      <c r="G367" t="s">
        <v>317</v>
      </c>
      <c r="H367" t="s">
        <v>42</v>
      </c>
      <c r="I367">
        <v>49</v>
      </c>
      <c r="J367" t="s">
        <v>116</v>
      </c>
      <c r="K367" t="str">
        <f>_xlfn.XLOOKUP( ventas[[#This Row],[ciudad_cliente]],  ciudades[Ciudad], ciudades[Region])</f>
        <v>Valparaíso</v>
      </c>
      <c r="L367" t="s">
        <v>29</v>
      </c>
      <c r="M367" t="s">
        <v>98</v>
      </c>
      <c r="N367" t="str">
        <f>_xlfn.XLOOKUP(ventas[[#This Row],[producto]], categ[Producto], categ[Categoria])</f>
        <v>Calzado</v>
      </c>
      <c r="O367">
        <v>55000</v>
      </c>
      <c r="P367">
        <v>1</v>
      </c>
      <c r="Q367" s="11">
        <v>0.05</v>
      </c>
      <c r="R367">
        <f>(ventas[[#This Row],[precio_unitario]]*ventas[[#This Row],[cantidad]])</f>
        <v>55000</v>
      </c>
      <c r="S367">
        <f>ventas[[#This Row],[Total_Productos]]*ventas[[#This Row],[descuento_pct]]</f>
        <v>2750</v>
      </c>
      <c r="T367">
        <f>ventas[[#This Row],[Total_Productos]]-ventas[[#This Row],[Valor_descuento]]</f>
        <v>52250</v>
      </c>
    </row>
    <row r="368" spans="1:20" x14ac:dyDescent="0.3">
      <c r="A368">
        <v>290</v>
      </c>
      <c r="B368" s="1">
        <v>45217</v>
      </c>
      <c r="C368">
        <v>58</v>
      </c>
      <c r="D368">
        <v>1</v>
      </c>
      <c r="E368">
        <v>213</v>
      </c>
      <c r="F368" t="s">
        <v>316</v>
      </c>
      <c r="G368" t="s">
        <v>317</v>
      </c>
      <c r="H368" t="s">
        <v>42</v>
      </c>
      <c r="I368">
        <v>49</v>
      </c>
      <c r="J368" t="s">
        <v>76</v>
      </c>
      <c r="K368" t="str">
        <f>_xlfn.XLOOKUP( ventas[[#This Row],[ciudad_cliente]],  ciudades[Ciudad], ciudades[Region])</f>
        <v>Los Lagos</v>
      </c>
      <c r="L368" t="s">
        <v>29</v>
      </c>
      <c r="M368" t="s">
        <v>39</v>
      </c>
      <c r="N368" t="str">
        <f>_xlfn.XLOOKUP(ventas[[#This Row],[producto]], categ[Producto], categ[Categoria])</f>
        <v>Belleza</v>
      </c>
      <c r="O368">
        <v>35000</v>
      </c>
      <c r="P368">
        <v>1</v>
      </c>
      <c r="Q368" s="11">
        <v>0</v>
      </c>
      <c r="R368">
        <f>(ventas[[#This Row],[precio_unitario]]*ventas[[#This Row],[cantidad]])</f>
        <v>35000</v>
      </c>
      <c r="S368">
        <f>ventas[[#This Row],[Total_Productos]]*ventas[[#This Row],[descuento_pct]]</f>
        <v>0</v>
      </c>
      <c r="T368">
        <f>ventas[[#This Row],[Total_Productos]]-ventas[[#This Row],[Valor_descuento]]</f>
        <v>35000</v>
      </c>
    </row>
    <row r="369" spans="1:20" x14ac:dyDescent="0.3">
      <c r="A369">
        <v>801</v>
      </c>
      <c r="B369" s="1">
        <v>45728</v>
      </c>
      <c r="C369">
        <v>5</v>
      </c>
      <c r="D369">
        <v>1</v>
      </c>
      <c r="E369">
        <v>213</v>
      </c>
      <c r="F369" t="s">
        <v>316</v>
      </c>
      <c r="G369" t="s">
        <v>317</v>
      </c>
      <c r="H369" t="s">
        <v>42</v>
      </c>
      <c r="I369">
        <v>49</v>
      </c>
      <c r="J369" t="s">
        <v>27</v>
      </c>
      <c r="K369" t="str">
        <f>_xlfn.XLOOKUP( ventas[[#This Row],[ciudad_cliente]],  ciudades[Ciudad], ciudades[Region])</f>
        <v>Biobío</v>
      </c>
      <c r="L369" t="s">
        <v>38</v>
      </c>
      <c r="M369" t="s">
        <v>23</v>
      </c>
      <c r="N369" t="str">
        <f>_xlfn.XLOOKUP(ventas[[#This Row],[producto]], categ[Producto], categ[Categoria])</f>
        <v>Belleza</v>
      </c>
      <c r="O369">
        <v>15000</v>
      </c>
      <c r="P369">
        <v>2</v>
      </c>
      <c r="Q369" s="11">
        <v>0.1</v>
      </c>
      <c r="R369">
        <f>(ventas[[#This Row],[precio_unitario]]*ventas[[#This Row],[cantidad]])</f>
        <v>30000</v>
      </c>
      <c r="S369">
        <f>ventas[[#This Row],[Total_Productos]]*ventas[[#This Row],[descuento_pct]]</f>
        <v>3000</v>
      </c>
      <c r="T369">
        <f>ventas[[#This Row],[Total_Productos]]-ventas[[#This Row],[Valor_descuento]]</f>
        <v>27000</v>
      </c>
    </row>
    <row r="370" spans="1:20" x14ac:dyDescent="0.3">
      <c r="A370">
        <v>401</v>
      </c>
      <c r="B370" s="1">
        <v>45328</v>
      </c>
      <c r="C370">
        <v>36</v>
      </c>
      <c r="D370">
        <v>4</v>
      </c>
      <c r="E370">
        <v>126</v>
      </c>
      <c r="F370" t="s">
        <v>502</v>
      </c>
      <c r="G370" t="s">
        <v>503</v>
      </c>
      <c r="H370" t="s">
        <v>42</v>
      </c>
      <c r="I370">
        <v>64</v>
      </c>
      <c r="J370" t="s">
        <v>101</v>
      </c>
      <c r="K370" t="str">
        <f>_xlfn.XLOOKUP( ventas[[#This Row],[ciudad_cliente]],  ciudades[Ciudad], ciudades[Region])</f>
        <v>O'Higgins</v>
      </c>
      <c r="L370" t="s">
        <v>38</v>
      </c>
      <c r="M370" t="s">
        <v>23</v>
      </c>
      <c r="N370" t="str">
        <f>_xlfn.XLOOKUP(ventas[[#This Row],[producto]], categ[Producto], categ[Categoria])</f>
        <v>Belleza</v>
      </c>
      <c r="O370">
        <v>15000</v>
      </c>
      <c r="P370">
        <v>3</v>
      </c>
      <c r="Q370" s="11">
        <v>0</v>
      </c>
      <c r="R370">
        <f>(ventas[[#This Row],[precio_unitario]]*ventas[[#This Row],[cantidad]])</f>
        <v>45000</v>
      </c>
      <c r="S370">
        <f>ventas[[#This Row],[Total_Productos]]*ventas[[#This Row],[descuento_pct]]</f>
        <v>0</v>
      </c>
      <c r="T370">
        <f>ventas[[#This Row],[Total_Productos]]-ventas[[#This Row],[Valor_descuento]]</f>
        <v>45000</v>
      </c>
    </row>
    <row r="371" spans="1:20" x14ac:dyDescent="0.3">
      <c r="A371">
        <v>425</v>
      </c>
      <c r="B371" s="1">
        <v>45352</v>
      </c>
      <c r="C371">
        <v>4</v>
      </c>
      <c r="D371">
        <v>3</v>
      </c>
      <c r="E371">
        <v>126</v>
      </c>
      <c r="F371" t="s">
        <v>502</v>
      </c>
      <c r="G371" t="s">
        <v>503</v>
      </c>
      <c r="H371" t="s">
        <v>42</v>
      </c>
      <c r="I371">
        <v>64</v>
      </c>
      <c r="J371" t="s">
        <v>52</v>
      </c>
      <c r="K371" t="str">
        <f>_xlfn.XLOOKUP( ventas[[#This Row],[ciudad_cliente]],  ciudades[Ciudad], ciudades[Region])</f>
        <v>Biobío</v>
      </c>
      <c r="L371" t="s">
        <v>38</v>
      </c>
      <c r="M371" t="s">
        <v>69</v>
      </c>
      <c r="N371" t="str">
        <f>_xlfn.XLOOKUP(ventas[[#This Row],[producto]], categ[Producto], categ[Categoria])</f>
        <v>Tecnología</v>
      </c>
      <c r="O371">
        <v>450000</v>
      </c>
      <c r="P371">
        <v>3</v>
      </c>
      <c r="Q371" s="11">
        <v>0.05</v>
      </c>
      <c r="R371">
        <f>(ventas[[#This Row],[precio_unitario]]*ventas[[#This Row],[cantidad]])</f>
        <v>1350000</v>
      </c>
      <c r="S371">
        <f>ventas[[#This Row],[Total_Productos]]*ventas[[#This Row],[descuento_pct]]</f>
        <v>67500</v>
      </c>
      <c r="T371">
        <f>ventas[[#This Row],[Total_Productos]]-ventas[[#This Row],[Valor_descuento]]</f>
        <v>1282500</v>
      </c>
    </row>
    <row r="372" spans="1:20" x14ac:dyDescent="0.3">
      <c r="A372">
        <v>499</v>
      </c>
      <c r="B372" s="1">
        <v>45426</v>
      </c>
      <c r="C372">
        <v>56</v>
      </c>
      <c r="D372">
        <v>2</v>
      </c>
      <c r="E372">
        <v>126</v>
      </c>
      <c r="F372" t="s">
        <v>502</v>
      </c>
      <c r="G372" t="s">
        <v>503</v>
      </c>
      <c r="H372" t="s">
        <v>42</v>
      </c>
      <c r="I372">
        <v>64</v>
      </c>
      <c r="J372" t="s">
        <v>27</v>
      </c>
      <c r="K372" t="str">
        <f>_xlfn.XLOOKUP( ventas[[#This Row],[ciudad_cliente]],  ciudades[Ciudad], ciudades[Region])</f>
        <v>Biobío</v>
      </c>
      <c r="L372" t="s">
        <v>38</v>
      </c>
      <c r="M372" t="s">
        <v>49</v>
      </c>
      <c r="N372" t="str">
        <f>_xlfn.XLOOKUP(ventas[[#This Row],[producto]], categ[Producto], categ[Categoria])</f>
        <v>Electrohogar</v>
      </c>
      <c r="O372">
        <v>800000</v>
      </c>
      <c r="P372">
        <v>3</v>
      </c>
      <c r="Q372" s="11">
        <v>0.05</v>
      </c>
      <c r="R372">
        <f>(ventas[[#This Row],[precio_unitario]]*ventas[[#This Row],[cantidad]])</f>
        <v>2400000</v>
      </c>
      <c r="S372">
        <f>ventas[[#This Row],[Total_Productos]]*ventas[[#This Row],[descuento_pct]]</f>
        <v>120000</v>
      </c>
      <c r="T372">
        <f>ventas[[#This Row],[Total_Productos]]-ventas[[#This Row],[Valor_descuento]]</f>
        <v>2280000</v>
      </c>
    </row>
    <row r="373" spans="1:20" x14ac:dyDescent="0.3">
      <c r="A373">
        <v>314</v>
      </c>
      <c r="B373" s="1">
        <v>45241</v>
      </c>
      <c r="C373">
        <v>2</v>
      </c>
      <c r="D373">
        <v>2</v>
      </c>
      <c r="E373">
        <v>180</v>
      </c>
      <c r="F373" t="s">
        <v>450</v>
      </c>
      <c r="G373" t="s">
        <v>451</v>
      </c>
      <c r="H373" t="s">
        <v>19</v>
      </c>
      <c r="I373">
        <v>70</v>
      </c>
      <c r="J373" t="s">
        <v>101</v>
      </c>
      <c r="K373" t="str">
        <f>_xlfn.XLOOKUP( ventas[[#This Row],[ciudad_cliente]],  ciudades[Ciudad], ciudades[Region])</f>
        <v>O'Higgins</v>
      </c>
      <c r="L373" t="s">
        <v>38</v>
      </c>
      <c r="M373" t="s">
        <v>39</v>
      </c>
      <c r="N373" t="str">
        <f>_xlfn.XLOOKUP(ventas[[#This Row],[producto]], categ[Producto], categ[Categoria])</f>
        <v>Belleza</v>
      </c>
      <c r="O373">
        <v>35000</v>
      </c>
      <c r="P373">
        <v>2</v>
      </c>
      <c r="Q373" s="11">
        <v>0.05</v>
      </c>
      <c r="R373">
        <f>(ventas[[#This Row],[precio_unitario]]*ventas[[#This Row],[cantidad]])</f>
        <v>70000</v>
      </c>
      <c r="S373">
        <f>ventas[[#This Row],[Total_Productos]]*ventas[[#This Row],[descuento_pct]]</f>
        <v>3500</v>
      </c>
      <c r="T373">
        <f>ventas[[#This Row],[Total_Productos]]-ventas[[#This Row],[Valor_descuento]]</f>
        <v>66500</v>
      </c>
    </row>
    <row r="374" spans="1:20" x14ac:dyDescent="0.3">
      <c r="A374">
        <v>398</v>
      </c>
      <c r="B374" s="1">
        <v>45325</v>
      </c>
      <c r="C374">
        <v>64</v>
      </c>
      <c r="D374">
        <v>4</v>
      </c>
      <c r="E374">
        <v>180</v>
      </c>
      <c r="F374" t="s">
        <v>450</v>
      </c>
      <c r="G374" t="s">
        <v>451</v>
      </c>
      <c r="H374" t="s">
        <v>19</v>
      </c>
      <c r="I374">
        <v>70</v>
      </c>
      <c r="J374" t="s">
        <v>20</v>
      </c>
      <c r="K374" t="str">
        <f>_xlfn.XLOOKUP( ventas[[#This Row],[ciudad_cliente]],  ciudades[Ciudad], ciudades[Region])</f>
        <v>La Araucanía</v>
      </c>
      <c r="L374" t="s">
        <v>22</v>
      </c>
      <c r="M374" t="s">
        <v>46</v>
      </c>
      <c r="N374" t="str">
        <f>_xlfn.XLOOKUP(ventas[[#This Row],[producto]], categ[Producto], categ[Categoria])</f>
        <v>Tecnología</v>
      </c>
      <c r="O374">
        <v>750000</v>
      </c>
      <c r="P374">
        <v>3</v>
      </c>
      <c r="Q374" s="11">
        <v>0</v>
      </c>
      <c r="R374">
        <f>(ventas[[#This Row],[precio_unitario]]*ventas[[#This Row],[cantidad]])</f>
        <v>2250000</v>
      </c>
      <c r="S374">
        <f>ventas[[#This Row],[Total_Productos]]*ventas[[#This Row],[descuento_pct]]</f>
        <v>0</v>
      </c>
      <c r="T374">
        <f>ventas[[#This Row],[Total_Productos]]-ventas[[#This Row],[Valor_descuento]]</f>
        <v>2250000</v>
      </c>
    </row>
    <row r="375" spans="1:20" x14ac:dyDescent="0.3">
      <c r="A375">
        <v>608</v>
      </c>
      <c r="B375" s="1">
        <v>45535</v>
      </c>
      <c r="C375">
        <v>35</v>
      </c>
      <c r="D375">
        <v>1</v>
      </c>
      <c r="E375">
        <v>180</v>
      </c>
      <c r="F375" t="s">
        <v>450</v>
      </c>
      <c r="G375" t="s">
        <v>451</v>
      </c>
      <c r="H375" t="s">
        <v>19</v>
      </c>
      <c r="I375">
        <v>70</v>
      </c>
      <c r="J375" t="s">
        <v>43</v>
      </c>
      <c r="K375" t="str">
        <f>_xlfn.XLOOKUP( ventas[[#This Row],[ciudad_cliente]],  ciudades[Ciudad], ciudades[Region])</f>
        <v>Antofagasta</v>
      </c>
      <c r="L375" t="s">
        <v>29</v>
      </c>
      <c r="M375" t="s">
        <v>49</v>
      </c>
      <c r="N375" t="str">
        <f>_xlfn.XLOOKUP(ventas[[#This Row],[producto]], categ[Producto], categ[Categoria])</f>
        <v>Electrohogar</v>
      </c>
      <c r="O375">
        <v>800000</v>
      </c>
      <c r="P375">
        <v>2</v>
      </c>
      <c r="Q375" s="11">
        <v>0.1</v>
      </c>
      <c r="R375">
        <f>(ventas[[#This Row],[precio_unitario]]*ventas[[#This Row],[cantidad]])</f>
        <v>1600000</v>
      </c>
      <c r="S375">
        <f>ventas[[#This Row],[Total_Productos]]*ventas[[#This Row],[descuento_pct]]</f>
        <v>160000</v>
      </c>
      <c r="T375">
        <f>ventas[[#This Row],[Total_Productos]]-ventas[[#This Row],[Valor_descuento]]</f>
        <v>1440000</v>
      </c>
    </row>
    <row r="376" spans="1:20" x14ac:dyDescent="0.3">
      <c r="A376">
        <v>945</v>
      </c>
      <c r="B376" s="1">
        <v>45872</v>
      </c>
      <c r="C376">
        <v>52</v>
      </c>
      <c r="D376">
        <v>0</v>
      </c>
      <c r="E376">
        <v>180</v>
      </c>
      <c r="F376" t="s">
        <v>450</v>
      </c>
      <c r="G376" t="s">
        <v>451</v>
      </c>
      <c r="H376" t="s">
        <v>19</v>
      </c>
      <c r="I376">
        <v>70</v>
      </c>
      <c r="J376" t="s">
        <v>27</v>
      </c>
      <c r="K376" t="str">
        <f>_xlfn.XLOOKUP( ventas[[#This Row],[ciudad_cliente]],  ciudades[Ciudad], ciudades[Region])</f>
        <v>Biobío</v>
      </c>
      <c r="L376" t="s">
        <v>38</v>
      </c>
      <c r="M376" t="s">
        <v>39</v>
      </c>
      <c r="N376" t="str">
        <f>_xlfn.XLOOKUP(ventas[[#This Row],[producto]], categ[Producto], categ[Categoria])</f>
        <v>Belleza</v>
      </c>
      <c r="O376">
        <v>35000</v>
      </c>
      <c r="P376">
        <v>3</v>
      </c>
      <c r="Q376" s="11">
        <v>0</v>
      </c>
      <c r="R376">
        <f>(ventas[[#This Row],[precio_unitario]]*ventas[[#This Row],[cantidad]])</f>
        <v>105000</v>
      </c>
      <c r="S376">
        <f>ventas[[#This Row],[Total_Productos]]*ventas[[#This Row],[descuento_pct]]</f>
        <v>0</v>
      </c>
      <c r="T376">
        <f>ventas[[#This Row],[Total_Productos]]-ventas[[#This Row],[Valor_descuento]]</f>
        <v>105000</v>
      </c>
    </row>
    <row r="377" spans="1:20" x14ac:dyDescent="0.3">
      <c r="A377">
        <v>116</v>
      </c>
      <c r="B377" s="1">
        <v>45043</v>
      </c>
      <c r="C377">
        <v>63</v>
      </c>
      <c r="D377">
        <v>5</v>
      </c>
      <c r="E377">
        <v>278</v>
      </c>
      <c r="F377" t="s">
        <v>255</v>
      </c>
      <c r="G377" t="s">
        <v>256</v>
      </c>
      <c r="H377" t="s">
        <v>19</v>
      </c>
      <c r="I377">
        <v>30</v>
      </c>
      <c r="J377" t="s">
        <v>101</v>
      </c>
      <c r="K377" t="str">
        <f>_xlfn.XLOOKUP( ventas[[#This Row],[ciudad_cliente]],  ciudades[Ciudad], ciudades[Region])</f>
        <v>O'Higgins</v>
      </c>
      <c r="L377" t="s">
        <v>38</v>
      </c>
      <c r="M377" t="s">
        <v>102</v>
      </c>
      <c r="N377" t="str">
        <f>_xlfn.XLOOKUP(ventas[[#This Row],[producto]], categ[Producto], categ[Categoria])</f>
        <v>Vestuario</v>
      </c>
      <c r="O377">
        <v>12000</v>
      </c>
      <c r="P377">
        <v>3</v>
      </c>
      <c r="Q377" s="11">
        <v>0.05</v>
      </c>
      <c r="R377">
        <f>(ventas[[#This Row],[precio_unitario]]*ventas[[#This Row],[cantidad]])</f>
        <v>36000</v>
      </c>
      <c r="S377">
        <f>ventas[[#This Row],[Total_Productos]]*ventas[[#This Row],[descuento_pct]]</f>
        <v>1800</v>
      </c>
      <c r="T377">
        <f>ventas[[#This Row],[Total_Productos]]-ventas[[#This Row],[Valor_descuento]]</f>
        <v>34200</v>
      </c>
    </row>
    <row r="378" spans="1:20" x14ac:dyDescent="0.3">
      <c r="A378">
        <v>682</v>
      </c>
      <c r="B378" s="1">
        <v>45609</v>
      </c>
      <c r="C378">
        <v>51</v>
      </c>
      <c r="D378">
        <v>7</v>
      </c>
      <c r="E378">
        <v>278</v>
      </c>
      <c r="F378" t="s">
        <v>255</v>
      </c>
      <c r="G378" t="s">
        <v>256</v>
      </c>
      <c r="H378" t="s">
        <v>19</v>
      </c>
      <c r="I378">
        <v>30</v>
      </c>
      <c r="J378" t="s">
        <v>101</v>
      </c>
      <c r="K378" t="str">
        <f>_xlfn.XLOOKUP( ventas[[#This Row],[ciudad_cliente]],  ciudades[Ciudad], ciudades[Region])</f>
        <v>O'Higgins</v>
      </c>
      <c r="L378" t="s">
        <v>22</v>
      </c>
      <c r="M378" t="s">
        <v>56</v>
      </c>
      <c r="N378" t="str">
        <f>_xlfn.XLOOKUP(ventas[[#This Row],[producto]], categ[Producto], categ[Categoria])</f>
        <v>Vestuario</v>
      </c>
      <c r="O378">
        <v>25000</v>
      </c>
      <c r="P378">
        <v>2</v>
      </c>
      <c r="Q378" s="11">
        <v>0.1</v>
      </c>
      <c r="R378">
        <f>(ventas[[#This Row],[precio_unitario]]*ventas[[#This Row],[cantidad]])</f>
        <v>50000</v>
      </c>
      <c r="S378">
        <f>ventas[[#This Row],[Total_Productos]]*ventas[[#This Row],[descuento_pct]]</f>
        <v>5000</v>
      </c>
      <c r="T378">
        <f>ventas[[#This Row],[Total_Productos]]-ventas[[#This Row],[Valor_descuento]]</f>
        <v>45000</v>
      </c>
    </row>
    <row r="379" spans="1:20" x14ac:dyDescent="0.3">
      <c r="A379">
        <v>155</v>
      </c>
      <c r="B379" s="1">
        <v>45082</v>
      </c>
      <c r="C379">
        <v>43</v>
      </c>
      <c r="D379">
        <v>0</v>
      </c>
      <c r="E379">
        <v>241</v>
      </c>
      <c r="F379" t="s">
        <v>298</v>
      </c>
      <c r="G379" t="s">
        <v>299</v>
      </c>
      <c r="H379" t="s">
        <v>42</v>
      </c>
      <c r="I379">
        <v>28</v>
      </c>
      <c r="J379" t="s">
        <v>34</v>
      </c>
      <c r="K379" t="str">
        <f>_xlfn.XLOOKUP( ventas[[#This Row],[ciudad_cliente]],  ciudades[Ciudad], ciudades[Region])</f>
        <v>Metropolitana</v>
      </c>
      <c r="L379" t="s">
        <v>38</v>
      </c>
      <c r="M379" t="s">
        <v>30</v>
      </c>
      <c r="N379" t="str">
        <f>_xlfn.XLOOKUP(ventas[[#This Row],[producto]], categ[Producto], categ[Categoria])</f>
        <v>Electrohogar</v>
      </c>
      <c r="O379">
        <v>700000</v>
      </c>
      <c r="P379">
        <v>3</v>
      </c>
      <c r="Q379" s="11">
        <v>0.1</v>
      </c>
      <c r="R379">
        <f>(ventas[[#This Row],[precio_unitario]]*ventas[[#This Row],[cantidad]])</f>
        <v>2100000</v>
      </c>
      <c r="S379">
        <f>ventas[[#This Row],[Total_Productos]]*ventas[[#This Row],[descuento_pct]]</f>
        <v>210000</v>
      </c>
      <c r="T379">
        <f>ventas[[#This Row],[Total_Productos]]-ventas[[#This Row],[Valor_descuento]]</f>
        <v>1890000</v>
      </c>
    </row>
    <row r="380" spans="1:20" x14ac:dyDescent="0.3">
      <c r="A380">
        <v>281</v>
      </c>
      <c r="B380" s="1">
        <v>45208</v>
      </c>
      <c r="C380">
        <v>54</v>
      </c>
      <c r="D380">
        <v>9</v>
      </c>
      <c r="E380">
        <v>241</v>
      </c>
      <c r="F380" t="s">
        <v>298</v>
      </c>
      <c r="G380" t="s">
        <v>299</v>
      </c>
      <c r="H380" t="s">
        <v>42</v>
      </c>
      <c r="I380">
        <v>28</v>
      </c>
      <c r="J380" t="s">
        <v>27</v>
      </c>
      <c r="K380" t="str">
        <f>_xlfn.XLOOKUP( ventas[[#This Row],[ciudad_cliente]],  ciudades[Ciudad], ciudades[Region])</f>
        <v>Biobío</v>
      </c>
      <c r="L380" t="s">
        <v>22</v>
      </c>
      <c r="M380" t="s">
        <v>98</v>
      </c>
      <c r="N380" t="str">
        <f>_xlfn.XLOOKUP(ventas[[#This Row],[producto]], categ[Producto], categ[Categoria])</f>
        <v>Calzado</v>
      </c>
      <c r="O380">
        <v>55000</v>
      </c>
      <c r="P380">
        <v>2</v>
      </c>
      <c r="Q380" s="11">
        <v>0</v>
      </c>
      <c r="R380">
        <f>(ventas[[#This Row],[precio_unitario]]*ventas[[#This Row],[cantidad]])</f>
        <v>110000</v>
      </c>
      <c r="S380">
        <f>ventas[[#This Row],[Total_Productos]]*ventas[[#This Row],[descuento_pct]]</f>
        <v>0</v>
      </c>
      <c r="T380">
        <f>ventas[[#This Row],[Total_Productos]]-ventas[[#This Row],[Valor_descuento]]</f>
        <v>110000</v>
      </c>
    </row>
    <row r="381" spans="1:20" x14ac:dyDescent="0.3">
      <c r="A381">
        <v>900</v>
      </c>
      <c r="B381" s="1">
        <v>45827</v>
      </c>
      <c r="C381">
        <v>67</v>
      </c>
      <c r="D381">
        <v>0</v>
      </c>
      <c r="E381">
        <v>241</v>
      </c>
      <c r="F381" t="s">
        <v>298</v>
      </c>
      <c r="G381" t="s">
        <v>299</v>
      </c>
      <c r="H381" t="s">
        <v>42</v>
      </c>
      <c r="I381">
        <v>28</v>
      </c>
      <c r="J381" t="s">
        <v>27</v>
      </c>
      <c r="K381" t="str">
        <f>_xlfn.XLOOKUP( ventas[[#This Row],[ciudad_cliente]],  ciudades[Ciudad], ciudades[Region])</f>
        <v>Biobío</v>
      </c>
      <c r="L381" t="s">
        <v>38</v>
      </c>
      <c r="M381" t="s">
        <v>69</v>
      </c>
      <c r="N381" t="str">
        <f>_xlfn.XLOOKUP(ventas[[#This Row],[producto]], categ[Producto], categ[Categoria])</f>
        <v>Tecnología</v>
      </c>
      <c r="O381">
        <v>450000</v>
      </c>
      <c r="P381">
        <v>3</v>
      </c>
      <c r="Q381" s="11">
        <v>0.1</v>
      </c>
      <c r="R381">
        <f>(ventas[[#This Row],[precio_unitario]]*ventas[[#This Row],[cantidad]])</f>
        <v>1350000</v>
      </c>
      <c r="S381">
        <f>ventas[[#This Row],[Total_Productos]]*ventas[[#This Row],[descuento_pct]]</f>
        <v>135000</v>
      </c>
      <c r="T381">
        <f>ventas[[#This Row],[Total_Productos]]-ventas[[#This Row],[Valor_descuento]]</f>
        <v>1215000</v>
      </c>
    </row>
    <row r="382" spans="1:20" x14ac:dyDescent="0.3">
      <c r="A382">
        <v>14</v>
      </c>
      <c r="B382" s="1">
        <v>44941</v>
      </c>
      <c r="C382">
        <v>19</v>
      </c>
      <c r="D382">
        <v>5</v>
      </c>
      <c r="E382">
        <v>189</v>
      </c>
      <c r="F382" t="s">
        <v>67</v>
      </c>
      <c r="G382" t="s">
        <v>68</v>
      </c>
      <c r="H382" t="s">
        <v>42</v>
      </c>
      <c r="I382">
        <v>27</v>
      </c>
      <c r="J382" t="s">
        <v>20</v>
      </c>
      <c r="K382" t="str">
        <f>_xlfn.XLOOKUP( ventas[[#This Row],[ciudad_cliente]],  ciudades[Ciudad], ciudades[Region])</f>
        <v>La Araucanía</v>
      </c>
      <c r="L382" t="s">
        <v>22</v>
      </c>
      <c r="M382" t="s">
        <v>69</v>
      </c>
      <c r="N382" t="str">
        <f>_xlfn.XLOOKUP(ventas[[#This Row],[producto]], categ[Producto], categ[Categoria])</f>
        <v>Tecnología</v>
      </c>
      <c r="O382">
        <v>450000</v>
      </c>
      <c r="P382">
        <v>1</v>
      </c>
      <c r="Q382" s="11">
        <v>0.1</v>
      </c>
      <c r="R382">
        <f>(ventas[[#This Row],[precio_unitario]]*ventas[[#This Row],[cantidad]])</f>
        <v>450000</v>
      </c>
      <c r="S382">
        <f>ventas[[#This Row],[Total_Productos]]*ventas[[#This Row],[descuento_pct]]</f>
        <v>45000</v>
      </c>
      <c r="T382">
        <f>ventas[[#This Row],[Total_Productos]]-ventas[[#This Row],[Valor_descuento]]</f>
        <v>405000</v>
      </c>
    </row>
    <row r="383" spans="1:20" x14ac:dyDescent="0.3">
      <c r="A383">
        <v>239</v>
      </c>
      <c r="B383" s="1">
        <v>45166</v>
      </c>
      <c r="C383">
        <v>28</v>
      </c>
      <c r="D383">
        <v>5</v>
      </c>
      <c r="E383">
        <v>189</v>
      </c>
      <c r="F383" t="s">
        <v>67</v>
      </c>
      <c r="G383" t="s">
        <v>68</v>
      </c>
      <c r="H383" t="s">
        <v>42</v>
      </c>
      <c r="I383">
        <v>27</v>
      </c>
      <c r="J383" t="s">
        <v>116</v>
      </c>
      <c r="K383" t="str">
        <f>_xlfn.XLOOKUP( ventas[[#This Row],[ciudad_cliente]],  ciudades[Ciudad], ciudades[Region])</f>
        <v>Valparaíso</v>
      </c>
      <c r="L383" t="s">
        <v>38</v>
      </c>
      <c r="M383" t="s">
        <v>62</v>
      </c>
      <c r="N383" t="str">
        <f>_xlfn.XLOOKUP(ventas[[#This Row],[producto]], categ[Producto], categ[Categoria])</f>
        <v>Electrohogar</v>
      </c>
      <c r="O383">
        <v>650000</v>
      </c>
      <c r="P383">
        <v>1</v>
      </c>
      <c r="Q383" s="11">
        <v>0.05</v>
      </c>
      <c r="R383">
        <f>(ventas[[#This Row],[precio_unitario]]*ventas[[#This Row],[cantidad]])</f>
        <v>650000</v>
      </c>
      <c r="S383">
        <f>ventas[[#This Row],[Total_Productos]]*ventas[[#This Row],[descuento_pct]]</f>
        <v>32500</v>
      </c>
      <c r="T383">
        <f>ventas[[#This Row],[Total_Productos]]-ventas[[#This Row],[Valor_descuento]]</f>
        <v>617500</v>
      </c>
    </row>
    <row r="384" spans="1:20" x14ac:dyDescent="0.3">
      <c r="A384">
        <v>432</v>
      </c>
      <c r="B384" s="1">
        <v>45359</v>
      </c>
      <c r="C384">
        <v>39</v>
      </c>
      <c r="D384">
        <v>6</v>
      </c>
      <c r="E384">
        <v>189</v>
      </c>
      <c r="F384" t="s">
        <v>67</v>
      </c>
      <c r="G384" t="s">
        <v>68</v>
      </c>
      <c r="H384" t="s">
        <v>42</v>
      </c>
      <c r="I384">
        <v>27</v>
      </c>
      <c r="J384" t="s">
        <v>43</v>
      </c>
      <c r="K384" t="str">
        <f>_xlfn.XLOOKUP( ventas[[#This Row],[ciudad_cliente]],  ciudades[Ciudad], ciudades[Region])</f>
        <v>Antofagasta</v>
      </c>
      <c r="L384" t="s">
        <v>38</v>
      </c>
      <c r="M384" t="s">
        <v>30</v>
      </c>
      <c r="N384" t="str">
        <f>_xlfn.XLOOKUP(ventas[[#This Row],[producto]], categ[Producto], categ[Categoria])</f>
        <v>Electrohogar</v>
      </c>
      <c r="O384">
        <v>700000</v>
      </c>
      <c r="P384">
        <v>2</v>
      </c>
      <c r="Q384" s="11">
        <v>0</v>
      </c>
      <c r="R384">
        <f>(ventas[[#This Row],[precio_unitario]]*ventas[[#This Row],[cantidad]])</f>
        <v>1400000</v>
      </c>
      <c r="S384">
        <f>ventas[[#This Row],[Total_Productos]]*ventas[[#This Row],[descuento_pct]]</f>
        <v>0</v>
      </c>
      <c r="T384">
        <f>ventas[[#This Row],[Total_Productos]]-ventas[[#This Row],[Valor_descuento]]</f>
        <v>1400000</v>
      </c>
    </row>
    <row r="385" spans="1:20" x14ac:dyDescent="0.3">
      <c r="A385">
        <v>459</v>
      </c>
      <c r="B385" s="1">
        <v>45386</v>
      </c>
      <c r="C385">
        <v>24</v>
      </c>
      <c r="D385">
        <v>3</v>
      </c>
      <c r="E385">
        <v>189</v>
      </c>
      <c r="F385" t="s">
        <v>67</v>
      </c>
      <c r="G385" t="s">
        <v>68</v>
      </c>
      <c r="H385" t="s">
        <v>42</v>
      </c>
      <c r="I385">
        <v>27</v>
      </c>
      <c r="J385" t="s">
        <v>84</v>
      </c>
      <c r="K385" t="str">
        <f>_xlfn.XLOOKUP( ventas[[#This Row],[ciudad_cliente]],  ciudades[Ciudad], ciudades[Region])</f>
        <v>Coquimbo</v>
      </c>
      <c r="L385" t="s">
        <v>22</v>
      </c>
      <c r="M385" t="s">
        <v>56</v>
      </c>
      <c r="N385" t="str">
        <f>_xlfn.XLOOKUP(ventas[[#This Row],[producto]], categ[Producto], categ[Categoria])</f>
        <v>Vestuario</v>
      </c>
      <c r="O385">
        <v>25000</v>
      </c>
      <c r="P385">
        <v>3</v>
      </c>
      <c r="Q385" s="11">
        <v>0</v>
      </c>
      <c r="R385">
        <f>(ventas[[#This Row],[precio_unitario]]*ventas[[#This Row],[cantidad]])</f>
        <v>75000</v>
      </c>
      <c r="S385">
        <f>ventas[[#This Row],[Total_Productos]]*ventas[[#This Row],[descuento_pct]]</f>
        <v>0</v>
      </c>
      <c r="T385">
        <f>ventas[[#This Row],[Total_Productos]]-ventas[[#This Row],[Valor_descuento]]</f>
        <v>75000</v>
      </c>
    </row>
    <row r="386" spans="1:20" x14ac:dyDescent="0.3">
      <c r="A386">
        <v>775</v>
      </c>
      <c r="B386" s="1">
        <v>45702</v>
      </c>
      <c r="C386">
        <v>22</v>
      </c>
      <c r="D386">
        <v>1</v>
      </c>
      <c r="E386">
        <v>189</v>
      </c>
      <c r="F386" t="s">
        <v>67</v>
      </c>
      <c r="G386" t="s">
        <v>68</v>
      </c>
      <c r="H386" t="s">
        <v>42</v>
      </c>
      <c r="I386">
        <v>27</v>
      </c>
      <c r="J386" t="s">
        <v>116</v>
      </c>
      <c r="K386" t="str">
        <f>_xlfn.XLOOKUP( ventas[[#This Row],[ciudad_cliente]],  ciudades[Ciudad], ciudades[Region])</f>
        <v>Valparaíso</v>
      </c>
      <c r="L386" t="s">
        <v>22</v>
      </c>
      <c r="M386" t="s">
        <v>69</v>
      </c>
      <c r="N386" t="str">
        <f>_xlfn.XLOOKUP(ventas[[#This Row],[producto]], categ[Producto], categ[Categoria])</f>
        <v>Tecnología</v>
      </c>
      <c r="O386">
        <v>450000</v>
      </c>
      <c r="P386">
        <v>3</v>
      </c>
      <c r="Q386" s="11">
        <v>0</v>
      </c>
      <c r="R386">
        <f>(ventas[[#This Row],[precio_unitario]]*ventas[[#This Row],[cantidad]])</f>
        <v>1350000</v>
      </c>
      <c r="S386">
        <f>ventas[[#This Row],[Total_Productos]]*ventas[[#This Row],[descuento_pct]]</f>
        <v>0</v>
      </c>
      <c r="T386">
        <f>ventas[[#This Row],[Total_Productos]]-ventas[[#This Row],[Valor_descuento]]</f>
        <v>1350000</v>
      </c>
    </row>
    <row r="387" spans="1:20" x14ac:dyDescent="0.3">
      <c r="A387">
        <v>456</v>
      </c>
      <c r="B387" s="1">
        <v>45383</v>
      </c>
      <c r="C387">
        <v>12</v>
      </c>
      <c r="D387">
        <v>0</v>
      </c>
      <c r="E387">
        <v>79</v>
      </c>
      <c r="F387" t="s">
        <v>524</v>
      </c>
      <c r="G387" t="s">
        <v>525</v>
      </c>
      <c r="H387" t="s">
        <v>42</v>
      </c>
      <c r="I387">
        <v>39</v>
      </c>
      <c r="J387" t="s">
        <v>116</v>
      </c>
      <c r="K387" t="str">
        <f>_xlfn.XLOOKUP( ventas[[#This Row],[ciudad_cliente]],  ciudades[Ciudad], ciudades[Region])</f>
        <v>Valparaíso</v>
      </c>
      <c r="L387" t="s">
        <v>22</v>
      </c>
      <c r="M387" t="s">
        <v>98</v>
      </c>
      <c r="N387" t="str">
        <f>_xlfn.XLOOKUP(ventas[[#This Row],[producto]], categ[Producto], categ[Categoria])</f>
        <v>Calzado</v>
      </c>
      <c r="O387">
        <v>55000</v>
      </c>
      <c r="P387">
        <v>3</v>
      </c>
      <c r="Q387" s="11">
        <v>0</v>
      </c>
      <c r="R387">
        <f>(ventas[[#This Row],[precio_unitario]]*ventas[[#This Row],[cantidad]])</f>
        <v>165000</v>
      </c>
      <c r="S387">
        <f>ventas[[#This Row],[Total_Productos]]*ventas[[#This Row],[descuento_pct]]</f>
        <v>0</v>
      </c>
      <c r="T387">
        <f>ventas[[#This Row],[Total_Productos]]-ventas[[#This Row],[Valor_descuento]]</f>
        <v>165000</v>
      </c>
    </row>
    <row r="388" spans="1:20" x14ac:dyDescent="0.3">
      <c r="A388">
        <v>689</v>
      </c>
      <c r="B388" s="1">
        <v>45616</v>
      </c>
      <c r="C388">
        <v>36</v>
      </c>
      <c r="D388">
        <v>4</v>
      </c>
      <c r="E388">
        <v>79</v>
      </c>
      <c r="F388" t="s">
        <v>524</v>
      </c>
      <c r="G388" t="s">
        <v>525</v>
      </c>
      <c r="H388" t="s">
        <v>42</v>
      </c>
      <c r="I388">
        <v>39</v>
      </c>
      <c r="J388" t="s">
        <v>101</v>
      </c>
      <c r="K388" t="str">
        <f>_xlfn.XLOOKUP( ventas[[#This Row],[ciudad_cliente]],  ciudades[Ciudad], ciudades[Region])</f>
        <v>O'Higgins</v>
      </c>
      <c r="L388" t="s">
        <v>29</v>
      </c>
      <c r="M388" t="s">
        <v>30</v>
      </c>
      <c r="N388" t="str">
        <f>_xlfn.XLOOKUP(ventas[[#This Row],[producto]], categ[Producto], categ[Categoria])</f>
        <v>Electrohogar</v>
      </c>
      <c r="O388">
        <v>700000</v>
      </c>
      <c r="P388">
        <v>3</v>
      </c>
      <c r="Q388" s="11">
        <v>0</v>
      </c>
      <c r="R388">
        <f>(ventas[[#This Row],[precio_unitario]]*ventas[[#This Row],[cantidad]])</f>
        <v>2100000</v>
      </c>
      <c r="S388">
        <f>ventas[[#This Row],[Total_Productos]]*ventas[[#This Row],[descuento_pct]]</f>
        <v>0</v>
      </c>
      <c r="T388">
        <f>ventas[[#This Row],[Total_Productos]]-ventas[[#This Row],[Valor_descuento]]</f>
        <v>2100000</v>
      </c>
    </row>
    <row r="389" spans="1:20" x14ac:dyDescent="0.3">
      <c r="A389">
        <v>773</v>
      </c>
      <c r="B389" s="1">
        <v>45700</v>
      </c>
      <c r="C389">
        <v>14</v>
      </c>
      <c r="D389">
        <v>0</v>
      </c>
      <c r="E389">
        <v>79</v>
      </c>
      <c r="F389" t="s">
        <v>524</v>
      </c>
      <c r="G389" t="s">
        <v>525</v>
      </c>
      <c r="H389" t="s">
        <v>42</v>
      </c>
      <c r="I389">
        <v>39</v>
      </c>
      <c r="J389" t="s">
        <v>34</v>
      </c>
      <c r="K389" t="str">
        <f>_xlfn.XLOOKUP( ventas[[#This Row],[ciudad_cliente]],  ciudades[Ciudad], ciudades[Region])</f>
        <v>Metropolitana</v>
      </c>
      <c r="L389" t="s">
        <v>38</v>
      </c>
      <c r="M389" t="s">
        <v>23</v>
      </c>
      <c r="N389" t="str">
        <f>_xlfn.XLOOKUP(ventas[[#This Row],[producto]], categ[Producto], categ[Categoria])</f>
        <v>Belleza</v>
      </c>
      <c r="O389">
        <v>15000</v>
      </c>
      <c r="P389">
        <v>1</v>
      </c>
      <c r="Q389" s="11">
        <v>0.1</v>
      </c>
      <c r="R389">
        <f>(ventas[[#This Row],[precio_unitario]]*ventas[[#This Row],[cantidad]])</f>
        <v>15000</v>
      </c>
      <c r="S389">
        <f>ventas[[#This Row],[Total_Productos]]*ventas[[#This Row],[descuento_pct]]</f>
        <v>1500</v>
      </c>
      <c r="T389">
        <f>ventas[[#This Row],[Total_Productos]]-ventas[[#This Row],[Valor_descuento]]</f>
        <v>13500</v>
      </c>
    </row>
    <row r="390" spans="1:20" x14ac:dyDescent="0.3">
      <c r="A390">
        <v>941</v>
      </c>
      <c r="B390" s="1">
        <v>45868</v>
      </c>
      <c r="C390">
        <v>41</v>
      </c>
      <c r="D390">
        <v>4</v>
      </c>
      <c r="E390">
        <v>79</v>
      </c>
      <c r="F390" t="s">
        <v>524</v>
      </c>
      <c r="G390" t="s">
        <v>525</v>
      </c>
      <c r="H390" t="s">
        <v>42</v>
      </c>
      <c r="I390">
        <v>39</v>
      </c>
      <c r="J390" t="s">
        <v>43</v>
      </c>
      <c r="K390" t="str">
        <f>_xlfn.XLOOKUP( ventas[[#This Row],[ciudad_cliente]],  ciudades[Ciudad], ciudades[Region])</f>
        <v>Antofagasta</v>
      </c>
      <c r="L390" t="s">
        <v>29</v>
      </c>
      <c r="M390" t="s">
        <v>69</v>
      </c>
      <c r="N390" t="str">
        <f>_xlfn.XLOOKUP(ventas[[#This Row],[producto]], categ[Producto], categ[Categoria])</f>
        <v>Tecnología</v>
      </c>
      <c r="O390">
        <v>450000</v>
      </c>
      <c r="P390">
        <v>1</v>
      </c>
      <c r="Q390" s="11">
        <v>0.05</v>
      </c>
      <c r="R390">
        <f>(ventas[[#This Row],[precio_unitario]]*ventas[[#This Row],[cantidad]])</f>
        <v>450000</v>
      </c>
      <c r="S390">
        <f>ventas[[#This Row],[Total_Productos]]*ventas[[#This Row],[descuento_pct]]</f>
        <v>22500</v>
      </c>
      <c r="T390">
        <f>ventas[[#This Row],[Total_Productos]]-ventas[[#This Row],[Valor_descuento]]</f>
        <v>427500</v>
      </c>
    </row>
    <row r="391" spans="1:20" x14ac:dyDescent="0.3">
      <c r="A391">
        <v>999</v>
      </c>
      <c r="B391" s="1">
        <v>45926</v>
      </c>
      <c r="C391">
        <v>33</v>
      </c>
      <c r="D391">
        <v>13</v>
      </c>
      <c r="E391">
        <v>79</v>
      </c>
      <c r="F391" t="s">
        <v>524</v>
      </c>
      <c r="G391" t="s">
        <v>525</v>
      </c>
      <c r="H391" t="s">
        <v>42</v>
      </c>
      <c r="I391">
        <v>39</v>
      </c>
      <c r="J391" t="s">
        <v>101</v>
      </c>
      <c r="K391" t="str">
        <f>_xlfn.XLOOKUP( ventas[[#This Row],[ciudad_cliente]],  ciudades[Ciudad], ciudades[Region])</f>
        <v>O'Higgins</v>
      </c>
      <c r="L391" t="s">
        <v>38</v>
      </c>
      <c r="M391" t="s">
        <v>69</v>
      </c>
      <c r="N391" t="str">
        <f>_xlfn.XLOOKUP(ventas[[#This Row],[producto]], categ[Producto], categ[Categoria])</f>
        <v>Tecnología</v>
      </c>
      <c r="O391">
        <v>450000</v>
      </c>
      <c r="P391">
        <v>2</v>
      </c>
      <c r="Q391" s="11">
        <v>0.05</v>
      </c>
      <c r="R391">
        <f>(ventas[[#This Row],[precio_unitario]]*ventas[[#This Row],[cantidad]])</f>
        <v>900000</v>
      </c>
      <c r="S391">
        <f>ventas[[#This Row],[Total_Productos]]*ventas[[#This Row],[descuento_pct]]</f>
        <v>45000</v>
      </c>
      <c r="T391">
        <f>ventas[[#This Row],[Total_Productos]]-ventas[[#This Row],[Valor_descuento]]</f>
        <v>855000</v>
      </c>
    </row>
    <row r="392" spans="1:20" x14ac:dyDescent="0.3">
      <c r="A392">
        <v>271</v>
      </c>
      <c r="B392" s="1">
        <v>45198</v>
      </c>
      <c r="C392">
        <v>30</v>
      </c>
      <c r="D392">
        <v>0</v>
      </c>
      <c r="E392">
        <v>74</v>
      </c>
      <c r="F392" t="s">
        <v>416</v>
      </c>
      <c r="G392" t="s">
        <v>417</v>
      </c>
      <c r="H392" t="s">
        <v>19</v>
      </c>
      <c r="I392">
        <v>56</v>
      </c>
      <c r="J392" t="s">
        <v>37</v>
      </c>
      <c r="K392" t="str">
        <f>_xlfn.XLOOKUP( ventas[[#This Row],[ciudad_cliente]],  ciudades[Ciudad], ciudades[Region])</f>
        <v>Valparaíso</v>
      </c>
      <c r="L392" t="s">
        <v>29</v>
      </c>
      <c r="M392" t="s">
        <v>49</v>
      </c>
      <c r="N392" t="str">
        <f>_xlfn.XLOOKUP(ventas[[#This Row],[producto]], categ[Producto], categ[Categoria])</f>
        <v>Electrohogar</v>
      </c>
      <c r="O392">
        <v>800000</v>
      </c>
      <c r="P392">
        <v>2</v>
      </c>
      <c r="Q392" s="11">
        <v>0</v>
      </c>
      <c r="R392">
        <f>(ventas[[#This Row],[precio_unitario]]*ventas[[#This Row],[cantidad]])</f>
        <v>1600000</v>
      </c>
      <c r="S392">
        <f>ventas[[#This Row],[Total_Productos]]*ventas[[#This Row],[descuento_pct]]</f>
        <v>0</v>
      </c>
      <c r="T392">
        <f>ventas[[#This Row],[Total_Productos]]-ventas[[#This Row],[Valor_descuento]]</f>
        <v>1600000</v>
      </c>
    </row>
    <row r="393" spans="1:20" x14ac:dyDescent="0.3">
      <c r="A393">
        <v>522</v>
      </c>
      <c r="B393" s="1">
        <v>45449</v>
      </c>
      <c r="C393">
        <v>16</v>
      </c>
      <c r="D393">
        <v>3</v>
      </c>
      <c r="E393">
        <v>74</v>
      </c>
      <c r="F393" t="s">
        <v>416</v>
      </c>
      <c r="G393" t="s">
        <v>417</v>
      </c>
      <c r="H393" t="s">
        <v>19</v>
      </c>
      <c r="I393">
        <v>56</v>
      </c>
      <c r="J393" t="s">
        <v>20</v>
      </c>
      <c r="K393" t="str">
        <f>_xlfn.XLOOKUP( ventas[[#This Row],[ciudad_cliente]],  ciudades[Ciudad], ciudades[Region])</f>
        <v>La Araucanía</v>
      </c>
      <c r="L393" t="s">
        <v>29</v>
      </c>
      <c r="M393" t="s">
        <v>98</v>
      </c>
      <c r="N393" t="str">
        <f>_xlfn.XLOOKUP(ventas[[#This Row],[producto]], categ[Producto], categ[Categoria])</f>
        <v>Calzado</v>
      </c>
      <c r="O393">
        <v>55000</v>
      </c>
      <c r="P393">
        <v>2</v>
      </c>
      <c r="Q393" s="11">
        <v>0.05</v>
      </c>
      <c r="R393">
        <f>(ventas[[#This Row],[precio_unitario]]*ventas[[#This Row],[cantidad]])</f>
        <v>110000</v>
      </c>
      <c r="S393">
        <f>ventas[[#This Row],[Total_Productos]]*ventas[[#This Row],[descuento_pct]]</f>
        <v>5500</v>
      </c>
      <c r="T393">
        <f>ventas[[#This Row],[Total_Productos]]-ventas[[#This Row],[Valor_descuento]]</f>
        <v>104500</v>
      </c>
    </row>
    <row r="394" spans="1:20" x14ac:dyDescent="0.3">
      <c r="A394">
        <v>695</v>
      </c>
      <c r="B394" s="1">
        <v>45622</v>
      </c>
      <c r="C394">
        <v>26</v>
      </c>
      <c r="D394">
        <v>6</v>
      </c>
      <c r="E394">
        <v>74</v>
      </c>
      <c r="F394" t="s">
        <v>416</v>
      </c>
      <c r="G394" t="s">
        <v>417</v>
      </c>
      <c r="H394" t="s">
        <v>19</v>
      </c>
      <c r="I394">
        <v>56</v>
      </c>
      <c r="J394" t="s">
        <v>101</v>
      </c>
      <c r="K394" t="str">
        <f>_xlfn.XLOOKUP( ventas[[#This Row],[ciudad_cliente]],  ciudades[Ciudad], ciudades[Region])</f>
        <v>O'Higgins</v>
      </c>
      <c r="L394" t="s">
        <v>29</v>
      </c>
      <c r="M394" t="s">
        <v>102</v>
      </c>
      <c r="N394" t="str">
        <f>_xlfn.XLOOKUP(ventas[[#This Row],[producto]], categ[Producto], categ[Categoria])</f>
        <v>Vestuario</v>
      </c>
      <c r="O394">
        <v>12000</v>
      </c>
      <c r="P394">
        <v>1</v>
      </c>
      <c r="Q394" s="11">
        <v>0.05</v>
      </c>
      <c r="R394">
        <f>(ventas[[#This Row],[precio_unitario]]*ventas[[#This Row],[cantidad]])</f>
        <v>12000</v>
      </c>
      <c r="S394">
        <f>ventas[[#This Row],[Total_Productos]]*ventas[[#This Row],[descuento_pct]]</f>
        <v>600</v>
      </c>
      <c r="T394">
        <f>ventas[[#This Row],[Total_Productos]]-ventas[[#This Row],[Valor_descuento]]</f>
        <v>11400</v>
      </c>
    </row>
    <row r="395" spans="1:20" x14ac:dyDescent="0.3">
      <c r="A395">
        <v>735</v>
      </c>
      <c r="B395" s="1">
        <v>45662</v>
      </c>
      <c r="C395">
        <v>56</v>
      </c>
      <c r="D395">
        <v>2</v>
      </c>
      <c r="E395">
        <v>74</v>
      </c>
      <c r="F395" t="s">
        <v>416</v>
      </c>
      <c r="G395" t="s">
        <v>417</v>
      </c>
      <c r="H395" t="s">
        <v>19</v>
      </c>
      <c r="I395">
        <v>56</v>
      </c>
      <c r="J395" t="s">
        <v>27</v>
      </c>
      <c r="K395" t="str">
        <f>_xlfn.XLOOKUP( ventas[[#This Row],[ciudad_cliente]],  ciudades[Ciudad], ciudades[Region])</f>
        <v>Biobío</v>
      </c>
      <c r="L395" t="s">
        <v>22</v>
      </c>
      <c r="M395" t="s">
        <v>69</v>
      </c>
      <c r="N395" t="str">
        <f>_xlfn.XLOOKUP(ventas[[#This Row],[producto]], categ[Producto], categ[Categoria])</f>
        <v>Tecnología</v>
      </c>
      <c r="O395">
        <v>450000</v>
      </c>
      <c r="P395">
        <v>1</v>
      </c>
      <c r="Q395" s="11">
        <v>0.1</v>
      </c>
      <c r="R395">
        <f>(ventas[[#This Row],[precio_unitario]]*ventas[[#This Row],[cantidad]])</f>
        <v>450000</v>
      </c>
      <c r="S395">
        <f>ventas[[#This Row],[Total_Productos]]*ventas[[#This Row],[descuento_pct]]</f>
        <v>45000</v>
      </c>
      <c r="T395">
        <f>ventas[[#This Row],[Total_Productos]]-ventas[[#This Row],[Valor_descuento]]</f>
        <v>405000</v>
      </c>
    </row>
    <row r="396" spans="1:20" x14ac:dyDescent="0.3">
      <c r="A396">
        <v>915</v>
      </c>
      <c r="B396" s="1">
        <v>45842</v>
      </c>
      <c r="C396">
        <v>2</v>
      </c>
      <c r="D396">
        <v>2</v>
      </c>
      <c r="E396">
        <v>74</v>
      </c>
      <c r="F396" t="s">
        <v>416</v>
      </c>
      <c r="G396" t="s">
        <v>417</v>
      </c>
      <c r="H396" t="s">
        <v>19</v>
      </c>
      <c r="I396">
        <v>56</v>
      </c>
      <c r="J396" t="s">
        <v>101</v>
      </c>
      <c r="K396" t="str">
        <f>_xlfn.XLOOKUP( ventas[[#This Row],[ciudad_cliente]],  ciudades[Ciudad], ciudades[Region])</f>
        <v>O'Higgins</v>
      </c>
      <c r="L396" t="s">
        <v>38</v>
      </c>
      <c r="M396" t="s">
        <v>46</v>
      </c>
      <c r="N396" t="str">
        <f>_xlfn.XLOOKUP(ventas[[#This Row],[producto]], categ[Producto], categ[Categoria])</f>
        <v>Tecnología</v>
      </c>
      <c r="O396">
        <v>750000</v>
      </c>
      <c r="P396">
        <v>1</v>
      </c>
      <c r="Q396" s="11">
        <v>0</v>
      </c>
      <c r="R396">
        <f>(ventas[[#This Row],[precio_unitario]]*ventas[[#This Row],[cantidad]])</f>
        <v>750000</v>
      </c>
      <c r="S396">
        <f>ventas[[#This Row],[Total_Productos]]*ventas[[#This Row],[descuento_pct]]</f>
        <v>0</v>
      </c>
      <c r="T396">
        <f>ventas[[#This Row],[Total_Productos]]-ventas[[#This Row],[Valor_descuento]]</f>
        <v>750000</v>
      </c>
    </row>
    <row r="397" spans="1:20" x14ac:dyDescent="0.3">
      <c r="A397">
        <v>230</v>
      </c>
      <c r="B397" s="1">
        <v>45157</v>
      </c>
      <c r="C397">
        <v>6</v>
      </c>
      <c r="D397">
        <v>2</v>
      </c>
      <c r="E397">
        <v>155</v>
      </c>
      <c r="F397" t="s">
        <v>380</v>
      </c>
      <c r="G397" t="s">
        <v>381</v>
      </c>
      <c r="H397" t="s">
        <v>42</v>
      </c>
      <c r="I397">
        <v>41</v>
      </c>
      <c r="J397" t="s">
        <v>52</v>
      </c>
      <c r="K397" t="str">
        <f>_xlfn.XLOOKUP( ventas[[#This Row],[ciudad_cliente]],  ciudades[Ciudad], ciudades[Region])</f>
        <v>Biobío</v>
      </c>
      <c r="L397" t="s">
        <v>22</v>
      </c>
      <c r="M397" t="s">
        <v>62</v>
      </c>
      <c r="N397" t="str">
        <f>_xlfn.XLOOKUP(ventas[[#This Row],[producto]], categ[Producto], categ[Categoria])</f>
        <v>Electrohogar</v>
      </c>
      <c r="O397">
        <v>650000</v>
      </c>
      <c r="P397">
        <v>1</v>
      </c>
      <c r="Q397" s="11">
        <v>0</v>
      </c>
      <c r="R397">
        <f>(ventas[[#This Row],[precio_unitario]]*ventas[[#This Row],[cantidad]])</f>
        <v>650000</v>
      </c>
      <c r="S397">
        <f>ventas[[#This Row],[Total_Productos]]*ventas[[#This Row],[descuento_pct]]</f>
        <v>0</v>
      </c>
      <c r="T397">
        <f>ventas[[#This Row],[Total_Productos]]-ventas[[#This Row],[Valor_descuento]]</f>
        <v>650000</v>
      </c>
    </row>
    <row r="398" spans="1:20" x14ac:dyDescent="0.3">
      <c r="A398">
        <v>657</v>
      </c>
      <c r="B398" s="1">
        <v>45584</v>
      </c>
      <c r="C398">
        <v>50</v>
      </c>
      <c r="D398">
        <v>0</v>
      </c>
      <c r="E398">
        <v>155</v>
      </c>
      <c r="F398" t="s">
        <v>380</v>
      </c>
      <c r="G398" t="s">
        <v>381</v>
      </c>
      <c r="H398" t="s">
        <v>42</v>
      </c>
      <c r="I398">
        <v>41</v>
      </c>
      <c r="J398" t="s">
        <v>20</v>
      </c>
      <c r="K398" t="str">
        <f>_xlfn.XLOOKUP( ventas[[#This Row],[ciudad_cliente]],  ciudades[Ciudad], ciudades[Region])</f>
        <v>La Araucanía</v>
      </c>
      <c r="L398" t="s">
        <v>22</v>
      </c>
      <c r="M398" t="s">
        <v>62</v>
      </c>
      <c r="N398" t="str">
        <f>_xlfn.XLOOKUP(ventas[[#This Row],[producto]], categ[Producto], categ[Categoria])</f>
        <v>Electrohogar</v>
      </c>
      <c r="O398">
        <v>650000</v>
      </c>
      <c r="P398">
        <v>2</v>
      </c>
      <c r="Q398" s="11">
        <v>0.05</v>
      </c>
      <c r="R398">
        <f>(ventas[[#This Row],[precio_unitario]]*ventas[[#This Row],[cantidad]])</f>
        <v>1300000</v>
      </c>
      <c r="S398">
        <f>ventas[[#This Row],[Total_Productos]]*ventas[[#This Row],[descuento_pct]]</f>
        <v>65000</v>
      </c>
      <c r="T398">
        <f>ventas[[#This Row],[Total_Productos]]-ventas[[#This Row],[Valor_descuento]]</f>
        <v>1235000</v>
      </c>
    </row>
    <row r="399" spans="1:20" x14ac:dyDescent="0.3">
      <c r="A399">
        <v>761</v>
      </c>
      <c r="B399" s="1">
        <v>45688</v>
      </c>
      <c r="C399">
        <v>16</v>
      </c>
      <c r="D399">
        <v>3</v>
      </c>
      <c r="E399">
        <v>155</v>
      </c>
      <c r="F399" t="s">
        <v>380</v>
      </c>
      <c r="G399" t="s">
        <v>381</v>
      </c>
      <c r="H399" t="s">
        <v>42</v>
      </c>
      <c r="I399">
        <v>41</v>
      </c>
      <c r="J399" t="s">
        <v>20</v>
      </c>
      <c r="K399" t="str">
        <f>_xlfn.XLOOKUP( ventas[[#This Row],[ciudad_cliente]],  ciudades[Ciudad], ciudades[Region])</f>
        <v>La Araucanía</v>
      </c>
      <c r="L399" t="s">
        <v>38</v>
      </c>
      <c r="M399" t="s">
        <v>23</v>
      </c>
      <c r="N399" t="str">
        <f>_xlfn.XLOOKUP(ventas[[#This Row],[producto]], categ[Producto], categ[Categoria])</f>
        <v>Belleza</v>
      </c>
      <c r="O399">
        <v>15000</v>
      </c>
      <c r="P399">
        <v>3</v>
      </c>
      <c r="Q399" s="11">
        <v>0</v>
      </c>
      <c r="R399">
        <f>(ventas[[#This Row],[precio_unitario]]*ventas[[#This Row],[cantidad]])</f>
        <v>45000</v>
      </c>
      <c r="S399">
        <f>ventas[[#This Row],[Total_Productos]]*ventas[[#This Row],[descuento_pct]]</f>
        <v>0</v>
      </c>
      <c r="T399">
        <f>ventas[[#This Row],[Total_Productos]]-ventas[[#This Row],[Valor_descuento]]</f>
        <v>45000</v>
      </c>
    </row>
    <row r="400" spans="1:20" x14ac:dyDescent="0.3">
      <c r="A400">
        <v>867</v>
      </c>
      <c r="B400" s="1">
        <v>45794</v>
      </c>
      <c r="C400">
        <v>15</v>
      </c>
      <c r="D400">
        <v>0</v>
      </c>
      <c r="E400">
        <v>155</v>
      </c>
      <c r="F400" t="s">
        <v>380</v>
      </c>
      <c r="G400" t="s">
        <v>381</v>
      </c>
      <c r="H400" t="s">
        <v>42</v>
      </c>
      <c r="I400">
        <v>41</v>
      </c>
      <c r="J400" t="s">
        <v>34</v>
      </c>
      <c r="K400" t="str">
        <f>_xlfn.XLOOKUP( ventas[[#This Row],[ciudad_cliente]],  ciudades[Ciudad], ciudades[Region])</f>
        <v>Metropolitana</v>
      </c>
      <c r="L400" t="s">
        <v>38</v>
      </c>
      <c r="M400" t="s">
        <v>39</v>
      </c>
      <c r="N400" t="str">
        <f>_xlfn.XLOOKUP(ventas[[#This Row],[producto]], categ[Producto], categ[Categoria])</f>
        <v>Belleza</v>
      </c>
      <c r="O400">
        <v>35000</v>
      </c>
      <c r="P400">
        <v>2</v>
      </c>
      <c r="Q400" s="11">
        <v>0</v>
      </c>
      <c r="R400">
        <f>(ventas[[#This Row],[precio_unitario]]*ventas[[#This Row],[cantidad]])</f>
        <v>70000</v>
      </c>
      <c r="S400">
        <f>ventas[[#This Row],[Total_Productos]]*ventas[[#This Row],[descuento_pct]]</f>
        <v>0</v>
      </c>
      <c r="T400">
        <f>ventas[[#This Row],[Total_Productos]]-ventas[[#This Row],[Valor_descuento]]</f>
        <v>70000</v>
      </c>
    </row>
    <row r="401" spans="1:20" x14ac:dyDescent="0.3">
      <c r="A401">
        <v>874</v>
      </c>
      <c r="B401" s="1">
        <v>45801</v>
      </c>
      <c r="C401">
        <v>41</v>
      </c>
      <c r="D401">
        <v>4</v>
      </c>
      <c r="E401">
        <v>155</v>
      </c>
      <c r="F401" t="s">
        <v>380</v>
      </c>
      <c r="G401" t="s">
        <v>381</v>
      </c>
      <c r="H401" t="s">
        <v>42</v>
      </c>
      <c r="I401">
        <v>41</v>
      </c>
      <c r="J401" t="s">
        <v>43</v>
      </c>
      <c r="K401" t="str">
        <f>_xlfn.XLOOKUP( ventas[[#This Row],[ciudad_cliente]],  ciudades[Ciudad], ciudades[Region])</f>
        <v>Antofagasta</v>
      </c>
      <c r="L401" t="s">
        <v>38</v>
      </c>
      <c r="M401" t="s">
        <v>102</v>
      </c>
      <c r="N401" t="str">
        <f>_xlfn.XLOOKUP(ventas[[#This Row],[producto]], categ[Producto], categ[Categoria])</f>
        <v>Vestuario</v>
      </c>
      <c r="O401">
        <v>12000</v>
      </c>
      <c r="P401">
        <v>1</v>
      </c>
      <c r="Q401" s="11">
        <v>0.05</v>
      </c>
      <c r="R401">
        <f>(ventas[[#This Row],[precio_unitario]]*ventas[[#This Row],[cantidad]])</f>
        <v>12000</v>
      </c>
      <c r="S401">
        <f>ventas[[#This Row],[Total_Productos]]*ventas[[#This Row],[descuento_pct]]</f>
        <v>600</v>
      </c>
      <c r="T401">
        <f>ventas[[#This Row],[Total_Productos]]-ventas[[#This Row],[Valor_descuento]]</f>
        <v>11400</v>
      </c>
    </row>
    <row r="402" spans="1:20" x14ac:dyDescent="0.3">
      <c r="A402">
        <v>897</v>
      </c>
      <c r="B402" s="1">
        <v>45824</v>
      </c>
      <c r="C402">
        <v>33</v>
      </c>
      <c r="D402">
        <v>13</v>
      </c>
      <c r="E402">
        <v>155</v>
      </c>
      <c r="F402" t="s">
        <v>380</v>
      </c>
      <c r="G402" t="s">
        <v>381</v>
      </c>
      <c r="H402" t="s">
        <v>42</v>
      </c>
      <c r="I402">
        <v>41</v>
      </c>
      <c r="J402" t="s">
        <v>101</v>
      </c>
      <c r="K402" t="str">
        <f>_xlfn.XLOOKUP( ventas[[#This Row],[ciudad_cliente]],  ciudades[Ciudad], ciudades[Region])</f>
        <v>O'Higgins</v>
      </c>
      <c r="L402" t="s">
        <v>38</v>
      </c>
      <c r="M402" t="s">
        <v>46</v>
      </c>
      <c r="N402" t="str">
        <f>_xlfn.XLOOKUP(ventas[[#This Row],[producto]], categ[Producto], categ[Categoria])</f>
        <v>Tecnología</v>
      </c>
      <c r="O402">
        <v>750000</v>
      </c>
      <c r="P402">
        <v>3</v>
      </c>
      <c r="Q402" s="11">
        <v>0.05</v>
      </c>
      <c r="R402">
        <f>(ventas[[#This Row],[precio_unitario]]*ventas[[#This Row],[cantidad]])</f>
        <v>2250000</v>
      </c>
      <c r="S402">
        <f>ventas[[#This Row],[Total_Productos]]*ventas[[#This Row],[descuento_pct]]</f>
        <v>112500</v>
      </c>
      <c r="T402">
        <f>ventas[[#This Row],[Total_Productos]]-ventas[[#This Row],[Valor_descuento]]</f>
        <v>2137500</v>
      </c>
    </row>
    <row r="403" spans="1:20" x14ac:dyDescent="0.3">
      <c r="A403">
        <v>933</v>
      </c>
      <c r="B403" s="1">
        <v>45860</v>
      </c>
      <c r="C403">
        <v>8</v>
      </c>
      <c r="D403">
        <v>1</v>
      </c>
      <c r="E403">
        <v>155</v>
      </c>
      <c r="F403" t="s">
        <v>380</v>
      </c>
      <c r="G403" t="s">
        <v>381</v>
      </c>
      <c r="H403" t="s">
        <v>42</v>
      </c>
      <c r="I403">
        <v>41</v>
      </c>
      <c r="J403" t="s">
        <v>76</v>
      </c>
      <c r="K403" t="str">
        <f>_xlfn.XLOOKUP( ventas[[#This Row],[ciudad_cliente]],  ciudades[Ciudad], ciudades[Region])</f>
        <v>Los Lagos</v>
      </c>
      <c r="L403" t="s">
        <v>22</v>
      </c>
      <c r="M403" t="s">
        <v>62</v>
      </c>
      <c r="N403" t="str">
        <f>_xlfn.XLOOKUP(ventas[[#This Row],[producto]], categ[Producto], categ[Categoria])</f>
        <v>Electrohogar</v>
      </c>
      <c r="O403">
        <v>650000</v>
      </c>
      <c r="P403">
        <v>3</v>
      </c>
      <c r="Q403" s="11">
        <v>0</v>
      </c>
      <c r="R403">
        <f>(ventas[[#This Row],[precio_unitario]]*ventas[[#This Row],[cantidad]])</f>
        <v>1950000</v>
      </c>
      <c r="S403">
        <f>ventas[[#This Row],[Total_Productos]]*ventas[[#This Row],[descuento_pct]]</f>
        <v>0</v>
      </c>
      <c r="T403">
        <f>ventas[[#This Row],[Total_Productos]]-ventas[[#This Row],[Valor_descuento]]</f>
        <v>1950000</v>
      </c>
    </row>
    <row r="404" spans="1:20" x14ac:dyDescent="0.3">
      <c r="A404">
        <v>261</v>
      </c>
      <c r="B404" s="1">
        <v>45188</v>
      </c>
      <c r="C404">
        <v>3</v>
      </c>
      <c r="D404">
        <v>1</v>
      </c>
      <c r="E404">
        <v>108</v>
      </c>
      <c r="F404" t="s">
        <v>410</v>
      </c>
      <c r="G404" t="s">
        <v>411</v>
      </c>
      <c r="H404" t="s">
        <v>19</v>
      </c>
      <c r="I404">
        <v>40</v>
      </c>
      <c r="J404" t="s">
        <v>37</v>
      </c>
      <c r="K404" t="str">
        <f>_xlfn.XLOOKUP( ventas[[#This Row],[ciudad_cliente]],  ciudades[Ciudad], ciudades[Region])</f>
        <v>Valparaíso</v>
      </c>
      <c r="L404" t="s">
        <v>22</v>
      </c>
      <c r="M404" t="s">
        <v>102</v>
      </c>
      <c r="N404" t="str">
        <f>_xlfn.XLOOKUP(ventas[[#This Row],[producto]], categ[Producto], categ[Categoria])</f>
        <v>Vestuario</v>
      </c>
      <c r="O404">
        <v>12000</v>
      </c>
      <c r="P404">
        <v>3</v>
      </c>
      <c r="Q404" s="11">
        <v>0.05</v>
      </c>
      <c r="R404">
        <f>(ventas[[#This Row],[precio_unitario]]*ventas[[#This Row],[cantidad]])</f>
        <v>36000</v>
      </c>
      <c r="S404">
        <f>ventas[[#This Row],[Total_Productos]]*ventas[[#This Row],[descuento_pct]]</f>
        <v>1800</v>
      </c>
      <c r="T404">
        <f>ventas[[#This Row],[Total_Productos]]-ventas[[#This Row],[Valor_descuento]]</f>
        <v>34200</v>
      </c>
    </row>
    <row r="405" spans="1:20" x14ac:dyDescent="0.3">
      <c r="A405">
        <v>661</v>
      </c>
      <c r="B405" s="1">
        <v>45588</v>
      </c>
      <c r="C405">
        <v>67</v>
      </c>
      <c r="D405">
        <v>0</v>
      </c>
      <c r="E405">
        <v>108</v>
      </c>
      <c r="F405" t="s">
        <v>410</v>
      </c>
      <c r="G405" t="s">
        <v>411</v>
      </c>
      <c r="H405" t="s">
        <v>19</v>
      </c>
      <c r="I405">
        <v>40</v>
      </c>
      <c r="J405" t="s">
        <v>27</v>
      </c>
      <c r="K405" t="str">
        <f>_xlfn.XLOOKUP( ventas[[#This Row],[ciudad_cliente]],  ciudades[Ciudad], ciudades[Region])</f>
        <v>Biobío</v>
      </c>
      <c r="L405" t="s">
        <v>22</v>
      </c>
      <c r="M405" t="s">
        <v>98</v>
      </c>
      <c r="N405" t="str">
        <f>_xlfn.XLOOKUP(ventas[[#This Row],[producto]], categ[Producto], categ[Categoria])</f>
        <v>Calzado</v>
      </c>
      <c r="O405">
        <v>55000</v>
      </c>
      <c r="P405">
        <v>2</v>
      </c>
      <c r="Q405" s="11">
        <v>0</v>
      </c>
      <c r="R405">
        <f>(ventas[[#This Row],[precio_unitario]]*ventas[[#This Row],[cantidad]])</f>
        <v>110000</v>
      </c>
      <c r="S405">
        <f>ventas[[#This Row],[Total_Productos]]*ventas[[#This Row],[descuento_pct]]</f>
        <v>0</v>
      </c>
      <c r="T405">
        <f>ventas[[#This Row],[Total_Productos]]-ventas[[#This Row],[Valor_descuento]]</f>
        <v>110000</v>
      </c>
    </row>
    <row r="406" spans="1:20" x14ac:dyDescent="0.3">
      <c r="A406">
        <v>835</v>
      </c>
      <c r="B406" s="1">
        <v>45762</v>
      </c>
      <c r="C406">
        <v>54</v>
      </c>
      <c r="D406">
        <v>9</v>
      </c>
      <c r="E406">
        <v>108</v>
      </c>
      <c r="F406" t="s">
        <v>410</v>
      </c>
      <c r="G406" t="s">
        <v>411</v>
      </c>
      <c r="H406" t="s">
        <v>19</v>
      </c>
      <c r="I406">
        <v>40</v>
      </c>
      <c r="J406" t="s">
        <v>27</v>
      </c>
      <c r="K406" t="str">
        <f>_xlfn.XLOOKUP( ventas[[#This Row],[ciudad_cliente]],  ciudades[Ciudad], ciudades[Region])</f>
        <v>Biobío</v>
      </c>
      <c r="L406" t="s">
        <v>38</v>
      </c>
      <c r="M406" t="s">
        <v>23</v>
      </c>
      <c r="N406" t="str">
        <f>_xlfn.XLOOKUP(ventas[[#This Row],[producto]], categ[Producto], categ[Categoria])</f>
        <v>Belleza</v>
      </c>
      <c r="O406">
        <v>15000</v>
      </c>
      <c r="P406">
        <v>1</v>
      </c>
      <c r="Q406" s="11">
        <v>0.1</v>
      </c>
      <c r="R406">
        <f>(ventas[[#This Row],[precio_unitario]]*ventas[[#This Row],[cantidad]])</f>
        <v>15000</v>
      </c>
      <c r="S406">
        <f>ventas[[#This Row],[Total_Productos]]*ventas[[#This Row],[descuento_pct]]</f>
        <v>1500</v>
      </c>
      <c r="T406">
        <f>ventas[[#This Row],[Total_Productos]]-ventas[[#This Row],[Valor_descuento]]</f>
        <v>13500</v>
      </c>
    </row>
    <row r="407" spans="1:20" x14ac:dyDescent="0.3">
      <c r="A407">
        <v>839</v>
      </c>
      <c r="B407" s="1">
        <v>45766</v>
      </c>
      <c r="C407">
        <v>40</v>
      </c>
      <c r="D407">
        <v>1</v>
      </c>
      <c r="E407">
        <v>108</v>
      </c>
      <c r="F407" t="s">
        <v>410</v>
      </c>
      <c r="G407" t="s">
        <v>411</v>
      </c>
      <c r="H407" t="s">
        <v>19</v>
      </c>
      <c r="I407">
        <v>40</v>
      </c>
      <c r="J407" t="s">
        <v>27</v>
      </c>
      <c r="K407" t="str">
        <f>_xlfn.XLOOKUP( ventas[[#This Row],[ciudad_cliente]],  ciudades[Ciudad], ciudades[Region])</f>
        <v>Biobío</v>
      </c>
      <c r="L407" t="s">
        <v>38</v>
      </c>
      <c r="M407" t="s">
        <v>30</v>
      </c>
      <c r="N407" t="str">
        <f>_xlfn.XLOOKUP(ventas[[#This Row],[producto]], categ[Producto], categ[Categoria])</f>
        <v>Electrohogar</v>
      </c>
      <c r="O407">
        <v>700000</v>
      </c>
      <c r="P407">
        <v>3</v>
      </c>
      <c r="Q407" s="11">
        <v>0</v>
      </c>
      <c r="R407">
        <f>(ventas[[#This Row],[precio_unitario]]*ventas[[#This Row],[cantidad]])</f>
        <v>2100000</v>
      </c>
      <c r="S407">
        <f>ventas[[#This Row],[Total_Productos]]*ventas[[#This Row],[descuento_pct]]</f>
        <v>0</v>
      </c>
      <c r="T407">
        <f>ventas[[#This Row],[Total_Productos]]-ventas[[#This Row],[Valor_descuento]]</f>
        <v>2100000</v>
      </c>
    </row>
    <row r="408" spans="1:20" x14ac:dyDescent="0.3">
      <c r="A408">
        <v>855</v>
      </c>
      <c r="B408" s="1">
        <v>45782</v>
      </c>
      <c r="C408">
        <v>33</v>
      </c>
      <c r="D408">
        <v>13</v>
      </c>
      <c r="E408">
        <v>108</v>
      </c>
      <c r="F408" t="s">
        <v>410</v>
      </c>
      <c r="G408" t="s">
        <v>411</v>
      </c>
      <c r="H408" t="s">
        <v>19</v>
      </c>
      <c r="I408">
        <v>40</v>
      </c>
      <c r="J408" t="s">
        <v>101</v>
      </c>
      <c r="K408" t="str">
        <f>_xlfn.XLOOKUP( ventas[[#This Row],[ciudad_cliente]],  ciudades[Ciudad], ciudades[Region])</f>
        <v>O'Higgins</v>
      </c>
      <c r="L408" t="s">
        <v>22</v>
      </c>
      <c r="M408" t="s">
        <v>102</v>
      </c>
      <c r="N408" t="str">
        <f>_xlfn.XLOOKUP(ventas[[#This Row],[producto]], categ[Producto], categ[Categoria])</f>
        <v>Vestuario</v>
      </c>
      <c r="O408">
        <v>12000</v>
      </c>
      <c r="P408">
        <v>3</v>
      </c>
      <c r="Q408" s="11">
        <v>0.05</v>
      </c>
      <c r="R408">
        <f>(ventas[[#This Row],[precio_unitario]]*ventas[[#This Row],[cantidad]])</f>
        <v>36000</v>
      </c>
      <c r="S408">
        <f>ventas[[#This Row],[Total_Productos]]*ventas[[#This Row],[descuento_pct]]</f>
        <v>1800</v>
      </c>
      <c r="T408">
        <f>ventas[[#This Row],[Total_Productos]]-ventas[[#This Row],[Valor_descuento]]</f>
        <v>34200</v>
      </c>
    </row>
    <row r="409" spans="1:20" x14ac:dyDescent="0.3">
      <c r="A409">
        <v>101</v>
      </c>
      <c r="B409" s="1">
        <v>45028</v>
      </c>
      <c r="C409">
        <v>39</v>
      </c>
      <c r="D409">
        <v>6</v>
      </c>
      <c r="E409">
        <v>274</v>
      </c>
      <c r="F409" t="s">
        <v>227</v>
      </c>
      <c r="G409" t="s">
        <v>228</v>
      </c>
      <c r="H409" t="s">
        <v>42</v>
      </c>
      <c r="I409">
        <v>38</v>
      </c>
      <c r="J409" t="s">
        <v>43</v>
      </c>
      <c r="K409" t="str">
        <f>_xlfn.XLOOKUP( ventas[[#This Row],[ciudad_cliente]],  ciudades[Ciudad], ciudades[Region])</f>
        <v>Antofagasta</v>
      </c>
      <c r="L409" t="s">
        <v>29</v>
      </c>
      <c r="M409" t="s">
        <v>23</v>
      </c>
      <c r="N409" t="str">
        <f>_xlfn.XLOOKUP(ventas[[#This Row],[producto]], categ[Producto], categ[Categoria])</f>
        <v>Belleza</v>
      </c>
      <c r="O409">
        <v>15000</v>
      </c>
      <c r="P409">
        <v>2</v>
      </c>
      <c r="Q409" s="11">
        <v>0.05</v>
      </c>
      <c r="R409">
        <f>(ventas[[#This Row],[precio_unitario]]*ventas[[#This Row],[cantidad]])</f>
        <v>30000</v>
      </c>
      <c r="S409">
        <f>ventas[[#This Row],[Total_Productos]]*ventas[[#This Row],[descuento_pct]]</f>
        <v>1500</v>
      </c>
      <c r="T409">
        <f>ventas[[#This Row],[Total_Productos]]-ventas[[#This Row],[Valor_descuento]]</f>
        <v>28500</v>
      </c>
    </row>
    <row r="410" spans="1:20" x14ac:dyDescent="0.3">
      <c r="A410">
        <v>557</v>
      </c>
      <c r="B410" s="1">
        <v>45484</v>
      </c>
      <c r="C410">
        <v>32</v>
      </c>
      <c r="D410">
        <v>5</v>
      </c>
      <c r="E410">
        <v>274</v>
      </c>
      <c r="F410" t="s">
        <v>227</v>
      </c>
      <c r="G410" t="s">
        <v>228</v>
      </c>
      <c r="H410" t="s">
        <v>42</v>
      </c>
      <c r="I410">
        <v>38</v>
      </c>
      <c r="J410" t="s">
        <v>76</v>
      </c>
      <c r="K410" t="str">
        <f>_xlfn.XLOOKUP( ventas[[#This Row],[ciudad_cliente]],  ciudades[Ciudad], ciudades[Region])</f>
        <v>Los Lagos</v>
      </c>
      <c r="L410" t="s">
        <v>22</v>
      </c>
      <c r="M410" t="s">
        <v>39</v>
      </c>
      <c r="N410" t="str">
        <f>_xlfn.XLOOKUP(ventas[[#This Row],[producto]], categ[Producto], categ[Categoria])</f>
        <v>Belleza</v>
      </c>
      <c r="O410">
        <v>35000</v>
      </c>
      <c r="P410">
        <v>1</v>
      </c>
      <c r="Q410" s="11">
        <v>0.05</v>
      </c>
      <c r="R410">
        <f>(ventas[[#This Row],[precio_unitario]]*ventas[[#This Row],[cantidad]])</f>
        <v>35000</v>
      </c>
      <c r="S410">
        <f>ventas[[#This Row],[Total_Productos]]*ventas[[#This Row],[descuento_pct]]</f>
        <v>1750</v>
      </c>
      <c r="T410">
        <f>ventas[[#This Row],[Total_Productos]]-ventas[[#This Row],[Valor_descuento]]</f>
        <v>33250</v>
      </c>
    </row>
    <row r="411" spans="1:20" x14ac:dyDescent="0.3">
      <c r="A411">
        <v>858</v>
      </c>
      <c r="B411" s="1">
        <v>45785</v>
      </c>
      <c r="C411">
        <v>17</v>
      </c>
      <c r="D411">
        <v>0</v>
      </c>
      <c r="E411">
        <v>10</v>
      </c>
      <c r="F411" t="s">
        <v>588</v>
      </c>
      <c r="G411" t="s">
        <v>589</v>
      </c>
      <c r="H411" t="s">
        <v>42</v>
      </c>
      <c r="I411">
        <v>44</v>
      </c>
      <c r="J411" t="s">
        <v>34</v>
      </c>
      <c r="K411" t="str">
        <f>_xlfn.XLOOKUP( ventas[[#This Row],[ciudad_cliente]],  ciudades[Ciudad], ciudades[Region])</f>
        <v>Metropolitana</v>
      </c>
      <c r="L411" t="s">
        <v>38</v>
      </c>
      <c r="M411" t="s">
        <v>102</v>
      </c>
      <c r="N411" t="str">
        <f>_xlfn.XLOOKUP(ventas[[#This Row],[producto]], categ[Producto], categ[Categoria])</f>
        <v>Vestuario</v>
      </c>
      <c r="O411">
        <v>12000</v>
      </c>
      <c r="P411">
        <v>2</v>
      </c>
      <c r="Q411" s="11">
        <v>0</v>
      </c>
      <c r="R411">
        <f>(ventas[[#This Row],[precio_unitario]]*ventas[[#This Row],[cantidad]])</f>
        <v>24000</v>
      </c>
      <c r="S411">
        <f>ventas[[#This Row],[Total_Productos]]*ventas[[#This Row],[descuento_pct]]</f>
        <v>0</v>
      </c>
      <c r="T411">
        <f>ventas[[#This Row],[Total_Productos]]-ventas[[#This Row],[Valor_descuento]]</f>
        <v>24000</v>
      </c>
    </row>
    <row r="412" spans="1:20" x14ac:dyDescent="0.3">
      <c r="A412">
        <v>435</v>
      </c>
      <c r="B412" s="1">
        <v>45362</v>
      </c>
      <c r="C412">
        <v>66</v>
      </c>
      <c r="D412">
        <v>2</v>
      </c>
      <c r="E412">
        <v>208</v>
      </c>
      <c r="F412" t="s">
        <v>514</v>
      </c>
      <c r="G412" t="s">
        <v>515</v>
      </c>
      <c r="H412" t="s">
        <v>42</v>
      </c>
      <c r="I412">
        <v>44</v>
      </c>
      <c r="J412" t="s">
        <v>27</v>
      </c>
      <c r="K412" t="str">
        <f>_xlfn.XLOOKUP( ventas[[#This Row],[ciudad_cliente]],  ciudades[Ciudad], ciudades[Region])</f>
        <v>Biobío</v>
      </c>
      <c r="L412" t="s">
        <v>29</v>
      </c>
      <c r="M412" t="s">
        <v>98</v>
      </c>
      <c r="N412" t="str">
        <f>_xlfn.XLOOKUP(ventas[[#This Row],[producto]], categ[Producto], categ[Categoria])</f>
        <v>Calzado</v>
      </c>
      <c r="O412">
        <v>55000</v>
      </c>
      <c r="P412">
        <v>2</v>
      </c>
      <c r="Q412" s="11">
        <v>0</v>
      </c>
      <c r="R412">
        <f>(ventas[[#This Row],[precio_unitario]]*ventas[[#This Row],[cantidad]])</f>
        <v>110000</v>
      </c>
      <c r="S412">
        <f>ventas[[#This Row],[Total_Productos]]*ventas[[#This Row],[descuento_pct]]</f>
        <v>0</v>
      </c>
      <c r="T412">
        <f>ventas[[#This Row],[Total_Productos]]-ventas[[#This Row],[Valor_descuento]]</f>
        <v>110000</v>
      </c>
    </row>
    <row r="413" spans="1:20" x14ac:dyDescent="0.3">
      <c r="A413">
        <v>549</v>
      </c>
      <c r="B413" s="1">
        <v>45476</v>
      </c>
      <c r="C413">
        <v>18</v>
      </c>
      <c r="D413">
        <v>1</v>
      </c>
      <c r="E413">
        <v>208</v>
      </c>
      <c r="F413" t="s">
        <v>514</v>
      </c>
      <c r="G413" t="s">
        <v>515</v>
      </c>
      <c r="H413" t="s">
        <v>42</v>
      </c>
      <c r="I413">
        <v>44</v>
      </c>
      <c r="J413" t="s">
        <v>27</v>
      </c>
      <c r="K413" t="str">
        <f>_xlfn.XLOOKUP( ventas[[#This Row],[ciudad_cliente]],  ciudades[Ciudad], ciudades[Region])</f>
        <v>Biobío</v>
      </c>
      <c r="L413" t="s">
        <v>29</v>
      </c>
      <c r="M413" t="s">
        <v>98</v>
      </c>
      <c r="N413" t="str">
        <f>_xlfn.XLOOKUP(ventas[[#This Row],[producto]], categ[Producto], categ[Categoria])</f>
        <v>Calzado</v>
      </c>
      <c r="O413">
        <v>55000</v>
      </c>
      <c r="P413">
        <v>1</v>
      </c>
      <c r="Q413" s="11">
        <v>0.05</v>
      </c>
      <c r="R413">
        <f>(ventas[[#This Row],[precio_unitario]]*ventas[[#This Row],[cantidad]])</f>
        <v>55000</v>
      </c>
      <c r="S413">
        <f>ventas[[#This Row],[Total_Productos]]*ventas[[#This Row],[descuento_pct]]</f>
        <v>2750</v>
      </c>
      <c r="T413">
        <f>ventas[[#This Row],[Total_Productos]]-ventas[[#This Row],[Valor_descuento]]</f>
        <v>52250</v>
      </c>
    </row>
    <row r="414" spans="1:20" x14ac:dyDescent="0.3">
      <c r="A414">
        <v>6</v>
      </c>
      <c r="B414" s="1">
        <v>44933</v>
      </c>
      <c r="C414">
        <v>14</v>
      </c>
      <c r="D414">
        <v>0</v>
      </c>
      <c r="E414">
        <v>202</v>
      </c>
      <c r="F414" t="s">
        <v>44</v>
      </c>
      <c r="G414" t="s">
        <v>45</v>
      </c>
      <c r="H414" t="s">
        <v>42</v>
      </c>
      <c r="I414">
        <v>44</v>
      </c>
      <c r="J414" t="s">
        <v>34</v>
      </c>
      <c r="K414" t="str">
        <f>_xlfn.XLOOKUP( ventas[[#This Row],[ciudad_cliente]],  ciudades[Ciudad], ciudades[Region])</f>
        <v>Metropolitana</v>
      </c>
      <c r="L414" t="s">
        <v>22</v>
      </c>
      <c r="M414" t="s">
        <v>46</v>
      </c>
      <c r="N414" t="str">
        <f>_xlfn.XLOOKUP(ventas[[#This Row],[producto]], categ[Producto], categ[Categoria])</f>
        <v>Tecnología</v>
      </c>
      <c r="O414">
        <v>750000</v>
      </c>
      <c r="P414">
        <v>3</v>
      </c>
      <c r="Q414" s="11">
        <v>0.1</v>
      </c>
      <c r="R414">
        <f>(ventas[[#This Row],[precio_unitario]]*ventas[[#This Row],[cantidad]])</f>
        <v>2250000</v>
      </c>
      <c r="S414">
        <f>ventas[[#This Row],[Total_Productos]]*ventas[[#This Row],[descuento_pct]]</f>
        <v>225000</v>
      </c>
      <c r="T414">
        <f>ventas[[#This Row],[Total_Productos]]-ventas[[#This Row],[Valor_descuento]]</f>
        <v>2025000</v>
      </c>
    </row>
    <row r="415" spans="1:20" x14ac:dyDescent="0.3">
      <c r="A415">
        <v>117</v>
      </c>
      <c r="B415" s="1">
        <v>45044</v>
      </c>
      <c r="C415">
        <v>51</v>
      </c>
      <c r="D415">
        <v>7</v>
      </c>
      <c r="E415">
        <v>202</v>
      </c>
      <c r="F415" t="s">
        <v>44</v>
      </c>
      <c r="G415" t="s">
        <v>45</v>
      </c>
      <c r="H415" t="s">
        <v>42</v>
      </c>
      <c r="I415">
        <v>44</v>
      </c>
      <c r="J415" t="s">
        <v>101</v>
      </c>
      <c r="K415" t="str">
        <f>_xlfn.XLOOKUP( ventas[[#This Row],[ciudad_cliente]],  ciudades[Ciudad], ciudades[Region])</f>
        <v>O'Higgins</v>
      </c>
      <c r="L415" t="s">
        <v>22</v>
      </c>
      <c r="M415" t="s">
        <v>62</v>
      </c>
      <c r="N415" t="str">
        <f>_xlfn.XLOOKUP(ventas[[#This Row],[producto]], categ[Producto], categ[Categoria])</f>
        <v>Electrohogar</v>
      </c>
      <c r="O415">
        <v>650000</v>
      </c>
      <c r="P415">
        <v>1</v>
      </c>
      <c r="Q415" s="11">
        <v>0.05</v>
      </c>
      <c r="R415">
        <f>(ventas[[#This Row],[precio_unitario]]*ventas[[#This Row],[cantidad]])</f>
        <v>650000</v>
      </c>
      <c r="S415">
        <f>ventas[[#This Row],[Total_Productos]]*ventas[[#This Row],[descuento_pct]]</f>
        <v>32500</v>
      </c>
      <c r="T415">
        <f>ventas[[#This Row],[Total_Productos]]-ventas[[#This Row],[Valor_descuento]]</f>
        <v>617500</v>
      </c>
    </row>
    <row r="416" spans="1:20" x14ac:dyDescent="0.3">
      <c r="A416">
        <v>303</v>
      </c>
      <c r="B416" s="1">
        <v>45230</v>
      </c>
      <c r="C416">
        <v>52</v>
      </c>
      <c r="D416">
        <v>0</v>
      </c>
      <c r="E416">
        <v>202</v>
      </c>
      <c r="F416" t="s">
        <v>44</v>
      </c>
      <c r="G416" t="s">
        <v>45</v>
      </c>
      <c r="H416" t="s">
        <v>42</v>
      </c>
      <c r="I416">
        <v>44</v>
      </c>
      <c r="J416" t="s">
        <v>27</v>
      </c>
      <c r="K416" t="str">
        <f>_xlfn.XLOOKUP( ventas[[#This Row],[ciudad_cliente]],  ciudades[Ciudad], ciudades[Region])</f>
        <v>Biobío</v>
      </c>
      <c r="L416" t="s">
        <v>22</v>
      </c>
      <c r="M416" t="s">
        <v>69</v>
      </c>
      <c r="N416" t="str">
        <f>_xlfn.XLOOKUP(ventas[[#This Row],[producto]], categ[Producto], categ[Categoria])</f>
        <v>Tecnología</v>
      </c>
      <c r="O416">
        <v>450000</v>
      </c>
      <c r="P416">
        <v>3</v>
      </c>
      <c r="Q416" s="11">
        <v>0.05</v>
      </c>
      <c r="R416">
        <f>(ventas[[#This Row],[precio_unitario]]*ventas[[#This Row],[cantidad]])</f>
        <v>1350000</v>
      </c>
      <c r="S416">
        <f>ventas[[#This Row],[Total_Productos]]*ventas[[#This Row],[descuento_pct]]</f>
        <v>67500</v>
      </c>
      <c r="T416">
        <f>ventas[[#This Row],[Total_Productos]]-ventas[[#This Row],[Valor_descuento]]</f>
        <v>1282500</v>
      </c>
    </row>
    <row r="417" spans="1:20" x14ac:dyDescent="0.3">
      <c r="A417">
        <v>418</v>
      </c>
      <c r="B417" s="1">
        <v>45345</v>
      </c>
      <c r="C417">
        <v>57</v>
      </c>
      <c r="D417">
        <v>3</v>
      </c>
      <c r="E417">
        <v>202</v>
      </c>
      <c r="F417" t="s">
        <v>44</v>
      </c>
      <c r="G417" t="s">
        <v>45</v>
      </c>
      <c r="H417" t="s">
        <v>42</v>
      </c>
      <c r="I417">
        <v>44</v>
      </c>
      <c r="J417" t="s">
        <v>52</v>
      </c>
      <c r="K417" t="str">
        <f>_xlfn.XLOOKUP( ventas[[#This Row],[ciudad_cliente]],  ciudades[Ciudad], ciudades[Region])</f>
        <v>Biobío</v>
      </c>
      <c r="L417" t="s">
        <v>38</v>
      </c>
      <c r="M417" t="s">
        <v>46</v>
      </c>
      <c r="N417" t="str">
        <f>_xlfn.XLOOKUP(ventas[[#This Row],[producto]], categ[Producto], categ[Categoria])</f>
        <v>Tecnología</v>
      </c>
      <c r="O417">
        <v>750000</v>
      </c>
      <c r="P417">
        <v>1</v>
      </c>
      <c r="Q417" s="11">
        <v>0.05</v>
      </c>
      <c r="R417">
        <f>(ventas[[#This Row],[precio_unitario]]*ventas[[#This Row],[cantidad]])</f>
        <v>750000</v>
      </c>
      <c r="S417">
        <f>ventas[[#This Row],[Total_Productos]]*ventas[[#This Row],[descuento_pct]]</f>
        <v>37500</v>
      </c>
      <c r="T417">
        <f>ventas[[#This Row],[Total_Productos]]-ventas[[#This Row],[Valor_descuento]]</f>
        <v>712500</v>
      </c>
    </row>
    <row r="418" spans="1:20" x14ac:dyDescent="0.3">
      <c r="A418">
        <v>808</v>
      </c>
      <c r="B418" s="1">
        <v>45735</v>
      </c>
      <c r="C418">
        <v>22</v>
      </c>
      <c r="D418">
        <v>1</v>
      </c>
      <c r="E418">
        <v>202</v>
      </c>
      <c r="F418" t="s">
        <v>44</v>
      </c>
      <c r="G418" t="s">
        <v>45</v>
      </c>
      <c r="H418" t="s">
        <v>42</v>
      </c>
      <c r="I418">
        <v>44</v>
      </c>
      <c r="J418" t="s">
        <v>116</v>
      </c>
      <c r="K418" t="str">
        <f>_xlfn.XLOOKUP( ventas[[#This Row],[ciudad_cliente]],  ciudades[Ciudad], ciudades[Region])</f>
        <v>Valparaíso</v>
      </c>
      <c r="L418" t="s">
        <v>29</v>
      </c>
      <c r="M418" t="s">
        <v>49</v>
      </c>
      <c r="N418" t="str">
        <f>_xlfn.XLOOKUP(ventas[[#This Row],[producto]], categ[Producto], categ[Categoria])</f>
        <v>Electrohogar</v>
      </c>
      <c r="O418">
        <v>800000</v>
      </c>
      <c r="P418">
        <v>3</v>
      </c>
      <c r="Q418" s="11">
        <v>0</v>
      </c>
      <c r="R418">
        <f>(ventas[[#This Row],[precio_unitario]]*ventas[[#This Row],[cantidad]])</f>
        <v>2400000</v>
      </c>
      <c r="S418">
        <f>ventas[[#This Row],[Total_Productos]]*ventas[[#This Row],[descuento_pct]]</f>
        <v>0</v>
      </c>
      <c r="T418">
        <f>ventas[[#This Row],[Total_Productos]]-ventas[[#This Row],[Valor_descuento]]</f>
        <v>2400000</v>
      </c>
    </row>
    <row r="419" spans="1:20" x14ac:dyDescent="0.3">
      <c r="A419">
        <v>329</v>
      </c>
      <c r="B419" s="1">
        <v>45256</v>
      </c>
      <c r="C419">
        <v>57</v>
      </c>
      <c r="D419">
        <v>3</v>
      </c>
      <c r="E419">
        <v>111</v>
      </c>
      <c r="F419" t="s">
        <v>456</v>
      </c>
      <c r="G419" t="s">
        <v>457</v>
      </c>
      <c r="H419" t="s">
        <v>42</v>
      </c>
      <c r="I419">
        <v>18</v>
      </c>
      <c r="J419" t="s">
        <v>52</v>
      </c>
      <c r="K419" t="str">
        <f>_xlfn.XLOOKUP( ventas[[#This Row],[ciudad_cliente]],  ciudades[Ciudad], ciudades[Region])</f>
        <v>Biobío</v>
      </c>
      <c r="L419" t="s">
        <v>38</v>
      </c>
      <c r="M419" t="s">
        <v>98</v>
      </c>
      <c r="N419" t="str">
        <f>_xlfn.XLOOKUP(ventas[[#This Row],[producto]], categ[Producto], categ[Categoria])</f>
        <v>Calzado</v>
      </c>
      <c r="O419">
        <v>55000</v>
      </c>
      <c r="P419">
        <v>3</v>
      </c>
      <c r="Q419" s="11">
        <v>0.1</v>
      </c>
      <c r="R419">
        <f>(ventas[[#This Row],[precio_unitario]]*ventas[[#This Row],[cantidad]])</f>
        <v>165000</v>
      </c>
      <c r="S419">
        <f>ventas[[#This Row],[Total_Productos]]*ventas[[#This Row],[descuento_pct]]</f>
        <v>16500</v>
      </c>
      <c r="T419">
        <f>ventas[[#This Row],[Total_Productos]]-ventas[[#This Row],[Valor_descuento]]</f>
        <v>148500</v>
      </c>
    </row>
    <row r="420" spans="1:20" x14ac:dyDescent="0.3">
      <c r="A420">
        <v>143</v>
      </c>
      <c r="B420" s="1">
        <v>45070</v>
      </c>
      <c r="C420">
        <v>4</v>
      </c>
      <c r="D420">
        <v>3</v>
      </c>
      <c r="E420">
        <v>142</v>
      </c>
      <c r="F420" t="s">
        <v>278</v>
      </c>
      <c r="G420" t="s">
        <v>279</v>
      </c>
      <c r="H420" t="s">
        <v>19</v>
      </c>
      <c r="I420">
        <v>53</v>
      </c>
      <c r="J420" t="s">
        <v>52</v>
      </c>
      <c r="K420" t="str">
        <f>_xlfn.XLOOKUP( ventas[[#This Row],[ciudad_cliente]],  ciudades[Ciudad], ciudades[Region])</f>
        <v>Biobío</v>
      </c>
      <c r="L420" t="s">
        <v>38</v>
      </c>
      <c r="M420" t="s">
        <v>56</v>
      </c>
      <c r="N420" t="str">
        <f>_xlfn.XLOOKUP(ventas[[#This Row],[producto]], categ[Producto], categ[Categoria])</f>
        <v>Vestuario</v>
      </c>
      <c r="O420">
        <v>25000</v>
      </c>
      <c r="P420">
        <v>3</v>
      </c>
      <c r="Q420" s="11">
        <v>0.1</v>
      </c>
      <c r="R420">
        <f>(ventas[[#This Row],[precio_unitario]]*ventas[[#This Row],[cantidad]])</f>
        <v>75000</v>
      </c>
      <c r="S420">
        <f>ventas[[#This Row],[Total_Productos]]*ventas[[#This Row],[descuento_pct]]</f>
        <v>7500</v>
      </c>
      <c r="T420">
        <f>ventas[[#This Row],[Total_Productos]]-ventas[[#This Row],[Valor_descuento]]</f>
        <v>67500</v>
      </c>
    </row>
    <row r="421" spans="1:20" x14ac:dyDescent="0.3">
      <c r="A421">
        <v>143</v>
      </c>
      <c r="B421" s="1">
        <v>45070</v>
      </c>
      <c r="C421">
        <v>4</v>
      </c>
      <c r="D421">
        <v>3</v>
      </c>
      <c r="E421">
        <v>142</v>
      </c>
      <c r="F421" t="s">
        <v>278</v>
      </c>
      <c r="G421" t="s">
        <v>279</v>
      </c>
      <c r="H421" t="s">
        <v>19</v>
      </c>
      <c r="I421">
        <v>53</v>
      </c>
      <c r="J421" t="s">
        <v>52</v>
      </c>
      <c r="K421" t="str">
        <f>_xlfn.XLOOKUP( ventas[[#This Row],[ciudad_cliente]],  ciudades[Ciudad], ciudades[Region])</f>
        <v>Biobío</v>
      </c>
      <c r="L421" t="s">
        <v>38</v>
      </c>
      <c r="M421" t="s">
        <v>56</v>
      </c>
      <c r="N421" t="str">
        <f>_xlfn.XLOOKUP(ventas[[#This Row],[producto]], categ[Producto], categ[Categoria])</f>
        <v>Vestuario</v>
      </c>
      <c r="O421">
        <v>25000</v>
      </c>
      <c r="P421">
        <v>3</v>
      </c>
      <c r="Q421" s="11">
        <v>0.1</v>
      </c>
      <c r="R421">
        <f>(ventas[[#This Row],[precio_unitario]]*ventas[[#This Row],[cantidad]])</f>
        <v>75000</v>
      </c>
      <c r="S421">
        <f>ventas[[#This Row],[Total_Productos]]*ventas[[#This Row],[descuento_pct]]</f>
        <v>7500</v>
      </c>
      <c r="T421">
        <f>ventas[[#This Row],[Total_Productos]]-ventas[[#This Row],[Valor_descuento]]</f>
        <v>67500</v>
      </c>
    </row>
    <row r="422" spans="1:20" x14ac:dyDescent="0.3">
      <c r="A422">
        <v>246</v>
      </c>
      <c r="B422" s="1">
        <v>45173</v>
      </c>
      <c r="C422">
        <v>60</v>
      </c>
      <c r="D422">
        <v>1</v>
      </c>
      <c r="E422">
        <v>142</v>
      </c>
      <c r="F422" t="s">
        <v>278</v>
      </c>
      <c r="G422" t="s">
        <v>279</v>
      </c>
      <c r="H422" t="s">
        <v>19</v>
      </c>
      <c r="I422">
        <v>53</v>
      </c>
      <c r="J422" t="s">
        <v>37</v>
      </c>
      <c r="K422" t="str">
        <f>_xlfn.XLOOKUP( ventas[[#This Row],[ciudad_cliente]],  ciudades[Ciudad], ciudades[Region])</f>
        <v>Valparaíso</v>
      </c>
      <c r="L422" t="s">
        <v>29</v>
      </c>
      <c r="M422" t="s">
        <v>69</v>
      </c>
      <c r="N422" t="str">
        <f>_xlfn.XLOOKUP(ventas[[#This Row],[producto]], categ[Producto], categ[Categoria])</f>
        <v>Tecnología</v>
      </c>
      <c r="O422">
        <v>450000</v>
      </c>
      <c r="P422">
        <v>1</v>
      </c>
      <c r="Q422" s="11">
        <v>0.05</v>
      </c>
      <c r="R422">
        <f>(ventas[[#This Row],[precio_unitario]]*ventas[[#This Row],[cantidad]])</f>
        <v>450000</v>
      </c>
      <c r="S422">
        <f>ventas[[#This Row],[Total_Productos]]*ventas[[#This Row],[descuento_pct]]</f>
        <v>22500</v>
      </c>
      <c r="T422">
        <f>ventas[[#This Row],[Total_Productos]]-ventas[[#This Row],[Valor_descuento]]</f>
        <v>427500</v>
      </c>
    </row>
    <row r="423" spans="1:20" x14ac:dyDescent="0.3">
      <c r="A423">
        <v>378</v>
      </c>
      <c r="B423" s="1">
        <v>45305</v>
      </c>
      <c r="C423">
        <v>58</v>
      </c>
      <c r="D423">
        <v>1</v>
      </c>
      <c r="E423">
        <v>142</v>
      </c>
      <c r="F423" t="s">
        <v>278</v>
      </c>
      <c r="G423" t="s">
        <v>279</v>
      </c>
      <c r="H423" t="s">
        <v>19</v>
      </c>
      <c r="I423">
        <v>53</v>
      </c>
      <c r="J423" t="s">
        <v>76</v>
      </c>
      <c r="K423" t="str">
        <f>_xlfn.XLOOKUP( ventas[[#This Row],[ciudad_cliente]],  ciudades[Ciudad], ciudades[Region])</f>
        <v>Los Lagos</v>
      </c>
      <c r="L423" t="s">
        <v>38</v>
      </c>
      <c r="M423" t="s">
        <v>23</v>
      </c>
      <c r="N423" t="str">
        <f>_xlfn.XLOOKUP(ventas[[#This Row],[producto]], categ[Producto], categ[Categoria])</f>
        <v>Belleza</v>
      </c>
      <c r="O423">
        <v>15000</v>
      </c>
      <c r="P423">
        <v>2</v>
      </c>
      <c r="Q423" s="11">
        <v>0.05</v>
      </c>
      <c r="R423">
        <f>(ventas[[#This Row],[precio_unitario]]*ventas[[#This Row],[cantidad]])</f>
        <v>30000</v>
      </c>
      <c r="S423">
        <f>ventas[[#This Row],[Total_Productos]]*ventas[[#This Row],[descuento_pct]]</f>
        <v>1500</v>
      </c>
      <c r="T423">
        <f>ventas[[#This Row],[Total_Productos]]-ventas[[#This Row],[Valor_descuento]]</f>
        <v>28500</v>
      </c>
    </row>
    <row r="424" spans="1:20" x14ac:dyDescent="0.3">
      <c r="A424">
        <v>752</v>
      </c>
      <c r="B424" s="1">
        <v>45679</v>
      </c>
      <c r="C424">
        <v>60</v>
      </c>
      <c r="D424">
        <v>1</v>
      </c>
      <c r="E424">
        <v>142</v>
      </c>
      <c r="F424" t="s">
        <v>278</v>
      </c>
      <c r="G424" t="s">
        <v>279</v>
      </c>
      <c r="H424" t="s">
        <v>19</v>
      </c>
      <c r="I424">
        <v>53</v>
      </c>
      <c r="J424" t="s">
        <v>37</v>
      </c>
      <c r="K424" t="str">
        <f>_xlfn.XLOOKUP( ventas[[#This Row],[ciudad_cliente]],  ciudades[Ciudad], ciudades[Region])</f>
        <v>Valparaíso</v>
      </c>
      <c r="L424" t="s">
        <v>22</v>
      </c>
      <c r="M424" t="s">
        <v>102</v>
      </c>
      <c r="N424" t="str">
        <f>_xlfn.XLOOKUP(ventas[[#This Row],[producto]], categ[Producto], categ[Categoria])</f>
        <v>Vestuario</v>
      </c>
      <c r="O424">
        <v>12000</v>
      </c>
      <c r="P424">
        <v>1</v>
      </c>
      <c r="Q424" s="11">
        <v>0.1</v>
      </c>
      <c r="R424">
        <f>(ventas[[#This Row],[precio_unitario]]*ventas[[#This Row],[cantidad]])</f>
        <v>12000</v>
      </c>
      <c r="S424">
        <f>ventas[[#This Row],[Total_Productos]]*ventas[[#This Row],[descuento_pct]]</f>
        <v>1200</v>
      </c>
      <c r="T424">
        <f>ventas[[#This Row],[Total_Productos]]-ventas[[#This Row],[Valor_descuento]]</f>
        <v>10800</v>
      </c>
    </row>
    <row r="425" spans="1:20" x14ac:dyDescent="0.3">
      <c r="A425">
        <v>939</v>
      </c>
      <c r="B425" s="1">
        <v>45866</v>
      </c>
      <c r="C425">
        <v>12</v>
      </c>
      <c r="D425">
        <v>0</v>
      </c>
      <c r="E425">
        <v>142</v>
      </c>
      <c r="F425" t="s">
        <v>278</v>
      </c>
      <c r="G425" t="s">
        <v>279</v>
      </c>
      <c r="H425" t="s">
        <v>19</v>
      </c>
      <c r="I425">
        <v>53</v>
      </c>
      <c r="J425" t="s">
        <v>116</v>
      </c>
      <c r="K425" t="str">
        <f>_xlfn.XLOOKUP( ventas[[#This Row],[ciudad_cliente]],  ciudades[Ciudad], ciudades[Region])</f>
        <v>Valparaíso</v>
      </c>
      <c r="L425" t="s">
        <v>29</v>
      </c>
      <c r="M425" t="s">
        <v>30</v>
      </c>
      <c r="N425" t="str">
        <f>_xlfn.XLOOKUP(ventas[[#This Row],[producto]], categ[Producto], categ[Categoria])</f>
        <v>Electrohogar</v>
      </c>
      <c r="O425">
        <v>700000</v>
      </c>
      <c r="P425">
        <v>2</v>
      </c>
      <c r="Q425" s="11">
        <v>0</v>
      </c>
      <c r="R425">
        <f>(ventas[[#This Row],[precio_unitario]]*ventas[[#This Row],[cantidad]])</f>
        <v>1400000</v>
      </c>
      <c r="S425">
        <f>ventas[[#This Row],[Total_Productos]]*ventas[[#This Row],[descuento_pct]]</f>
        <v>0</v>
      </c>
      <c r="T425">
        <f>ventas[[#This Row],[Total_Productos]]-ventas[[#This Row],[Valor_descuento]]</f>
        <v>1400000</v>
      </c>
    </row>
    <row r="426" spans="1:20" x14ac:dyDescent="0.3">
      <c r="A426">
        <v>71</v>
      </c>
      <c r="B426" s="1">
        <v>44998</v>
      </c>
      <c r="C426">
        <v>14</v>
      </c>
      <c r="D426">
        <v>0</v>
      </c>
      <c r="E426">
        <v>44</v>
      </c>
      <c r="F426" t="s">
        <v>181</v>
      </c>
      <c r="G426" t="s">
        <v>182</v>
      </c>
      <c r="H426" t="s">
        <v>19</v>
      </c>
      <c r="I426">
        <v>34</v>
      </c>
      <c r="J426" t="s">
        <v>34</v>
      </c>
      <c r="K426" t="str">
        <f>_xlfn.XLOOKUP( ventas[[#This Row],[ciudad_cliente]],  ciudades[Ciudad], ciudades[Region])</f>
        <v>Metropolitana</v>
      </c>
      <c r="L426" t="s">
        <v>38</v>
      </c>
      <c r="M426" t="s">
        <v>30</v>
      </c>
      <c r="N426" t="str">
        <f>_xlfn.XLOOKUP(ventas[[#This Row],[producto]], categ[Producto], categ[Categoria])</f>
        <v>Electrohogar</v>
      </c>
      <c r="O426">
        <v>700000</v>
      </c>
      <c r="P426">
        <v>3</v>
      </c>
      <c r="Q426" s="11">
        <v>0</v>
      </c>
      <c r="R426">
        <f>(ventas[[#This Row],[precio_unitario]]*ventas[[#This Row],[cantidad]])</f>
        <v>2100000</v>
      </c>
      <c r="S426">
        <f>ventas[[#This Row],[Total_Productos]]*ventas[[#This Row],[descuento_pct]]</f>
        <v>0</v>
      </c>
      <c r="T426">
        <f>ventas[[#This Row],[Total_Productos]]-ventas[[#This Row],[Valor_descuento]]</f>
        <v>2100000</v>
      </c>
    </row>
    <row r="427" spans="1:20" x14ac:dyDescent="0.3">
      <c r="A427">
        <v>233</v>
      </c>
      <c r="B427" s="1">
        <v>45160</v>
      </c>
      <c r="C427">
        <v>43</v>
      </c>
      <c r="D427">
        <v>0</v>
      </c>
      <c r="E427">
        <v>44</v>
      </c>
      <c r="F427" t="s">
        <v>181</v>
      </c>
      <c r="G427" t="s">
        <v>182</v>
      </c>
      <c r="H427" t="s">
        <v>19</v>
      </c>
      <c r="I427">
        <v>34</v>
      </c>
      <c r="J427" t="s">
        <v>34</v>
      </c>
      <c r="K427" t="str">
        <f>_xlfn.XLOOKUP( ventas[[#This Row],[ciudad_cliente]],  ciudades[Ciudad], ciudades[Region])</f>
        <v>Metropolitana</v>
      </c>
      <c r="L427" t="s">
        <v>22</v>
      </c>
      <c r="M427" t="s">
        <v>46</v>
      </c>
      <c r="N427" t="str">
        <f>_xlfn.XLOOKUP(ventas[[#This Row],[producto]], categ[Producto], categ[Categoria])</f>
        <v>Tecnología</v>
      </c>
      <c r="O427">
        <v>750000</v>
      </c>
      <c r="P427">
        <v>1</v>
      </c>
      <c r="Q427" s="11">
        <v>0</v>
      </c>
      <c r="R427">
        <f>(ventas[[#This Row],[precio_unitario]]*ventas[[#This Row],[cantidad]])</f>
        <v>750000</v>
      </c>
      <c r="S427">
        <f>ventas[[#This Row],[Total_Productos]]*ventas[[#This Row],[descuento_pct]]</f>
        <v>0</v>
      </c>
      <c r="T427">
        <f>ventas[[#This Row],[Total_Productos]]-ventas[[#This Row],[Valor_descuento]]</f>
        <v>750000</v>
      </c>
    </row>
    <row r="428" spans="1:20" x14ac:dyDescent="0.3">
      <c r="A428">
        <v>326</v>
      </c>
      <c r="B428" s="1">
        <v>45253</v>
      </c>
      <c r="C428">
        <v>54</v>
      </c>
      <c r="D428">
        <v>9</v>
      </c>
      <c r="E428">
        <v>44</v>
      </c>
      <c r="F428" t="s">
        <v>181</v>
      </c>
      <c r="G428" t="s">
        <v>182</v>
      </c>
      <c r="H428" t="s">
        <v>19</v>
      </c>
      <c r="I428">
        <v>34</v>
      </c>
      <c r="J428" t="s">
        <v>27</v>
      </c>
      <c r="K428" t="str">
        <f>_xlfn.XLOOKUP( ventas[[#This Row],[ciudad_cliente]],  ciudades[Ciudad], ciudades[Region])</f>
        <v>Biobío</v>
      </c>
      <c r="L428" t="s">
        <v>29</v>
      </c>
      <c r="M428" t="s">
        <v>30</v>
      </c>
      <c r="N428" t="str">
        <f>_xlfn.XLOOKUP(ventas[[#This Row],[producto]], categ[Producto], categ[Categoria])</f>
        <v>Electrohogar</v>
      </c>
      <c r="O428">
        <v>700000</v>
      </c>
      <c r="P428">
        <v>1</v>
      </c>
      <c r="Q428" s="11">
        <v>0.05</v>
      </c>
      <c r="R428">
        <f>(ventas[[#This Row],[precio_unitario]]*ventas[[#This Row],[cantidad]])</f>
        <v>700000</v>
      </c>
      <c r="S428">
        <f>ventas[[#This Row],[Total_Productos]]*ventas[[#This Row],[descuento_pct]]</f>
        <v>35000</v>
      </c>
      <c r="T428">
        <f>ventas[[#This Row],[Total_Productos]]-ventas[[#This Row],[Valor_descuento]]</f>
        <v>665000</v>
      </c>
    </row>
    <row r="429" spans="1:20" x14ac:dyDescent="0.3">
      <c r="A429">
        <v>479</v>
      </c>
      <c r="B429" s="1">
        <v>45406</v>
      </c>
      <c r="C429">
        <v>39</v>
      </c>
      <c r="D429">
        <v>6</v>
      </c>
      <c r="E429">
        <v>44</v>
      </c>
      <c r="F429" t="s">
        <v>181</v>
      </c>
      <c r="G429" t="s">
        <v>182</v>
      </c>
      <c r="H429" t="s">
        <v>19</v>
      </c>
      <c r="I429">
        <v>34</v>
      </c>
      <c r="J429" t="s">
        <v>43</v>
      </c>
      <c r="K429" t="str">
        <f>_xlfn.XLOOKUP( ventas[[#This Row],[ciudad_cliente]],  ciudades[Ciudad], ciudades[Region])</f>
        <v>Antofagasta</v>
      </c>
      <c r="L429" t="s">
        <v>29</v>
      </c>
      <c r="M429" t="s">
        <v>56</v>
      </c>
      <c r="N429" t="str">
        <f>_xlfn.XLOOKUP(ventas[[#This Row],[producto]], categ[Producto], categ[Categoria])</f>
        <v>Vestuario</v>
      </c>
      <c r="O429">
        <v>25000</v>
      </c>
      <c r="P429">
        <v>1</v>
      </c>
      <c r="Q429" s="11">
        <v>0</v>
      </c>
      <c r="R429">
        <f>(ventas[[#This Row],[precio_unitario]]*ventas[[#This Row],[cantidad]])</f>
        <v>25000</v>
      </c>
      <c r="S429">
        <f>ventas[[#This Row],[Total_Productos]]*ventas[[#This Row],[descuento_pct]]</f>
        <v>0</v>
      </c>
      <c r="T429">
        <f>ventas[[#This Row],[Total_Productos]]-ventas[[#This Row],[Valor_descuento]]</f>
        <v>25000</v>
      </c>
    </row>
    <row r="430" spans="1:20" x14ac:dyDescent="0.3">
      <c r="A430">
        <v>142</v>
      </c>
      <c r="B430" s="1">
        <v>45069</v>
      </c>
      <c r="C430">
        <v>33</v>
      </c>
      <c r="D430">
        <v>13</v>
      </c>
      <c r="E430">
        <v>248</v>
      </c>
      <c r="F430" t="s">
        <v>276</v>
      </c>
      <c r="G430" t="s">
        <v>277</v>
      </c>
      <c r="H430" t="s">
        <v>19</v>
      </c>
      <c r="I430">
        <v>30</v>
      </c>
      <c r="J430" t="s">
        <v>101</v>
      </c>
      <c r="K430" t="str">
        <f>_xlfn.XLOOKUP( ventas[[#This Row],[ciudad_cliente]],  ciudades[Ciudad], ciudades[Region])</f>
        <v>O'Higgins</v>
      </c>
      <c r="L430" t="s">
        <v>29</v>
      </c>
      <c r="M430" t="s">
        <v>46</v>
      </c>
      <c r="N430" t="str">
        <f>_xlfn.XLOOKUP(ventas[[#This Row],[producto]], categ[Producto], categ[Categoria])</f>
        <v>Tecnología</v>
      </c>
      <c r="O430">
        <v>750000</v>
      </c>
      <c r="P430">
        <v>1</v>
      </c>
      <c r="Q430" s="11">
        <v>0.05</v>
      </c>
      <c r="R430">
        <f>(ventas[[#This Row],[precio_unitario]]*ventas[[#This Row],[cantidad]])</f>
        <v>750000</v>
      </c>
      <c r="S430">
        <f>ventas[[#This Row],[Total_Productos]]*ventas[[#This Row],[descuento_pct]]</f>
        <v>37500</v>
      </c>
      <c r="T430">
        <f>ventas[[#This Row],[Total_Productos]]-ventas[[#This Row],[Valor_descuento]]</f>
        <v>712500</v>
      </c>
    </row>
    <row r="431" spans="1:20" x14ac:dyDescent="0.3">
      <c r="A431">
        <v>516</v>
      </c>
      <c r="B431" s="1">
        <v>45443</v>
      </c>
      <c r="C431">
        <v>46</v>
      </c>
      <c r="D431">
        <v>5</v>
      </c>
      <c r="E431">
        <v>248</v>
      </c>
      <c r="F431" t="s">
        <v>276</v>
      </c>
      <c r="G431" t="s">
        <v>277</v>
      </c>
      <c r="H431" t="s">
        <v>19</v>
      </c>
      <c r="I431">
        <v>30</v>
      </c>
      <c r="J431" t="s">
        <v>84</v>
      </c>
      <c r="K431" t="str">
        <f>_xlfn.XLOOKUP( ventas[[#This Row],[ciudad_cliente]],  ciudades[Ciudad], ciudades[Region])</f>
        <v>Coquimbo</v>
      </c>
      <c r="L431" t="s">
        <v>38</v>
      </c>
      <c r="M431" t="s">
        <v>56</v>
      </c>
      <c r="N431" t="str">
        <f>_xlfn.XLOOKUP(ventas[[#This Row],[producto]], categ[Producto], categ[Categoria])</f>
        <v>Vestuario</v>
      </c>
      <c r="O431">
        <v>25000</v>
      </c>
      <c r="P431">
        <v>1</v>
      </c>
      <c r="Q431" s="11">
        <v>0</v>
      </c>
      <c r="R431">
        <f>(ventas[[#This Row],[precio_unitario]]*ventas[[#This Row],[cantidad]])</f>
        <v>25000</v>
      </c>
      <c r="S431">
        <f>ventas[[#This Row],[Total_Productos]]*ventas[[#This Row],[descuento_pct]]</f>
        <v>0</v>
      </c>
      <c r="T431">
        <f>ventas[[#This Row],[Total_Productos]]-ventas[[#This Row],[Valor_descuento]]</f>
        <v>25000</v>
      </c>
    </row>
    <row r="432" spans="1:20" x14ac:dyDescent="0.3">
      <c r="A432">
        <v>98</v>
      </c>
      <c r="B432" s="1">
        <v>45025</v>
      </c>
      <c r="C432">
        <v>6</v>
      </c>
      <c r="D432">
        <v>2</v>
      </c>
      <c r="E432">
        <v>61</v>
      </c>
      <c r="F432" t="s">
        <v>223</v>
      </c>
      <c r="G432" t="s">
        <v>224</v>
      </c>
      <c r="H432" t="s">
        <v>42</v>
      </c>
      <c r="I432">
        <v>32</v>
      </c>
      <c r="J432" t="s">
        <v>52</v>
      </c>
      <c r="K432" t="str">
        <f>_xlfn.XLOOKUP( ventas[[#This Row],[ciudad_cliente]],  ciudades[Ciudad], ciudades[Region])</f>
        <v>Biobío</v>
      </c>
      <c r="L432" t="s">
        <v>22</v>
      </c>
      <c r="M432" t="s">
        <v>62</v>
      </c>
      <c r="N432" t="str">
        <f>_xlfn.XLOOKUP(ventas[[#This Row],[producto]], categ[Producto], categ[Categoria])</f>
        <v>Electrohogar</v>
      </c>
      <c r="O432">
        <v>650000</v>
      </c>
      <c r="P432">
        <v>1</v>
      </c>
      <c r="Q432" s="11">
        <v>0</v>
      </c>
      <c r="R432">
        <f>(ventas[[#This Row],[precio_unitario]]*ventas[[#This Row],[cantidad]])</f>
        <v>650000</v>
      </c>
      <c r="S432">
        <f>ventas[[#This Row],[Total_Productos]]*ventas[[#This Row],[descuento_pct]]</f>
        <v>0</v>
      </c>
      <c r="T432">
        <f>ventas[[#This Row],[Total_Productos]]-ventas[[#This Row],[Valor_descuento]]</f>
        <v>650000</v>
      </c>
    </row>
    <row r="433" spans="1:20" x14ac:dyDescent="0.3">
      <c r="A433">
        <v>324</v>
      </c>
      <c r="B433" s="1">
        <v>45251</v>
      </c>
      <c r="C433">
        <v>17</v>
      </c>
      <c r="D433">
        <v>0</v>
      </c>
      <c r="E433">
        <v>61</v>
      </c>
      <c r="F433" t="s">
        <v>223</v>
      </c>
      <c r="G433" t="s">
        <v>224</v>
      </c>
      <c r="H433" t="s">
        <v>42</v>
      </c>
      <c r="I433">
        <v>32</v>
      </c>
      <c r="J433" t="s">
        <v>34</v>
      </c>
      <c r="K433" t="str">
        <f>_xlfn.XLOOKUP( ventas[[#This Row],[ciudad_cliente]],  ciudades[Ciudad], ciudades[Region])</f>
        <v>Metropolitana</v>
      </c>
      <c r="L433" t="s">
        <v>29</v>
      </c>
      <c r="M433" t="s">
        <v>62</v>
      </c>
      <c r="N433" t="str">
        <f>_xlfn.XLOOKUP(ventas[[#This Row],[producto]], categ[Producto], categ[Categoria])</f>
        <v>Electrohogar</v>
      </c>
      <c r="O433">
        <v>650000</v>
      </c>
      <c r="P433">
        <v>3</v>
      </c>
      <c r="Q433" s="11">
        <v>0</v>
      </c>
      <c r="R433">
        <f>(ventas[[#This Row],[precio_unitario]]*ventas[[#This Row],[cantidad]])</f>
        <v>1950000</v>
      </c>
      <c r="S433">
        <f>ventas[[#This Row],[Total_Productos]]*ventas[[#This Row],[descuento_pct]]</f>
        <v>0</v>
      </c>
      <c r="T433">
        <f>ventas[[#This Row],[Total_Productos]]-ventas[[#This Row],[Valor_descuento]]</f>
        <v>1950000</v>
      </c>
    </row>
    <row r="434" spans="1:20" x14ac:dyDescent="0.3">
      <c r="A434">
        <v>443</v>
      </c>
      <c r="B434" s="1">
        <v>45370</v>
      </c>
      <c r="C434">
        <v>4</v>
      </c>
      <c r="D434">
        <v>3</v>
      </c>
      <c r="E434">
        <v>61</v>
      </c>
      <c r="F434" t="s">
        <v>223</v>
      </c>
      <c r="G434" t="s">
        <v>224</v>
      </c>
      <c r="H434" t="s">
        <v>42</v>
      </c>
      <c r="I434">
        <v>32</v>
      </c>
      <c r="J434" t="s">
        <v>52</v>
      </c>
      <c r="K434" t="str">
        <f>_xlfn.XLOOKUP( ventas[[#This Row],[ciudad_cliente]],  ciudades[Ciudad], ciudades[Region])</f>
        <v>Biobío</v>
      </c>
      <c r="L434" t="s">
        <v>22</v>
      </c>
      <c r="M434" t="s">
        <v>56</v>
      </c>
      <c r="N434" t="str">
        <f>_xlfn.XLOOKUP(ventas[[#This Row],[producto]], categ[Producto], categ[Categoria])</f>
        <v>Vestuario</v>
      </c>
      <c r="O434">
        <v>25000</v>
      </c>
      <c r="P434">
        <v>2</v>
      </c>
      <c r="Q434" s="11">
        <v>0.1</v>
      </c>
      <c r="R434">
        <f>(ventas[[#This Row],[precio_unitario]]*ventas[[#This Row],[cantidad]])</f>
        <v>50000</v>
      </c>
      <c r="S434">
        <f>ventas[[#This Row],[Total_Productos]]*ventas[[#This Row],[descuento_pct]]</f>
        <v>5000</v>
      </c>
      <c r="T434">
        <f>ventas[[#This Row],[Total_Productos]]-ventas[[#This Row],[Valor_descuento]]</f>
        <v>45000</v>
      </c>
    </row>
    <row r="435" spans="1:20" x14ac:dyDescent="0.3">
      <c r="A435">
        <v>533</v>
      </c>
      <c r="B435" s="1">
        <v>45460</v>
      </c>
      <c r="C435">
        <v>44</v>
      </c>
      <c r="D435">
        <v>7</v>
      </c>
      <c r="E435">
        <v>61</v>
      </c>
      <c r="F435" t="s">
        <v>223</v>
      </c>
      <c r="G435" t="s">
        <v>224</v>
      </c>
      <c r="H435" t="s">
        <v>42</v>
      </c>
      <c r="I435">
        <v>32</v>
      </c>
      <c r="J435" t="s">
        <v>43</v>
      </c>
      <c r="K435" t="str">
        <f>_xlfn.XLOOKUP( ventas[[#This Row],[ciudad_cliente]],  ciudades[Ciudad], ciudades[Region])</f>
        <v>Antofagasta</v>
      </c>
      <c r="L435" t="s">
        <v>29</v>
      </c>
      <c r="M435" t="s">
        <v>69</v>
      </c>
      <c r="N435" t="str">
        <f>_xlfn.XLOOKUP(ventas[[#This Row],[producto]], categ[Producto], categ[Categoria])</f>
        <v>Tecnología</v>
      </c>
      <c r="O435">
        <v>450000</v>
      </c>
      <c r="P435">
        <v>1</v>
      </c>
      <c r="Q435" s="11">
        <v>0</v>
      </c>
      <c r="R435">
        <f>(ventas[[#This Row],[precio_unitario]]*ventas[[#This Row],[cantidad]])</f>
        <v>450000</v>
      </c>
      <c r="S435">
        <f>ventas[[#This Row],[Total_Productos]]*ventas[[#This Row],[descuento_pct]]</f>
        <v>0</v>
      </c>
      <c r="T435">
        <f>ventas[[#This Row],[Total_Productos]]-ventas[[#This Row],[Valor_descuento]]</f>
        <v>450000</v>
      </c>
    </row>
    <row r="436" spans="1:20" x14ac:dyDescent="0.3">
      <c r="A436">
        <v>800</v>
      </c>
      <c r="B436" s="1">
        <v>45727</v>
      </c>
      <c r="C436">
        <v>41</v>
      </c>
      <c r="D436">
        <v>4</v>
      </c>
      <c r="E436">
        <v>61</v>
      </c>
      <c r="F436" t="s">
        <v>223</v>
      </c>
      <c r="G436" t="s">
        <v>224</v>
      </c>
      <c r="H436" t="s">
        <v>42</v>
      </c>
      <c r="I436">
        <v>32</v>
      </c>
      <c r="J436" t="s">
        <v>43</v>
      </c>
      <c r="K436" t="str">
        <f>_xlfn.XLOOKUP( ventas[[#This Row],[ciudad_cliente]],  ciudades[Ciudad], ciudades[Region])</f>
        <v>Antofagasta</v>
      </c>
      <c r="L436" t="s">
        <v>22</v>
      </c>
      <c r="M436" t="s">
        <v>56</v>
      </c>
      <c r="N436" t="str">
        <f>_xlfn.XLOOKUP(ventas[[#This Row],[producto]], categ[Producto], categ[Categoria])</f>
        <v>Vestuario</v>
      </c>
      <c r="O436">
        <v>25000</v>
      </c>
      <c r="P436">
        <v>1</v>
      </c>
      <c r="Q436" s="11">
        <v>0</v>
      </c>
      <c r="R436">
        <f>(ventas[[#This Row],[precio_unitario]]*ventas[[#This Row],[cantidad]])</f>
        <v>25000</v>
      </c>
      <c r="S436">
        <f>ventas[[#This Row],[Total_Productos]]*ventas[[#This Row],[descuento_pct]]</f>
        <v>0</v>
      </c>
      <c r="T436">
        <f>ventas[[#This Row],[Total_Productos]]-ventas[[#This Row],[Valor_descuento]]</f>
        <v>25000</v>
      </c>
    </row>
    <row r="437" spans="1:20" x14ac:dyDescent="0.3">
      <c r="A437">
        <v>170</v>
      </c>
      <c r="B437" s="1">
        <v>45097</v>
      </c>
      <c r="C437">
        <v>1</v>
      </c>
      <c r="D437">
        <v>8</v>
      </c>
      <c r="E437">
        <v>93</v>
      </c>
      <c r="F437" t="s">
        <v>322</v>
      </c>
      <c r="G437" t="s">
        <v>323</v>
      </c>
      <c r="H437" t="s">
        <v>42</v>
      </c>
      <c r="I437">
        <v>29</v>
      </c>
      <c r="J437" t="s">
        <v>34</v>
      </c>
      <c r="K437" t="str">
        <f>_xlfn.XLOOKUP( ventas[[#This Row],[ciudad_cliente]],  ciudades[Ciudad], ciudades[Region])</f>
        <v>Metropolitana</v>
      </c>
      <c r="L437" t="s">
        <v>38</v>
      </c>
      <c r="M437" t="s">
        <v>98</v>
      </c>
      <c r="N437" t="str">
        <f>_xlfn.XLOOKUP(ventas[[#This Row],[producto]], categ[Producto], categ[Categoria])</f>
        <v>Calzado</v>
      </c>
      <c r="O437">
        <v>55000</v>
      </c>
      <c r="P437">
        <v>2</v>
      </c>
      <c r="Q437" s="11">
        <v>0.1</v>
      </c>
      <c r="R437">
        <f>(ventas[[#This Row],[precio_unitario]]*ventas[[#This Row],[cantidad]])</f>
        <v>110000</v>
      </c>
      <c r="S437">
        <f>ventas[[#This Row],[Total_Productos]]*ventas[[#This Row],[descuento_pct]]</f>
        <v>11000</v>
      </c>
      <c r="T437">
        <f>ventas[[#This Row],[Total_Productos]]-ventas[[#This Row],[Valor_descuento]]</f>
        <v>99000</v>
      </c>
    </row>
    <row r="438" spans="1:20" x14ac:dyDescent="0.3">
      <c r="A438">
        <v>607</v>
      </c>
      <c r="B438" s="1">
        <v>45534</v>
      </c>
      <c r="C438">
        <v>51</v>
      </c>
      <c r="D438">
        <v>7</v>
      </c>
      <c r="E438">
        <v>93</v>
      </c>
      <c r="F438" t="s">
        <v>322</v>
      </c>
      <c r="G438" t="s">
        <v>323</v>
      </c>
      <c r="H438" t="s">
        <v>42</v>
      </c>
      <c r="I438">
        <v>29</v>
      </c>
      <c r="J438" t="s">
        <v>101</v>
      </c>
      <c r="K438" t="str">
        <f>_xlfn.XLOOKUP( ventas[[#This Row],[ciudad_cliente]],  ciudades[Ciudad], ciudades[Region])</f>
        <v>O'Higgins</v>
      </c>
      <c r="L438" t="s">
        <v>29</v>
      </c>
      <c r="M438" t="s">
        <v>62</v>
      </c>
      <c r="N438" t="str">
        <f>_xlfn.XLOOKUP(ventas[[#This Row],[producto]], categ[Producto], categ[Categoria])</f>
        <v>Electrohogar</v>
      </c>
      <c r="O438">
        <v>650000</v>
      </c>
      <c r="P438">
        <v>1</v>
      </c>
      <c r="Q438" s="11">
        <v>0.05</v>
      </c>
      <c r="R438">
        <f>(ventas[[#This Row],[precio_unitario]]*ventas[[#This Row],[cantidad]])</f>
        <v>650000</v>
      </c>
      <c r="S438">
        <f>ventas[[#This Row],[Total_Productos]]*ventas[[#This Row],[descuento_pct]]</f>
        <v>32500</v>
      </c>
      <c r="T438">
        <f>ventas[[#This Row],[Total_Productos]]-ventas[[#This Row],[Valor_descuento]]</f>
        <v>617500</v>
      </c>
    </row>
    <row r="439" spans="1:20" x14ac:dyDescent="0.3">
      <c r="A439">
        <v>727</v>
      </c>
      <c r="B439" s="1">
        <v>45654</v>
      </c>
      <c r="C439">
        <v>30</v>
      </c>
      <c r="D439">
        <v>0</v>
      </c>
      <c r="E439">
        <v>93</v>
      </c>
      <c r="F439" t="s">
        <v>322</v>
      </c>
      <c r="G439" t="s">
        <v>323</v>
      </c>
      <c r="H439" t="s">
        <v>42</v>
      </c>
      <c r="I439">
        <v>29</v>
      </c>
      <c r="J439" t="s">
        <v>37</v>
      </c>
      <c r="K439" t="str">
        <f>_xlfn.XLOOKUP( ventas[[#This Row],[ciudad_cliente]],  ciudades[Ciudad], ciudades[Region])</f>
        <v>Valparaíso</v>
      </c>
      <c r="L439" t="s">
        <v>38</v>
      </c>
      <c r="M439" t="s">
        <v>49</v>
      </c>
      <c r="N439" t="str">
        <f>_xlfn.XLOOKUP(ventas[[#This Row],[producto]], categ[Producto], categ[Categoria])</f>
        <v>Electrohogar</v>
      </c>
      <c r="O439">
        <v>800000</v>
      </c>
      <c r="P439">
        <v>3</v>
      </c>
      <c r="Q439" s="11">
        <v>0.1</v>
      </c>
      <c r="R439">
        <f>(ventas[[#This Row],[precio_unitario]]*ventas[[#This Row],[cantidad]])</f>
        <v>2400000</v>
      </c>
      <c r="S439">
        <f>ventas[[#This Row],[Total_Productos]]*ventas[[#This Row],[descuento_pct]]</f>
        <v>240000</v>
      </c>
      <c r="T439">
        <f>ventas[[#This Row],[Total_Productos]]-ventas[[#This Row],[Valor_descuento]]</f>
        <v>2160000</v>
      </c>
    </row>
    <row r="440" spans="1:20" x14ac:dyDescent="0.3">
      <c r="A440">
        <v>763</v>
      </c>
      <c r="B440" s="1">
        <v>45690</v>
      </c>
      <c r="C440">
        <v>55</v>
      </c>
      <c r="D440">
        <v>9</v>
      </c>
      <c r="E440">
        <v>93</v>
      </c>
      <c r="F440" t="s">
        <v>322</v>
      </c>
      <c r="G440" t="s">
        <v>323</v>
      </c>
      <c r="H440" t="s">
        <v>42</v>
      </c>
      <c r="I440">
        <v>29</v>
      </c>
      <c r="J440" t="s">
        <v>43</v>
      </c>
      <c r="K440" t="str">
        <f>_xlfn.XLOOKUP( ventas[[#This Row],[ciudad_cliente]],  ciudades[Ciudad], ciudades[Region])</f>
        <v>Antofagasta</v>
      </c>
      <c r="L440" t="s">
        <v>38</v>
      </c>
      <c r="M440" t="s">
        <v>69</v>
      </c>
      <c r="N440" t="str">
        <f>_xlfn.XLOOKUP(ventas[[#This Row],[producto]], categ[Producto], categ[Categoria])</f>
        <v>Tecnología</v>
      </c>
      <c r="O440">
        <v>450000</v>
      </c>
      <c r="P440">
        <v>3</v>
      </c>
      <c r="Q440" s="11">
        <v>0.05</v>
      </c>
      <c r="R440">
        <f>(ventas[[#This Row],[precio_unitario]]*ventas[[#This Row],[cantidad]])</f>
        <v>1350000</v>
      </c>
      <c r="S440">
        <f>ventas[[#This Row],[Total_Productos]]*ventas[[#This Row],[descuento_pct]]</f>
        <v>67500</v>
      </c>
      <c r="T440">
        <f>ventas[[#This Row],[Total_Productos]]-ventas[[#This Row],[Valor_descuento]]</f>
        <v>1282500</v>
      </c>
    </row>
    <row r="441" spans="1:20" x14ac:dyDescent="0.3">
      <c r="A441">
        <v>60</v>
      </c>
      <c r="B441" s="1">
        <v>44987</v>
      </c>
      <c r="C441">
        <v>61</v>
      </c>
      <c r="D441">
        <v>3</v>
      </c>
      <c r="E441">
        <v>195</v>
      </c>
      <c r="F441" t="s">
        <v>161</v>
      </c>
      <c r="G441" t="s">
        <v>162</v>
      </c>
      <c r="H441" t="s">
        <v>42</v>
      </c>
      <c r="I441">
        <v>40</v>
      </c>
      <c r="J441" t="s">
        <v>52</v>
      </c>
      <c r="K441" t="str">
        <f>_xlfn.XLOOKUP( ventas[[#This Row],[ciudad_cliente]],  ciudades[Ciudad], ciudades[Region])</f>
        <v>Biobío</v>
      </c>
      <c r="L441" t="s">
        <v>29</v>
      </c>
      <c r="M441" t="s">
        <v>98</v>
      </c>
      <c r="N441" t="str">
        <f>_xlfn.XLOOKUP(ventas[[#This Row],[producto]], categ[Producto], categ[Categoria])</f>
        <v>Calzado</v>
      </c>
      <c r="O441">
        <v>55000</v>
      </c>
      <c r="P441">
        <v>3</v>
      </c>
      <c r="Q441" s="11">
        <v>0</v>
      </c>
      <c r="R441">
        <f>(ventas[[#This Row],[precio_unitario]]*ventas[[#This Row],[cantidad]])</f>
        <v>165000</v>
      </c>
      <c r="S441">
        <f>ventas[[#This Row],[Total_Productos]]*ventas[[#This Row],[descuento_pct]]</f>
        <v>0</v>
      </c>
      <c r="T441">
        <f>ventas[[#This Row],[Total_Productos]]-ventas[[#This Row],[Valor_descuento]]</f>
        <v>165000</v>
      </c>
    </row>
    <row r="442" spans="1:20" x14ac:dyDescent="0.3">
      <c r="A442">
        <v>132</v>
      </c>
      <c r="B442" s="1">
        <v>45059</v>
      </c>
      <c r="C442">
        <v>53</v>
      </c>
      <c r="D442">
        <v>1</v>
      </c>
      <c r="E442">
        <v>195</v>
      </c>
      <c r="F442" t="s">
        <v>161</v>
      </c>
      <c r="G442" t="s">
        <v>162</v>
      </c>
      <c r="H442" t="s">
        <v>42</v>
      </c>
      <c r="I442">
        <v>40</v>
      </c>
      <c r="J442" t="s">
        <v>76</v>
      </c>
      <c r="K442" t="str">
        <f>_xlfn.XLOOKUP( ventas[[#This Row],[ciudad_cliente]],  ciudades[Ciudad], ciudades[Region])</f>
        <v>Los Lagos</v>
      </c>
      <c r="L442" t="s">
        <v>22</v>
      </c>
      <c r="M442" t="s">
        <v>102</v>
      </c>
      <c r="N442" t="str">
        <f>_xlfn.XLOOKUP(ventas[[#This Row],[producto]], categ[Producto], categ[Categoria])</f>
        <v>Vestuario</v>
      </c>
      <c r="O442">
        <v>12000</v>
      </c>
      <c r="P442">
        <v>2</v>
      </c>
      <c r="Q442" s="11">
        <v>0.1</v>
      </c>
      <c r="R442">
        <f>(ventas[[#This Row],[precio_unitario]]*ventas[[#This Row],[cantidad]])</f>
        <v>24000</v>
      </c>
      <c r="S442">
        <f>ventas[[#This Row],[Total_Productos]]*ventas[[#This Row],[descuento_pct]]</f>
        <v>2400</v>
      </c>
      <c r="T442">
        <f>ventas[[#This Row],[Total_Productos]]-ventas[[#This Row],[Valor_descuento]]</f>
        <v>21600</v>
      </c>
    </row>
    <row r="443" spans="1:20" x14ac:dyDescent="0.3">
      <c r="A443">
        <v>200</v>
      </c>
      <c r="B443" s="1">
        <v>45127</v>
      </c>
      <c r="C443">
        <v>68</v>
      </c>
      <c r="D443">
        <v>2</v>
      </c>
      <c r="E443">
        <v>195</v>
      </c>
      <c r="F443" t="s">
        <v>161</v>
      </c>
      <c r="G443" t="s">
        <v>162</v>
      </c>
      <c r="H443" t="s">
        <v>42</v>
      </c>
      <c r="I443">
        <v>40</v>
      </c>
      <c r="J443" t="s">
        <v>34</v>
      </c>
      <c r="K443" t="str">
        <f>_xlfn.XLOOKUP( ventas[[#This Row],[ciudad_cliente]],  ciudades[Ciudad], ciudades[Region])</f>
        <v>Metropolitana</v>
      </c>
      <c r="L443" t="s">
        <v>29</v>
      </c>
      <c r="M443" t="s">
        <v>23</v>
      </c>
      <c r="N443" t="str">
        <f>_xlfn.XLOOKUP(ventas[[#This Row],[producto]], categ[Producto], categ[Categoria])</f>
        <v>Belleza</v>
      </c>
      <c r="O443">
        <v>15000</v>
      </c>
      <c r="P443">
        <v>3</v>
      </c>
      <c r="Q443" s="11">
        <v>0</v>
      </c>
      <c r="R443">
        <f>(ventas[[#This Row],[precio_unitario]]*ventas[[#This Row],[cantidad]])</f>
        <v>45000</v>
      </c>
      <c r="S443">
        <f>ventas[[#This Row],[Total_Productos]]*ventas[[#This Row],[descuento_pct]]</f>
        <v>0</v>
      </c>
      <c r="T443">
        <f>ventas[[#This Row],[Total_Productos]]-ventas[[#This Row],[Valor_descuento]]</f>
        <v>45000</v>
      </c>
    </row>
    <row r="444" spans="1:20" x14ac:dyDescent="0.3">
      <c r="A444">
        <v>63</v>
      </c>
      <c r="B444" s="1">
        <v>44990</v>
      </c>
      <c r="C444">
        <v>41</v>
      </c>
      <c r="D444">
        <v>4</v>
      </c>
      <c r="E444">
        <v>184</v>
      </c>
      <c r="F444" t="s">
        <v>165</v>
      </c>
      <c r="G444" t="s">
        <v>166</v>
      </c>
      <c r="H444" t="s">
        <v>19</v>
      </c>
      <c r="I444">
        <v>43</v>
      </c>
      <c r="J444" t="s">
        <v>43</v>
      </c>
      <c r="K444" t="str">
        <f>_xlfn.XLOOKUP( ventas[[#This Row],[ciudad_cliente]],  ciudades[Ciudad], ciudades[Region])</f>
        <v>Antofagasta</v>
      </c>
      <c r="L444" t="s">
        <v>29</v>
      </c>
      <c r="M444" t="s">
        <v>62</v>
      </c>
      <c r="N444" t="str">
        <f>_xlfn.XLOOKUP(ventas[[#This Row],[producto]], categ[Producto], categ[Categoria])</f>
        <v>Electrohogar</v>
      </c>
      <c r="O444">
        <v>650000</v>
      </c>
      <c r="P444">
        <v>3</v>
      </c>
      <c r="Q444" s="11">
        <v>0</v>
      </c>
      <c r="R444">
        <f>(ventas[[#This Row],[precio_unitario]]*ventas[[#This Row],[cantidad]])</f>
        <v>1950000</v>
      </c>
      <c r="S444">
        <f>ventas[[#This Row],[Total_Productos]]*ventas[[#This Row],[descuento_pct]]</f>
        <v>0</v>
      </c>
      <c r="T444">
        <f>ventas[[#This Row],[Total_Productos]]-ventas[[#This Row],[Valor_descuento]]</f>
        <v>1950000</v>
      </c>
    </row>
    <row r="445" spans="1:20" x14ac:dyDescent="0.3">
      <c r="A445">
        <v>377</v>
      </c>
      <c r="B445" s="1">
        <v>45304</v>
      </c>
      <c r="C445">
        <v>27</v>
      </c>
      <c r="D445">
        <v>4</v>
      </c>
      <c r="E445">
        <v>184</v>
      </c>
      <c r="F445" t="s">
        <v>165</v>
      </c>
      <c r="G445" t="s">
        <v>166</v>
      </c>
      <c r="H445" t="s">
        <v>19</v>
      </c>
      <c r="I445">
        <v>43</v>
      </c>
      <c r="J445" t="s">
        <v>116</v>
      </c>
      <c r="K445" t="str">
        <f>_xlfn.XLOOKUP( ventas[[#This Row],[ciudad_cliente]],  ciudades[Ciudad], ciudades[Region])</f>
        <v>Valparaíso</v>
      </c>
      <c r="L445" t="s">
        <v>29</v>
      </c>
      <c r="M445" t="s">
        <v>56</v>
      </c>
      <c r="N445" t="str">
        <f>_xlfn.XLOOKUP(ventas[[#This Row],[producto]], categ[Producto], categ[Categoria])</f>
        <v>Vestuario</v>
      </c>
      <c r="O445">
        <v>25000</v>
      </c>
      <c r="P445">
        <v>3</v>
      </c>
      <c r="Q445" s="11">
        <v>0.1</v>
      </c>
      <c r="R445">
        <f>(ventas[[#This Row],[precio_unitario]]*ventas[[#This Row],[cantidad]])</f>
        <v>75000</v>
      </c>
      <c r="S445">
        <f>ventas[[#This Row],[Total_Productos]]*ventas[[#This Row],[descuento_pct]]</f>
        <v>7500</v>
      </c>
      <c r="T445">
        <f>ventas[[#This Row],[Total_Productos]]-ventas[[#This Row],[Valor_descuento]]</f>
        <v>67500</v>
      </c>
    </row>
    <row r="446" spans="1:20" x14ac:dyDescent="0.3">
      <c r="A446">
        <v>678</v>
      </c>
      <c r="B446" s="1">
        <v>45605</v>
      </c>
      <c r="C446">
        <v>1</v>
      </c>
      <c r="D446">
        <v>8</v>
      </c>
      <c r="E446">
        <v>184</v>
      </c>
      <c r="F446" t="s">
        <v>165</v>
      </c>
      <c r="G446" t="s">
        <v>166</v>
      </c>
      <c r="H446" t="s">
        <v>19</v>
      </c>
      <c r="I446">
        <v>43</v>
      </c>
      <c r="J446" t="s">
        <v>34</v>
      </c>
      <c r="K446" t="str">
        <f>_xlfn.XLOOKUP( ventas[[#This Row],[ciudad_cliente]],  ciudades[Ciudad], ciudades[Region])</f>
        <v>Metropolitana</v>
      </c>
      <c r="L446" t="s">
        <v>38</v>
      </c>
      <c r="M446" t="s">
        <v>102</v>
      </c>
      <c r="N446" t="str">
        <f>_xlfn.XLOOKUP(ventas[[#This Row],[producto]], categ[Producto], categ[Categoria])</f>
        <v>Vestuario</v>
      </c>
      <c r="O446">
        <v>12000</v>
      </c>
      <c r="P446">
        <v>3</v>
      </c>
      <c r="Q446" s="11">
        <v>0</v>
      </c>
      <c r="R446">
        <f>(ventas[[#This Row],[precio_unitario]]*ventas[[#This Row],[cantidad]])</f>
        <v>36000</v>
      </c>
      <c r="S446">
        <f>ventas[[#This Row],[Total_Productos]]*ventas[[#This Row],[descuento_pct]]</f>
        <v>0</v>
      </c>
      <c r="T446">
        <f>ventas[[#This Row],[Total_Productos]]-ventas[[#This Row],[Valor_descuento]]</f>
        <v>36000</v>
      </c>
    </row>
    <row r="447" spans="1:20" x14ac:dyDescent="0.3">
      <c r="A447">
        <v>679</v>
      </c>
      <c r="B447" s="1">
        <v>45606</v>
      </c>
      <c r="C447">
        <v>7</v>
      </c>
      <c r="D447">
        <v>8</v>
      </c>
      <c r="E447">
        <v>184</v>
      </c>
      <c r="F447" t="s">
        <v>165</v>
      </c>
      <c r="G447" t="s">
        <v>166</v>
      </c>
      <c r="H447" t="s">
        <v>19</v>
      </c>
      <c r="I447">
        <v>43</v>
      </c>
      <c r="J447" t="s">
        <v>37</v>
      </c>
      <c r="K447" t="str">
        <f>_xlfn.XLOOKUP( ventas[[#This Row],[ciudad_cliente]],  ciudades[Ciudad], ciudades[Region])</f>
        <v>Valparaíso</v>
      </c>
      <c r="L447" t="s">
        <v>38</v>
      </c>
      <c r="M447" t="s">
        <v>49</v>
      </c>
      <c r="N447" t="str">
        <f>_xlfn.XLOOKUP(ventas[[#This Row],[producto]], categ[Producto], categ[Categoria])</f>
        <v>Electrohogar</v>
      </c>
      <c r="O447">
        <v>800000</v>
      </c>
      <c r="P447">
        <v>2</v>
      </c>
      <c r="Q447" s="11">
        <v>0.05</v>
      </c>
      <c r="R447">
        <f>(ventas[[#This Row],[precio_unitario]]*ventas[[#This Row],[cantidad]])</f>
        <v>1600000</v>
      </c>
      <c r="S447">
        <f>ventas[[#This Row],[Total_Productos]]*ventas[[#This Row],[descuento_pct]]</f>
        <v>80000</v>
      </c>
      <c r="T447">
        <f>ventas[[#This Row],[Total_Productos]]-ventas[[#This Row],[Valor_descuento]]</f>
        <v>1520000</v>
      </c>
    </row>
    <row r="448" spans="1:20" x14ac:dyDescent="0.3">
      <c r="A448">
        <v>754</v>
      </c>
      <c r="B448" s="1">
        <v>45681</v>
      </c>
      <c r="C448">
        <v>47</v>
      </c>
      <c r="D448">
        <v>1</v>
      </c>
      <c r="E448">
        <v>184</v>
      </c>
      <c r="F448" t="s">
        <v>165</v>
      </c>
      <c r="G448" t="s">
        <v>166</v>
      </c>
      <c r="H448" t="s">
        <v>19</v>
      </c>
      <c r="I448">
        <v>43</v>
      </c>
      <c r="J448" t="s">
        <v>116</v>
      </c>
      <c r="K448" t="str">
        <f>_xlfn.XLOOKUP( ventas[[#This Row],[ciudad_cliente]],  ciudades[Ciudad], ciudades[Region])</f>
        <v>Valparaíso</v>
      </c>
      <c r="L448" t="s">
        <v>29</v>
      </c>
      <c r="M448" t="s">
        <v>49</v>
      </c>
      <c r="N448" t="str">
        <f>_xlfn.XLOOKUP(ventas[[#This Row],[producto]], categ[Producto], categ[Categoria])</f>
        <v>Electrohogar</v>
      </c>
      <c r="O448">
        <v>800000</v>
      </c>
      <c r="P448">
        <v>3</v>
      </c>
      <c r="Q448" s="11">
        <v>0.05</v>
      </c>
      <c r="R448">
        <f>(ventas[[#This Row],[precio_unitario]]*ventas[[#This Row],[cantidad]])</f>
        <v>2400000</v>
      </c>
      <c r="S448">
        <f>ventas[[#This Row],[Total_Productos]]*ventas[[#This Row],[descuento_pct]]</f>
        <v>120000</v>
      </c>
      <c r="T448">
        <f>ventas[[#This Row],[Total_Productos]]-ventas[[#This Row],[Valor_descuento]]</f>
        <v>2280000</v>
      </c>
    </row>
    <row r="449" spans="1:20" x14ac:dyDescent="0.3">
      <c r="A449">
        <v>902</v>
      </c>
      <c r="B449" s="1">
        <v>45829</v>
      </c>
      <c r="C449">
        <v>53</v>
      </c>
      <c r="D449">
        <v>1</v>
      </c>
      <c r="E449">
        <v>184</v>
      </c>
      <c r="F449" t="s">
        <v>165</v>
      </c>
      <c r="G449" t="s">
        <v>166</v>
      </c>
      <c r="H449" t="s">
        <v>19</v>
      </c>
      <c r="I449">
        <v>43</v>
      </c>
      <c r="J449" t="s">
        <v>76</v>
      </c>
      <c r="K449" t="str">
        <f>_xlfn.XLOOKUP( ventas[[#This Row],[ciudad_cliente]],  ciudades[Ciudad], ciudades[Region])</f>
        <v>Los Lagos</v>
      </c>
      <c r="L449" t="s">
        <v>38</v>
      </c>
      <c r="M449" t="s">
        <v>62</v>
      </c>
      <c r="N449" t="str">
        <f>_xlfn.XLOOKUP(ventas[[#This Row],[producto]], categ[Producto], categ[Categoria])</f>
        <v>Electrohogar</v>
      </c>
      <c r="O449">
        <v>650000</v>
      </c>
      <c r="P449">
        <v>1</v>
      </c>
      <c r="Q449" s="11">
        <v>0.1</v>
      </c>
      <c r="R449">
        <f>(ventas[[#This Row],[precio_unitario]]*ventas[[#This Row],[cantidad]])</f>
        <v>650000</v>
      </c>
      <c r="S449">
        <f>ventas[[#This Row],[Total_Productos]]*ventas[[#This Row],[descuento_pct]]</f>
        <v>65000</v>
      </c>
      <c r="T449">
        <f>ventas[[#This Row],[Total_Productos]]-ventas[[#This Row],[Valor_descuento]]</f>
        <v>585000</v>
      </c>
    </row>
    <row r="450" spans="1:20" x14ac:dyDescent="0.3">
      <c r="A450">
        <v>47</v>
      </c>
      <c r="B450" s="1">
        <v>44974</v>
      </c>
      <c r="C450">
        <v>25</v>
      </c>
      <c r="D450">
        <v>3</v>
      </c>
      <c r="E450">
        <v>268</v>
      </c>
      <c r="F450" t="s">
        <v>138</v>
      </c>
      <c r="G450" t="s">
        <v>139</v>
      </c>
      <c r="H450" t="s">
        <v>19</v>
      </c>
      <c r="I450">
        <v>20</v>
      </c>
      <c r="J450" t="s">
        <v>76</v>
      </c>
      <c r="K450" t="str">
        <f>_xlfn.XLOOKUP( ventas[[#This Row],[ciudad_cliente]],  ciudades[Ciudad], ciudades[Region])</f>
        <v>Los Lagos</v>
      </c>
      <c r="L450" t="s">
        <v>29</v>
      </c>
      <c r="M450" t="s">
        <v>69</v>
      </c>
      <c r="N450" t="str">
        <f>_xlfn.XLOOKUP(ventas[[#This Row],[producto]], categ[Producto], categ[Categoria])</f>
        <v>Tecnología</v>
      </c>
      <c r="O450">
        <v>450000</v>
      </c>
      <c r="P450">
        <v>3</v>
      </c>
      <c r="Q450" s="11">
        <v>0</v>
      </c>
      <c r="R450">
        <f>(ventas[[#This Row],[precio_unitario]]*ventas[[#This Row],[cantidad]])</f>
        <v>1350000</v>
      </c>
      <c r="S450">
        <f>ventas[[#This Row],[Total_Productos]]*ventas[[#This Row],[descuento_pct]]</f>
        <v>0</v>
      </c>
      <c r="T450">
        <f>ventas[[#This Row],[Total_Productos]]-ventas[[#This Row],[Valor_descuento]]</f>
        <v>1350000</v>
      </c>
    </row>
    <row r="451" spans="1:20" x14ac:dyDescent="0.3">
      <c r="A451">
        <v>726</v>
      </c>
      <c r="B451" s="1">
        <v>45653</v>
      </c>
      <c r="C451">
        <v>20</v>
      </c>
      <c r="D451">
        <v>0</v>
      </c>
      <c r="E451">
        <v>268</v>
      </c>
      <c r="F451" t="s">
        <v>138</v>
      </c>
      <c r="G451" t="s">
        <v>139</v>
      </c>
      <c r="H451" t="s">
        <v>19</v>
      </c>
      <c r="I451">
        <v>20</v>
      </c>
      <c r="J451" t="s">
        <v>20</v>
      </c>
      <c r="K451" t="str">
        <f>_xlfn.XLOOKUP( ventas[[#This Row],[ciudad_cliente]],  ciudades[Ciudad], ciudades[Region])</f>
        <v>La Araucanía</v>
      </c>
      <c r="L451" t="s">
        <v>38</v>
      </c>
      <c r="M451" t="s">
        <v>30</v>
      </c>
      <c r="N451" t="str">
        <f>_xlfn.XLOOKUP(ventas[[#This Row],[producto]], categ[Producto], categ[Categoria])</f>
        <v>Electrohogar</v>
      </c>
      <c r="O451">
        <v>700000</v>
      </c>
      <c r="P451">
        <v>2</v>
      </c>
      <c r="Q451" s="11">
        <v>0.05</v>
      </c>
      <c r="R451">
        <f>(ventas[[#This Row],[precio_unitario]]*ventas[[#This Row],[cantidad]])</f>
        <v>1400000</v>
      </c>
      <c r="S451">
        <f>ventas[[#This Row],[Total_Productos]]*ventas[[#This Row],[descuento_pct]]</f>
        <v>70000</v>
      </c>
      <c r="T451">
        <f>ventas[[#This Row],[Total_Productos]]-ventas[[#This Row],[Valor_descuento]]</f>
        <v>1330000</v>
      </c>
    </row>
    <row r="452" spans="1:20" x14ac:dyDescent="0.3">
      <c r="A452">
        <v>971</v>
      </c>
      <c r="B452" s="1">
        <v>45898</v>
      </c>
      <c r="C452">
        <v>12</v>
      </c>
      <c r="D452">
        <v>0</v>
      </c>
      <c r="E452">
        <v>268</v>
      </c>
      <c r="F452" t="s">
        <v>138</v>
      </c>
      <c r="G452" t="s">
        <v>139</v>
      </c>
      <c r="H452" t="s">
        <v>19</v>
      </c>
      <c r="I452">
        <v>20</v>
      </c>
      <c r="J452" t="s">
        <v>116</v>
      </c>
      <c r="K452" t="str">
        <f>_xlfn.XLOOKUP( ventas[[#This Row],[ciudad_cliente]],  ciudades[Ciudad], ciudades[Region])</f>
        <v>Valparaíso</v>
      </c>
      <c r="L452" t="s">
        <v>38</v>
      </c>
      <c r="M452" t="s">
        <v>30</v>
      </c>
      <c r="N452" t="str">
        <f>_xlfn.XLOOKUP(ventas[[#This Row],[producto]], categ[Producto], categ[Categoria])</f>
        <v>Electrohogar</v>
      </c>
      <c r="O452">
        <v>700000</v>
      </c>
      <c r="P452">
        <v>2</v>
      </c>
      <c r="Q452" s="11">
        <v>0.1</v>
      </c>
      <c r="R452">
        <f>(ventas[[#This Row],[precio_unitario]]*ventas[[#This Row],[cantidad]])</f>
        <v>1400000</v>
      </c>
      <c r="S452">
        <f>ventas[[#This Row],[Total_Productos]]*ventas[[#This Row],[descuento_pct]]</f>
        <v>140000</v>
      </c>
      <c r="T452">
        <f>ventas[[#This Row],[Total_Productos]]-ventas[[#This Row],[Valor_descuento]]</f>
        <v>1260000</v>
      </c>
    </row>
    <row r="453" spans="1:20" x14ac:dyDescent="0.3">
      <c r="A453">
        <v>38</v>
      </c>
      <c r="B453" s="1">
        <v>44965</v>
      </c>
      <c r="C453">
        <v>24</v>
      </c>
      <c r="D453">
        <v>3</v>
      </c>
      <c r="E453">
        <v>212</v>
      </c>
      <c r="F453" t="s">
        <v>124</v>
      </c>
      <c r="G453" t="s">
        <v>125</v>
      </c>
      <c r="H453" t="s">
        <v>19</v>
      </c>
      <c r="I453">
        <v>51</v>
      </c>
      <c r="J453" t="s">
        <v>84</v>
      </c>
      <c r="K453" t="str">
        <f>_xlfn.XLOOKUP( ventas[[#This Row],[ciudad_cliente]],  ciudades[Ciudad], ciudades[Region])</f>
        <v>Coquimbo</v>
      </c>
      <c r="L453" t="s">
        <v>29</v>
      </c>
      <c r="M453" t="s">
        <v>46</v>
      </c>
      <c r="N453" t="str">
        <f>_xlfn.XLOOKUP(ventas[[#This Row],[producto]], categ[Producto], categ[Categoria])</f>
        <v>Tecnología</v>
      </c>
      <c r="O453">
        <v>750000</v>
      </c>
      <c r="P453">
        <v>3</v>
      </c>
      <c r="Q453" s="11">
        <v>0</v>
      </c>
      <c r="R453">
        <f>(ventas[[#This Row],[precio_unitario]]*ventas[[#This Row],[cantidad]])</f>
        <v>2250000</v>
      </c>
      <c r="S453">
        <f>ventas[[#This Row],[Total_Productos]]*ventas[[#This Row],[descuento_pct]]</f>
        <v>0</v>
      </c>
      <c r="T453">
        <f>ventas[[#This Row],[Total_Productos]]-ventas[[#This Row],[Valor_descuento]]</f>
        <v>2250000</v>
      </c>
    </row>
    <row r="454" spans="1:20" x14ac:dyDescent="0.3">
      <c r="A454">
        <v>929</v>
      </c>
      <c r="B454" s="1">
        <v>45856</v>
      </c>
      <c r="C454">
        <v>32</v>
      </c>
      <c r="D454">
        <v>5</v>
      </c>
      <c r="E454">
        <v>212</v>
      </c>
      <c r="F454" t="s">
        <v>124</v>
      </c>
      <c r="G454" t="s">
        <v>125</v>
      </c>
      <c r="H454" t="s">
        <v>19</v>
      </c>
      <c r="I454">
        <v>51</v>
      </c>
      <c r="J454" t="s">
        <v>76</v>
      </c>
      <c r="K454" t="str">
        <f>_xlfn.XLOOKUP( ventas[[#This Row],[ciudad_cliente]],  ciudades[Ciudad], ciudades[Region])</f>
        <v>Los Lagos</v>
      </c>
      <c r="L454" t="s">
        <v>38</v>
      </c>
      <c r="M454" t="s">
        <v>49</v>
      </c>
      <c r="N454" t="str">
        <f>_xlfn.XLOOKUP(ventas[[#This Row],[producto]], categ[Producto], categ[Categoria])</f>
        <v>Electrohogar</v>
      </c>
      <c r="O454">
        <v>800000</v>
      </c>
      <c r="P454">
        <v>2</v>
      </c>
      <c r="Q454" s="11">
        <v>0</v>
      </c>
      <c r="R454">
        <f>(ventas[[#This Row],[precio_unitario]]*ventas[[#This Row],[cantidad]])</f>
        <v>1600000</v>
      </c>
      <c r="S454">
        <f>ventas[[#This Row],[Total_Productos]]*ventas[[#This Row],[descuento_pct]]</f>
        <v>0</v>
      </c>
      <c r="T454">
        <f>ventas[[#This Row],[Total_Productos]]-ventas[[#This Row],[Valor_descuento]]</f>
        <v>1600000</v>
      </c>
    </row>
    <row r="455" spans="1:20" x14ac:dyDescent="0.3">
      <c r="A455">
        <v>379</v>
      </c>
      <c r="B455" s="1">
        <v>45306</v>
      </c>
      <c r="C455">
        <v>13</v>
      </c>
      <c r="D455">
        <v>0</v>
      </c>
      <c r="E455">
        <v>96</v>
      </c>
      <c r="F455" t="s">
        <v>494</v>
      </c>
      <c r="G455" t="s">
        <v>495</v>
      </c>
      <c r="H455" t="s">
        <v>19</v>
      </c>
      <c r="I455">
        <v>20</v>
      </c>
      <c r="J455" t="s">
        <v>27</v>
      </c>
      <c r="K455" t="str">
        <f>_xlfn.XLOOKUP( ventas[[#This Row],[ciudad_cliente]],  ciudades[Ciudad], ciudades[Region])</f>
        <v>Biobío</v>
      </c>
      <c r="L455" t="s">
        <v>38</v>
      </c>
      <c r="M455" t="s">
        <v>49</v>
      </c>
      <c r="N455" t="str">
        <f>_xlfn.XLOOKUP(ventas[[#This Row],[producto]], categ[Producto], categ[Categoria])</f>
        <v>Electrohogar</v>
      </c>
      <c r="O455">
        <v>800000</v>
      </c>
      <c r="P455">
        <v>2</v>
      </c>
      <c r="Q455" s="11">
        <v>0.1</v>
      </c>
      <c r="R455">
        <f>(ventas[[#This Row],[precio_unitario]]*ventas[[#This Row],[cantidad]])</f>
        <v>1600000</v>
      </c>
      <c r="S455">
        <f>ventas[[#This Row],[Total_Productos]]*ventas[[#This Row],[descuento_pct]]</f>
        <v>160000</v>
      </c>
      <c r="T455">
        <f>ventas[[#This Row],[Total_Productos]]-ventas[[#This Row],[Valor_descuento]]</f>
        <v>1440000</v>
      </c>
    </row>
    <row r="456" spans="1:20" x14ac:dyDescent="0.3">
      <c r="A456">
        <v>645</v>
      </c>
      <c r="B456" s="1">
        <v>45572</v>
      </c>
      <c r="C456">
        <v>13</v>
      </c>
      <c r="D456">
        <v>0</v>
      </c>
      <c r="E456">
        <v>96</v>
      </c>
      <c r="F456" t="s">
        <v>494</v>
      </c>
      <c r="G456" t="s">
        <v>495</v>
      </c>
      <c r="H456" t="s">
        <v>19</v>
      </c>
      <c r="I456">
        <v>20</v>
      </c>
      <c r="J456" t="s">
        <v>27</v>
      </c>
      <c r="K456" t="str">
        <f>_xlfn.XLOOKUP( ventas[[#This Row],[ciudad_cliente]],  ciudades[Ciudad], ciudades[Region])</f>
        <v>Biobío</v>
      </c>
      <c r="L456" t="s">
        <v>22</v>
      </c>
      <c r="M456" t="s">
        <v>46</v>
      </c>
      <c r="N456" t="str">
        <f>_xlfn.XLOOKUP(ventas[[#This Row],[producto]], categ[Producto], categ[Categoria])</f>
        <v>Tecnología</v>
      </c>
      <c r="O456">
        <v>750000</v>
      </c>
      <c r="P456">
        <v>3</v>
      </c>
      <c r="Q456" s="11">
        <v>0</v>
      </c>
      <c r="R456">
        <f>(ventas[[#This Row],[precio_unitario]]*ventas[[#This Row],[cantidad]])</f>
        <v>2250000</v>
      </c>
      <c r="S456">
        <f>ventas[[#This Row],[Total_Productos]]*ventas[[#This Row],[descuento_pct]]</f>
        <v>0</v>
      </c>
      <c r="T456">
        <f>ventas[[#This Row],[Total_Productos]]-ventas[[#This Row],[Valor_descuento]]</f>
        <v>2250000</v>
      </c>
    </row>
    <row r="457" spans="1:20" x14ac:dyDescent="0.3">
      <c r="A457">
        <v>656</v>
      </c>
      <c r="B457" s="1">
        <v>45583</v>
      </c>
      <c r="C457">
        <v>42</v>
      </c>
      <c r="D457">
        <v>4</v>
      </c>
      <c r="E457">
        <v>96</v>
      </c>
      <c r="F457" t="s">
        <v>494</v>
      </c>
      <c r="G457" t="s">
        <v>495</v>
      </c>
      <c r="H457" t="s">
        <v>19</v>
      </c>
      <c r="I457">
        <v>20</v>
      </c>
      <c r="J457" t="s">
        <v>27</v>
      </c>
      <c r="K457" t="str">
        <f>_xlfn.XLOOKUP( ventas[[#This Row],[ciudad_cliente]],  ciudades[Ciudad], ciudades[Region])</f>
        <v>Biobío</v>
      </c>
      <c r="L457" t="s">
        <v>38</v>
      </c>
      <c r="M457" t="s">
        <v>49</v>
      </c>
      <c r="N457" t="str">
        <f>_xlfn.XLOOKUP(ventas[[#This Row],[producto]], categ[Producto], categ[Categoria])</f>
        <v>Electrohogar</v>
      </c>
      <c r="O457">
        <v>800000</v>
      </c>
      <c r="P457">
        <v>3</v>
      </c>
      <c r="Q457" s="11">
        <v>0.05</v>
      </c>
      <c r="R457">
        <f>(ventas[[#This Row],[precio_unitario]]*ventas[[#This Row],[cantidad]])</f>
        <v>2400000</v>
      </c>
      <c r="S457">
        <f>ventas[[#This Row],[Total_Productos]]*ventas[[#This Row],[descuento_pct]]</f>
        <v>120000</v>
      </c>
      <c r="T457">
        <f>ventas[[#This Row],[Total_Productos]]-ventas[[#This Row],[Valor_descuento]]</f>
        <v>2280000</v>
      </c>
    </row>
    <row r="458" spans="1:20" x14ac:dyDescent="0.3">
      <c r="A458">
        <v>714</v>
      </c>
      <c r="B458" s="1">
        <v>45641</v>
      </c>
      <c r="C458">
        <v>49</v>
      </c>
      <c r="D458">
        <v>1</v>
      </c>
      <c r="E458">
        <v>96</v>
      </c>
      <c r="F458" t="s">
        <v>494</v>
      </c>
      <c r="G458" t="s">
        <v>495</v>
      </c>
      <c r="H458" t="s">
        <v>19</v>
      </c>
      <c r="I458">
        <v>20</v>
      </c>
      <c r="J458" t="s">
        <v>43</v>
      </c>
      <c r="K458" t="str">
        <f>_xlfn.XLOOKUP( ventas[[#This Row],[ciudad_cliente]],  ciudades[Ciudad], ciudades[Region])</f>
        <v>Antofagasta</v>
      </c>
      <c r="L458" t="s">
        <v>22</v>
      </c>
      <c r="M458" t="s">
        <v>39</v>
      </c>
      <c r="N458" t="str">
        <f>_xlfn.XLOOKUP(ventas[[#This Row],[producto]], categ[Producto], categ[Categoria])</f>
        <v>Belleza</v>
      </c>
      <c r="O458">
        <v>35000</v>
      </c>
      <c r="P458">
        <v>2</v>
      </c>
      <c r="Q458" s="11">
        <v>0.1</v>
      </c>
      <c r="R458">
        <f>(ventas[[#This Row],[precio_unitario]]*ventas[[#This Row],[cantidad]])</f>
        <v>70000</v>
      </c>
      <c r="S458">
        <f>ventas[[#This Row],[Total_Productos]]*ventas[[#This Row],[descuento_pct]]</f>
        <v>7000</v>
      </c>
      <c r="T458">
        <f>ventas[[#This Row],[Total_Productos]]-ventas[[#This Row],[Valor_descuento]]</f>
        <v>63000</v>
      </c>
    </row>
    <row r="459" spans="1:20" x14ac:dyDescent="0.3">
      <c r="A459">
        <v>718</v>
      </c>
      <c r="B459" s="1">
        <v>45645</v>
      </c>
      <c r="C459">
        <v>1</v>
      </c>
      <c r="D459">
        <v>8</v>
      </c>
      <c r="E459">
        <v>96</v>
      </c>
      <c r="F459" t="s">
        <v>494</v>
      </c>
      <c r="G459" t="s">
        <v>495</v>
      </c>
      <c r="H459" t="s">
        <v>19</v>
      </c>
      <c r="I459">
        <v>20</v>
      </c>
      <c r="J459" t="s">
        <v>34</v>
      </c>
      <c r="K459" t="str">
        <f>_xlfn.XLOOKUP( ventas[[#This Row],[ciudad_cliente]],  ciudades[Ciudad], ciudades[Region])</f>
        <v>Metropolitana</v>
      </c>
      <c r="L459" t="s">
        <v>22</v>
      </c>
      <c r="M459" t="s">
        <v>102</v>
      </c>
      <c r="N459" t="str">
        <f>_xlfn.XLOOKUP(ventas[[#This Row],[producto]], categ[Producto], categ[Categoria])</f>
        <v>Vestuario</v>
      </c>
      <c r="O459">
        <v>12000</v>
      </c>
      <c r="P459">
        <v>3</v>
      </c>
      <c r="Q459" s="11">
        <v>0</v>
      </c>
      <c r="R459">
        <f>(ventas[[#This Row],[precio_unitario]]*ventas[[#This Row],[cantidad]])</f>
        <v>36000</v>
      </c>
      <c r="S459">
        <f>ventas[[#This Row],[Total_Productos]]*ventas[[#This Row],[descuento_pct]]</f>
        <v>0</v>
      </c>
      <c r="T459">
        <f>ventas[[#This Row],[Total_Productos]]-ventas[[#This Row],[Valor_descuento]]</f>
        <v>36000</v>
      </c>
    </row>
    <row r="460" spans="1:20" x14ac:dyDescent="0.3">
      <c r="A460">
        <v>921</v>
      </c>
      <c r="B460" s="1">
        <v>45848</v>
      </c>
      <c r="C460">
        <v>66</v>
      </c>
      <c r="D460">
        <v>2</v>
      </c>
      <c r="E460">
        <v>96</v>
      </c>
      <c r="F460" t="s">
        <v>494</v>
      </c>
      <c r="G460" t="s">
        <v>495</v>
      </c>
      <c r="H460" t="s">
        <v>19</v>
      </c>
      <c r="I460">
        <v>20</v>
      </c>
      <c r="J460" t="s">
        <v>27</v>
      </c>
      <c r="K460" t="str">
        <f>_xlfn.XLOOKUP( ventas[[#This Row],[ciudad_cliente]],  ciudades[Ciudad], ciudades[Region])</f>
        <v>Biobío</v>
      </c>
      <c r="L460" t="s">
        <v>38</v>
      </c>
      <c r="M460" t="s">
        <v>56</v>
      </c>
      <c r="N460" t="str">
        <f>_xlfn.XLOOKUP(ventas[[#This Row],[producto]], categ[Producto], categ[Categoria])</f>
        <v>Vestuario</v>
      </c>
      <c r="O460">
        <v>25000</v>
      </c>
      <c r="P460">
        <v>3</v>
      </c>
      <c r="Q460" s="11">
        <v>0</v>
      </c>
      <c r="R460">
        <f>(ventas[[#This Row],[precio_unitario]]*ventas[[#This Row],[cantidad]])</f>
        <v>75000</v>
      </c>
      <c r="S460">
        <f>ventas[[#This Row],[Total_Productos]]*ventas[[#This Row],[descuento_pct]]</f>
        <v>0</v>
      </c>
      <c r="T460">
        <f>ventas[[#This Row],[Total_Productos]]-ventas[[#This Row],[Valor_descuento]]</f>
        <v>75000</v>
      </c>
    </row>
    <row r="461" spans="1:20" x14ac:dyDescent="0.3">
      <c r="A461">
        <v>308</v>
      </c>
      <c r="B461" s="1">
        <v>45235</v>
      </c>
      <c r="C461">
        <v>48</v>
      </c>
      <c r="D461">
        <v>6</v>
      </c>
      <c r="E461">
        <v>47</v>
      </c>
      <c r="F461" t="s">
        <v>442</v>
      </c>
      <c r="G461" t="s">
        <v>443</v>
      </c>
      <c r="H461" t="s">
        <v>19</v>
      </c>
      <c r="I461">
        <v>32</v>
      </c>
      <c r="J461" t="s">
        <v>37</v>
      </c>
      <c r="K461" t="str">
        <f>_xlfn.XLOOKUP( ventas[[#This Row],[ciudad_cliente]],  ciudades[Ciudad], ciudades[Region])</f>
        <v>Valparaíso</v>
      </c>
      <c r="L461" t="s">
        <v>38</v>
      </c>
      <c r="M461" t="s">
        <v>30</v>
      </c>
      <c r="N461" t="str">
        <f>_xlfn.XLOOKUP(ventas[[#This Row],[producto]], categ[Producto], categ[Categoria])</f>
        <v>Electrohogar</v>
      </c>
      <c r="O461">
        <v>700000</v>
      </c>
      <c r="P461">
        <v>3</v>
      </c>
      <c r="Q461" s="11">
        <v>0</v>
      </c>
      <c r="R461">
        <f>(ventas[[#This Row],[precio_unitario]]*ventas[[#This Row],[cantidad]])</f>
        <v>2100000</v>
      </c>
      <c r="S461">
        <f>ventas[[#This Row],[Total_Productos]]*ventas[[#This Row],[descuento_pct]]</f>
        <v>0</v>
      </c>
      <c r="T461">
        <f>ventas[[#This Row],[Total_Productos]]-ventas[[#This Row],[Valor_descuento]]</f>
        <v>2100000</v>
      </c>
    </row>
    <row r="462" spans="1:20" x14ac:dyDescent="0.3">
      <c r="A462">
        <v>450</v>
      </c>
      <c r="B462" s="1">
        <v>45377</v>
      </c>
      <c r="C462">
        <v>36</v>
      </c>
      <c r="D462">
        <v>4</v>
      </c>
      <c r="E462">
        <v>47</v>
      </c>
      <c r="F462" t="s">
        <v>442</v>
      </c>
      <c r="G462" t="s">
        <v>443</v>
      </c>
      <c r="H462" t="s">
        <v>19</v>
      </c>
      <c r="I462">
        <v>32</v>
      </c>
      <c r="J462" t="s">
        <v>101</v>
      </c>
      <c r="K462" t="str">
        <f>_xlfn.XLOOKUP( ventas[[#This Row],[ciudad_cliente]],  ciudades[Ciudad], ciudades[Region])</f>
        <v>O'Higgins</v>
      </c>
      <c r="L462" t="s">
        <v>22</v>
      </c>
      <c r="M462" t="s">
        <v>23</v>
      </c>
      <c r="N462" t="str">
        <f>_xlfn.XLOOKUP(ventas[[#This Row],[producto]], categ[Producto], categ[Categoria])</f>
        <v>Belleza</v>
      </c>
      <c r="O462">
        <v>15000</v>
      </c>
      <c r="P462">
        <v>1</v>
      </c>
      <c r="Q462" s="11">
        <v>0</v>
      </c>
      <c r="R462">
        <f>(ventas[[#This Row],[precio_unitario]]*ventas[[#This Row],[cantidad]])</f>
        <v>15000</v>
      </c>
      <c r="S462">
        <f>ventas[[#This Row],[Total_Productos]]*ventas[[#This Row],[descuento_pct]]</f>
        <v>0</v>
      </c>
      <c r="T462">
        <f>ventas[[#This Row],[Total_Productos]]-ventas[[#This Row],[Valor_descuento]]</f>
        <v>15000</v>
      </c>
    </row>
    <row r="463" spans="1:20" x14ac:dyDescent="0.3">
      <c r="A463">
        <v>749</v>
      </c>
      <c r="B463" s="1">
        <v>45676</v>
      </c>
      <c r="C463">
        <v>12</v>
      </c>
      <c r="D463">
        <v>0</v>
      </c>
      <c r="E463">
        <v>47</v>
      </c>
      <c r="F463" t="s">
        <v>442</v>
      </c>
      <c r="G463" t="s">
        <v>443</v>
      </c>
      <c r="H463" t="s">
        <v>19</v>
      </c>
      <c r="I463">
        <v>32</v>
      </c>
      <c r="J463" t="s">
        <v>116</v>
      </c>
      <c r="K463" t="str">
        <f>_xlfn.XLOOKUP( ventas[[#This Row],[ciudad_cliente]],  ciudades[Ciudad], ciudades[Region])</f>
        <v>Valparaíso</v>
      </c>
      <c r="L463" t="s">
        <v>38</v>
      </c>
      <c r="M463" t="s">
        <v>23</v>
      </c>
      <c r="N463" t="str">
        <f>_xlfn.XLOOKUP(ventas[[#This Row],[producto]], categ[Producto], categ[Categoria])</f>
        <v>Belleza</v>
      </c>
      <c r="O463">
        <v>15000</v>
      </c>
      <c r="P463">
        <v>1</v>
      </c>
      <c r="Q463" s="11">
        <v>0</v>
      </c>
      <c r="R463">
        <f>(ventas[[#This Row],[precio_unitario]]*ventas[[#This Row],[cantidad]])</f>
        <v>15000</v>
      </c>
      <c r="S463">
        <f>ventas[[#This Row],[Total_Productos]]*ventas[[#This Row],[descuento_pct]]</f>
        <v>0</v>
      </c>
      <c r="T463">
        <f>ventas[[#This Row],[Total_Productos]]-ventas[[#This Row],[Valor_descuento]]</f>
        <v>15000</v>
      </c>
    </row>
    <row r="464" spans="1:20" x14ac:dyDescent="0.3">
      <c r="A464">
        <v>13</v>
      </c>
      <c r="B464" s="1">
        <v>44940</v>
      </c>
      <c r="C464">
        <v>11</v>
      </c>
      <c r="D464">
        <v>0</v>
      </c>
      <c r="E464">
        <v>81</v>
      </c>
      <c r="F464" t="s">
        <v>65</v>
      </c>
      <c r="G464" t="s">
        <v>66</v>
      </c>
      <c r="H464" t="s">
        <v>42</v>
      </c>
      <c r="I464">
        <v>35</v>
      </c>
      <c r="J464" t="s">
        <v>43</v>
      </c>
      <c r="K464" t="str">
        <f>_xlfn.XLOOKUP( ventas[[#This Row],[ciudad_cliente]],  ciudades[Ciudad], ciudades[Region])</f>
        <v>Antofagasta</v>
      </c>
      <c r="L464" t="s">
        <v>22</v>
      </c>
      <c r="M464" t="s">
        <v>30</v>
      </c>
      <c r="N464" t="str">
        <f>_xlfn.XLOOKUP(ventas[[#This Row],[producto]], categ[Producto], categ[Categoria])</f>
        <v>Electrohogar</v>
      </c>
      <c r="O464">
        <v>700000</v>
      </c>
      <c r="P464">
        <v>2</v>
      </c>
      <c r="Q464" s="11">
        <v>0.1</v>
      </c>
      <c r="R464">
        <f>(ventas[[#This Row],[precio_unitario]]*ventas[[#This Row],[cantidad]])</f>
        <v>1400000</v>
      </c>
      <c r="S464">
        <f>ventas[[#This Row],[Total_Productos]]*ventas[[#This Row],[descuento_pct]]</f>
        <v>140000</v>
      </c>
      <c r="T464">
        <f>ventas[[#This Row],[Total_Productos]]-ventas[[#This Row],[Valor_descuento]]</f>
        <v>1260000</v>
      </c>
    </row>
    <row r="465" spans="1:20" x14ac:dyDescent="0.3">
      <c r="A465">
        <v>604</v>
      </c>
      <c r="B465" s="1">
        <v>45531</v>
      </c>
      <c r="C465">
        <v>53</v>
      </c>
      <c r="D465">
        <v>1</v>
      </c>
      <c r="E465">
        <v>81</v>
      </c>
      <c r="F465" t="s">
        <v>65</v>
      </c>
      <c r="G465" t="s">
        <v>66</v>
      </c>
      <c r="H465" t="s">
        <v>42</v>
      </c>
      <c r="I465">
        <v>35</v>
      </c>
      <c r="J465" t="s">
        <v>76</v>
      </c>
      <c r="K465" t="str">
        <f>_xlfn.XLOOKUP( ventas[[#This Row],[ciudad_cliente]],  ciudades[Ciudad], ciudades[Region])</f>
        <v>Los Lagos</v>
      </c>
      <c r="L465" t="s">
        <v>29</v>
      </c>
      <c r="M465" t="s">
        <v>49</v>
      </c>
      <c r="N465" t="str">
        <f>_xlfn.XLOOKUP(ventas[[#This Row],[producto]], categ[Producto], categ[Categoria])</f>
        <v>Electrohogar</v>
      </c>
      <c r="O465">
        <v>800000</v>
      </c>
      <c r="P465">
        <v>1</v>
      </c>
      <c r="Q465" s="11">
        <v>0</v>
      </c>
      <c r="R465">
        <f>(ventas[[#This Row],[precio_unitario]]*ventas[[#This Row],[cantidad]])</f>
        <v>800000</v>
      </c>
      <c r="S465">
        <f>ventas[[#This Row],[Total_Productos]]*ventas[[#This Row],[descuento_pct]]</f>
        <v>0</v>
      </c>
      <c r="T465">
        <f>ventas[[#This Row],[Total_Productos]]-ventas[[#This Row],[Valor_descuento]]</f>
        <v>800000</v>
      </c>
    </row>
    <row r="466" spans="1:20" x14ac:dyDescent="0.3">
      <c r="A466">
        <v>843</v>
      </c>
      <c r="B466" s="1">
        <v>45770</v>
      </c>
      <c r="C466">
        <v>65</v>
      </c>
      <c r="D466">
        <v>0</v>
      </c>
      <c r="E466">
        <v>81</v>
      </c>
      <c r="F466" t="s">
        <v>65</v>
      </c>
      <c r="G466" t="s">
        <v>66</v>
      </c>
      <c r="H466" t="s">
        <v>42</v>
      </c>
      <c r="I466">
        <v>35</v>
      </c>
      <c r="J466" t="s">
        <v>101</v>
      </c>
      <c r="K466" t="str">
        <f>_xlfn.XLOOKUP( ventas[[#This Row],[ciudad_cliente]],  ciudades[Ciudad], ciudades[Region])</f>
        <v>O'Higgins</v>
      </c>
      <c r="L466" t="s">
        <v>22</v>
      </c>
      <c r="M466" t="s">
        <v>46</v>
      </c>
      <c r="N466" t="str">
        <f>_xlfn.XLOOKUP(ventas[[#This Row],[producto]], categ[Producto], categ[Categoria])</f>
        <v>Tecnología</v>
      </c>
      <c r="O466">
        <v>750000</v>
      </c>
      <c r="P466">
        <v>3</v>
      </c>
      <c r="Q466" s="11">
        <v>0</v>
      </c>
      <c r="R466">
        <f>(ventas[[#This Row],[precio_unitario]]*ventas[[#This Row],[cantidad]])</f>
        <v>2250000</v>
      </c>
      <c r="S466">
        <f>ventas[[#This Row],[Total_Productos]]*ventas[[#This Row],[descuento_pct]]</f>
        <v>0</v>
      </c>
      <c r="T466">
        <f>ventas[[#This Row],[Total_Productos]]-ventas[[#This Row],[Valor_descuento]]</f>
        <v>2250000</v>
      </c>
    </row>
    <row r="467" spans="1:20" x14ac:dyDescent="0.3">
      <c r="A467">
        <v>185</v>
      </c>
      <c r="B467" s="1">
        <v>45112</v>
      </c>
      <c r="C467">
        <v>64</v>
      </c>
      <c r="D467">
        <v>4</v>
      </c>
      <c r="E467">
        <v>33</v>
      </c>
      <c r="F467" t="s">
        <v>340</v>
      </c>
      <c r="G467" t="s">
        <v>341</v>
      </c>
      <c r="H467" t="s">
        <v>19</v>
      </c>
      <c r="I467">
        <v>37</v>
      </c>
      <c r="J467" t="s">
        <v>20</v>
      </c>
      <c r="K467" t="str">
        <f>_xlfn.XLOOKUP( ventas[[#This Row],[ciudad_cliente]],  ciudades[Ciudad], ciudades[Region])</f>
        <v>La Araucanía</v>
      </c>
      <c r="L467" t="s">
        <v>38</v>
      </c>
      <c r="M467" t="s">
        <v>56</v>
      </c>
      <c r="N467" t="str">
        <f>_xlfn.XLOOKUP(ventas[[#This Row],[producto]], categ[Producto], categ[Categoria])</f>
        <v>Vestuario</v>
      </c>
      <c r="O467">
        <v>25000</v>
      </c>
      <c r="P467">
        <v>1</v>
      </c>
      <c r="Q467" s="11">
        <v>0</v>
      </c>
      <c r="R467">
        <f>(ventas[[#This Row],[precio_unitario]]*ventas[[#This Row],[cantidad]])</f>
        <v>25000</v>
      </c>
      <c r="S467">
        <f>ventas[[#This Row],[Total_Productos]]*ventas[[#This Row],[descuento_pct]]</f>
        <v>0</v>
      </c>
      <c r="T467">
        <f>ventas[[#This Row],[Total_Productos]]-ventas[[#This Row],[Valor_descuento]]</f>
        <v>25000</v>
      </c>
    </row>
    <row r="468" spans="1:20" x14ac:dyDescent="0.3">
      <c r="A468">
        <v>413</v>
      </c>
      <c r="B468" s="1">
        <v>45340</v>
      </c>
      <c r="C468">
        <v>58</v>
      </c>
      <c r="D468">
        <v>1</v>
      </c>
      <c r="E468">
        <v>33</v>
      </c>
      <c r="F468" t="s">
        <v>340</v>
      </c>
      <c r="G468" t="s">
        <v>341</v>
      </c>
      <c r="H468" t="s">
        <v>19</v>
      </c>
      <c r="I468">
        <v>37</v>
      </c>
      <c r="J468" t="s">
        <v>76</v>
      </c>
      <c r="K468" t="str">
        <f>_xlfn.XLOOKUP( ventas[[#This Row],[ciudad_cliente]],  ciudades[Ciudad], ciudades[Region])</f>
        <v>Los Lagos</v>
      </c>
      <c r="L468" t="s">
        <v>38</v>
      </c>
      <c r="M468" t="s">
        <v>39</v>
      </c>
      <c r="N468" t="str">
        <f>_xlfn.XLOOKUP(ventas[[#This Row],[producto]], categ[Producto], categ[Categoria])</f>
        <v>Belleza</v>
      </c>
      <c r="O468">
        <v>35000</v>
      </c>
      <c r="P468">
        <v>3</v>
      </c>
      <c r="Q468" s="11">
        <v>0</v>
      </c>
      <c r="R468">
        <f>(ventas[[#This Row],[precio_unitario]]*ventas[[#This Row],[cantidad]])</f>
        <v>105000</v>
      </c>
      <c r="S468">
        <f>ventas[[#This Row],[Total_Productos]]*ventas[[#This Row],[descuento_pct]]</f>
        <v>0</v>
      </c>
      <c r="T468">
        <f>ventas[[#This Row],[Total_Productos]]-ventas[[#This Row],[Valor_descuento]]</f>
        <v>105000</v>
      </c>
    </row>
    <row r="469" spans="1:20" x14ac:dyDescent="0.3">
      <c r="A469">
        <v>806</v>
      </c>
      <c r="B469" s="1">
        <v>45733</v>
      </c>
      <c r="C469">
        <v>54</v>
      </c>
      <c r="D469">
        <v>9</v>
      </c>
      <c r="E469">
        <v>33</v>
      </c>
      <c r="F469" t="s">
        <v>340</v>
      </c>
      <c r="G469" t="s">
        <v>341</v>
      </c>
      <c r="H469" t="s">
        <v>19</v>
      </c>
      <c r="I469">
        <v>37</v>
      </c>
      <c r="J469" t="s">
        <v>27</v>
      </c>
      <c r="K469" t="str">
        <f>_xlfn.XLOOKUP( ventas[[#This Row],[ciudad_cliente]],  ciudades[Ciudad], ciudades[Region])</f>
        <v>Biobío</v>
      </c>
      <c r="L469" t="s">
        <v>22</v>
      </c>
      <c r="M469" t="s">
        <v>39</v>
      </c>
      <c r="N469" t="str">
        <f>_xlfn.XLOOKUP(ventas[[#This Row],[producto]], categ[Producto], categ[Categoria])</f>
        <v>Belleza</v>
      </c>
      <c r="O469">
        <v>35000</v>
      </c>
      <c r="P469">
        <v>3</v>
      </c>
      <c r="Q469" s="11">
        <v>0</v>
      </c>
      <c r="R469">
        <f>(ventas[[#This Row],[precio_unitario]]*ventas[[#This Row],[cantidad]])</f>
        <v>105000</v>
      </c>
      <c r="S469">
        <f>ventas[[#This Row],[Total_Productos]]*ventas[[#This Row],[descuento_pct]]</f>
        <v>0</v>
      </c>
      <c r="T469">
        <f>ventas[[#This Row],[Total_Productos]]-ventas[[#This Row],[Valor_descuento]]</f>
        <v>105000</v>
      </c>
    </row>
    <row r="470" spans="1:20" x14ac:dyDescent="0.3">
      <c r="A470">
        <v>283</v>
      </c>
      <c r="B470" s="1">
        <v>45210</v>
      </c>
      <c r="C470">
        <v>41</v>
      </c>
      <c r="D470">
        <v>4</v>
      </c>
      <c r="E470">
        <v>138</v>
      </c>
      <c r="F470" t="s">
        <v>422</v>
      </c>
      <c r="G470" t="s">
        <v>423</v>
      </c>
      <c r="H470" t="s">
        <v>42</v>
      </c>
      <c r="I470">
        <v>34</v>
      </c>
      <c r="J470" t="s">
        <v>43</v>
      </c>
      <c r="K470" t="str">
        <f>_xlfn.XLOOKUP( ventas[[#This Row],[ciudad_cliente]],  ciudades[Ciudad], ciudades[Region])</f>
        <v>Antofagasta</v>
      </c>
      <c r="L470" t="s">
        <v>22</v>
      </c>
      <c r="M470" t="s">
        <v>69</v>
      </c>
      <c r="N470" t="str">
        <f>_xlfn.XLOOKUP(ventas[[#This Row],[producto]], categ[Producto], categ[Categoria])</f>
        <v>Tecnología</v>
      </c>
      <c r="O470">
        <v>450000</v>
      </c>
      <c r="P470">
        <v>3</v>
      </c>
      <c r="Q470" s="11">
        <v>0.05</v>
      </c>
      <c r="R470">
        <f>(ventas[[#This Row],[precio_unitario]]*ventas[[#This Row],[cantidad]])</f>
        <v>1350000</v>
      </c>
      <c r="S470">
        <f>ventas[[#This Row],[Total_Productos]]*ventas[[#This Row],[descuento_pct]]</f>
        <v>67500</v>
      </c>
      <c r="T470">
        <f>ventas[[#This Row],[Total_Productos]]-ventas[[#This Row],[Valor_descuento]]</f>
        <v>1282500</v>
      </c>
    </row>
    <row r="471" spans="1:20" x14ac:dyDescent="0.3">
      <c r="A471">
        <v>302</v>
      </c>
      <c r="B471" s="1">
        <v>45229</v>
      </c>
      <c r="C471">
        <v>61</v>
      </c>
      <c r="D471">
        <v>3</v>
      </c>
      <c r="E471">
        <v>138</v>
      </c>
      <c r="F471" t="s">
        <v>422</v>
      </c>
      <c r="G471" t="s">
        <v>423</v>
      </c>
      <c r="H471" t="s">
        <v>42</v>
      </c>
      <c r="I471">
        <v>34</v>
      </c>
      <c r="J471" t="s">
        <v>52</v>
      </c>
      <c r="K471" t="str">
        <f>_xlfn.XLOOKUP( ventas[[#This Row],[ciudad_cliente]],  ciudades[Ciudad], ciudades[Region])</f>
        <v>Biobío</v>
      </c>
      <c r="L471" t="s">
        <v>22</v>
      </c>
      <c r="M471" t="s">
        <v>30</v>
      </c>
      <c r="N471" t="str">
        <f>_xlfn.XLOOKUP(ventas[[#This Row],[producto]], categ[Producto], categ[Categoria])</f>
        <v>Electrohogar</v>
      </c>
      <c r="O471">
        <v>700000</v>
      </c>
      <c r="P471">
        <v>2</v>
      </c>
      <c r="Q471" s="11">
        <v>0.1</v>
      </c>
      <c r="R471">
        <f>(ventas[[#This Row],[precio_unitario]]*ventas[[#This Row],[cantidad]])</f>
        <v>1400000</v>
      </c>
      <c r="S471">
        <f>ventas[[#This Row],[Total_Productos]]*ventas[[#This Row],[descuento_pct]]</f>
        <v>140000</v>
      </c>
      <c r="T471">
        <f>ventas[[#This Row],[Total_Productos]]-ventas[[#This Row],[Valor_descuento]]</f>
        <v>1260000</v>
      </c>
    </row>
    <row r="472" spans="1:20" x14ac:dyDescent="0.3">
      <c r="A472">
        <v>320</v>
      </c>
      <c r="B472" s="1">
        <v>45247</v>
      </c>
      <c r="C472">
        <v>20</v>
      </c>
      <c r="D472">
        <v>0</v>
      </c>
      <c r="E472">
        <v>138</v>
      </c>
      <c r="F472" t="s">
        <v>422</v>
      </c>
      <c r="G472" t="s">
        <v>423</v>
      </c>
      <c r="H472" t="s">
        <v>42</v>
      </c>
      <c r="I472">
        <v>34</v>
      </c>
      <c r="J472" t="s">
        <v>20</v>
      </c>
      <c r="K472" t="str">
        <f>_xlfn.XLOOKUP( ventas[[#This Row],[ciudad_cliente]],  ciudades[Ciudad], ciudades[Region])</f>
        <v>La Araucanía</v>
      </c>
      <c r="L472" t="s">
        <v>29</v>
      </c>
      <c r="M472" t="s">
        <v>46</v>
      </c>
      <c r="N472" t="str">
        <f>_xlfn.XLOOKUP(ventas[[#This Row],[producto]], categ[Producto], categ[Categoria])</f>
        <v>Tecnología</v>
      </c>
      <c r="O472">
        <v>750000</v>
      </c>
      <c r="P472">
        <v>3</v>
      </c>
      <c r="Q472" s="11">
        <v>0</v>
      </c>
      <c r="R472">
        <f>(ventas[[#This Row],[precio_unitario]]*ventas[[#This Row],[cantidad]])</f>
        <v>2250000</v>
      </c>
      <c r="S472">
        <f>ventas[[#This Row],[Total_Productos]]*ventas[[#This Row],[descuento_pct]]</f>
        <v>0</v>
      </c>
      <c r="T472">
        <f>ventas[[#This Row],[Total_Productos]]-ventas[[#This Row],[Valor_descuento]]</f>
        <v>2250000</v>
      </c>
    </row>
    <row r="473" spans="1:20" x14ac:dyDescent="0.3">
      <c r="A473">
        <v>554</v>
      </c>
      <c r="B473" s="1">
        <v>45481</v>
      </c>
      <c r="C473">
        <v>29</v>
      </c>
      <c r="D473">
        <v>1</v>
      </c>
      <c r="E473">
        <v>138</v>
      </c>
      <c r="F473" t="s">
        <v>422</v>
      </c>
      <c r="G473" t="s">
        <v>423</v>
      </c>
      <c r="H473" t="s">
        <v>42</v>
      </c>
      <c r="I473">
        <v>34</v>
      </c>
      <c r="J473" t="s">
        <v>116</v>
      </c>
      <c r="K473" t="str">
        <f>_xlfn.XLOOKUP( ventas[[#This Row],[ciudad_cliente]],  ciudades[Ciudad], ciudades[Region])</f>
        <v>Valparaíso</v>
      </c>
      <c r="L473" t="s">
        <v>38</v>
      </c>
      <c r="M473" t="s">
        <v>39</v>
      </c>
      <c r="N473" t="str">
        <f>_xlfn.XLOOKUP(ventas[[#This Row],[producto]], categ[Producto], categ[Categoria])</f>
        <v>Belleza</v>
      </c>
      <c r="O473">
        <v>35000</v>
      </c>
      <c r="P473">
        <v>2</v>
      </c>
      <c r="Q473" s="11">
        <v>0.1</v>
      </c>
      <c r="R473">
        <f>(ventas[[#This Row],[precio_unitario]]*ventas[[#This Row],[cantidad]])</f>
        <v>70000</v>
      </c>
      <c r="S473">
        <f>ventas[[#This Row],[Total_Productos]]*ventas[[#This Row],[descuento_pct]]</f>
        <v>7000</v>
      </c>
      <c r="T473">
        <f>ventas[[#This Row],[Total_Productos]]-ventas[[#This Row],[Valor_descuento]]</f>
        <v>63000</v>
      </c>
    </row>
    <row r="474" spans="1:20" x14ac:dyDescent="0.3">
      <c r="A474">
        <v>593</v>
      </c>
      <c r="B474" s="1">
        <v>45520</v>
      </c>
      <c r="C474">
        <v>54</v>
      </c>
      <c r="D474">
        <v>9</v>
      </c>
      <c r="E474">
        <v>138</v>
      </c>
      <c r="F474" t="s">
        <v>422</v>
      </c>
      <c r="G474" t="s">
        <v>423</v>
      </c>
      <c r="H474" t="s">
        <v>42</v>
      </c>
      <c r="I474">
        <v>34</v>
      </c>
      <c r="J474" t="s">
        <v>27</v>
      </c>
      <c r="K474" t="str">
        <f>_xlfn.XLOOKUP( ventas[[#This Row],[ciudad_cliente]],  ciudades[Ciudad], ciudades[Region])</f>
        <v>Biobío</v>
      </c>
      <c r="L474" t="s">
        <v>38</v>
      </c>
      <c r="M474" t="s">
        <v>49</v>
      </c>
      <c r="N474" t="str">
        <f>_xlfn.XLOOKUP(ventas[[#This Row],[producto]], categ[Producto], categ[Categoria])</f>
        <v>Electrohogar</v>
      </c>
      <c r="O474">
        <v>800000</v>
      </c>
      <c r="P474">
        <v>3</v>
      </c>
      <c r="Q474" s="11">
        <v>0.05</v>
      </c>
      <c r="R474">
        <f>(ventas[[#This Row],[precio_unitario]]*ventas[[#This Row],[cantidad]])</f>
        <v>2400000</v>
      </c>
      <c r="S474">
        <f>ventas[[#This Row],[Total_Productos]]*ventas[[#This Row],[descuento_pct]]</f>
        <v>120000</v>
      </c>
      <c r="T474">
        <f>ventas[[#This Row],[Total_Productos]]-ventas[[#This Row],[Valor_descuento]]</f>
        <v>2280000</v>
      </c>
    </row>
    <row r="475" spans="1:20" x14ac:dyDescent="0.3">
      <c r="A475">
        <v>597</v>
      </c>
      <c r="B475" s="1">
        <v>45524</v>
      </c>
      <c r="C475">
        <v>43</v>
      </c>
      <c r="D475">
        <v>0</v>
      </c>
      <c r="E475">
        <v>138</v>
      </c>
      <c r="F475" t="s">
        <v>422</v>
      </c>
      <c r="G475" t="s">
        <v>423</v>
      </c>
      <c r="H475" t="s">
        <v>42</v>
      </c>
      <c r="I475">
        <v>34</v>
      </c>
      <c r="J475" t="s">
        <v>34</v>
      </c>
      <c r="K475" t="str">
        <f>_xlfn.XLOOKUP( ventas[[#This Row],[ciudad_cliente]],  ciudades[Ciudad], ciudades[Region])</f>
        <v>Metropolitana</v>
      </c>
      <c r="L475" t="s">
        <v>38</v>
      </c>
      <c r="M475" t="s">
        <v>49</v>
      </c>
      <c r="N475" t="str">
        <f>_xlfn.XLOOKUP(ventas[[#This Row],[producto]], categ[Producto], categ[Categoria])</f>
        <v>Electrohogar</v>
      </c>
      <c r="O475">
        <v>800000</v>
      </c>
      <c r="P475">
        <v>1</v>
      </c>
      <c r="Q475" s="11">
        <v>0</v>
      </c>
      <c r="R475">
        <f>(ventas[[#This Row],[precio_unitario]]*ventas[[#This Row],[cantidad]])</f>
        <v>800000</v>
      </c>
      <c r="S475">
        <f>ventas[[#This Row],[Total_Productos]]*ventas[[#This Row],[descuento_pct]]</f>
        <v>0</v>
      </c>
      <c r="T475">
        <f>ventas[[#This Row],[Total_Productos]]-ventas[[#This Row],[Valor_descuento]]</f>
        <v>800000</v>
      </c>
    </row>
    <row r="476" spans="1:20" x14ac:dyDescent="0.3">
      <c r="A476">
        <v>770</v>
      </c>
      <c r="B476" s="1">
        <v>45697</v>
      </c>
      <c r="C476">
        <v>47</v>
      </c>
      <c r="D476">
        <v>1</v>
      </c>
      <c r="E476">
        <v>138</v>
      </c>
      <c r="F476" t="s">
        <v>422</v>
      </c>
      <c r="G476" t="s">
        <v>423</v>
      </c>
      <c r="H476" t="s">
        <v>42</v>
      </c>
      <c r="I476">
        <v>34</v>
      </c>
      <c r="J476" t="s">
        <v>116</v>
      </c>
      <c r="K476" t="str">
        <f>_xlfn.XLOOKUP( ventas[[#This Row],[ciudad_cliente]],  ciudades[Ciudad], ciudades[Region])</f>
        <v>Valparaíso</v>
      </c>
      <c r="L476" t="s">
        <v>38</v>
      </c>
      <c r="M476" t="s">
        <v>23</v>
      </c>
      <c r="N476" t="str">
        <f>_xlfn.XLOOKUP(ventas[[#This Row],[producto]], categ[Producto], categ[Categoria])</f>
        <v>Belleza</v>
      </c>
      <c r="O476">
        <v>15000</v>
      </c>
      <c r="P476">
        <v>2</v>
      </c>
      <c r="Q476" s="11">
        <v>0.05</v>
      </c>
      <c r="R476">
        <f>(ventas[[#This Row],[precio_unitario]]*ventas[[#This Row],[cantidad]])</f>
        <v>30000</v>
      </c>
      <c r="S476">
        <f>ventas[[#This Row],[Total_Productos]]*ventas[[#This Row],[descuento_pct]]</f>
        <v>1500</v>
      </c>
      <c r="T476">
        <f>ventas[[#This Row],[Total_Productos]]-ventas[[#This Row],[Valor_descuento]]</f>
        <v>28500</v>
      </c>
    </row>
    <row r="477" spans="1:20" x14ac:dyDescent="0.3">
      <c r="A477">
        <v>355</v>
      </c>
      <c r="B477" s="1">
        <v>45282</v>
      </c>
      <c r="C477">
        <v>58</v>
      </c>
      <c r="D477">
        <v>1</v>
      </c>
      <c r="E477">
        <v>94</v>
      </c>
      <c r="F477" t="s">
        <v>478</v>
      </c>
      <c r="G477" t="s">
        <v>479</v>
      </c>
      <c r="H477" t="s">
        <v>19</v>
      </c>
      <c r="I477">
        <v>34</v>
      </c>
      <c r="J477" t="s">
        <v>76</v>
      </c>
      <c r="K477" t="str">
        <f>_xlfn.XLOOKUP( ventas[[#This Row],[ciudad_cliente]],  ciudades[Ciudad], ciudades[Region])</f>
        <v>Los Lagos</v>
      </c>
      <c r="L477" t="s">
        <v>22</v>
      </c>
      <c r="M477" t="s">
        <v>69</v>
      </c>
      <c r="N477" t="str">
        <f>_xlfn.XLOOKUP(ventas[[#This Row],[producto]], categ[Producto], categ[Categoria])</f>
        <v>Tecnología</v>
      </c>
      <c r="O477">
        <v>450000</v>
      </c>
      <c r="P477">
        <v>1</v>
      </c>
      <c r="Q477" s="11">
        <v>0</v>
      </c>
      <c r="R477">
        <f>(ventas[[#This Row],[precio_unitario]]*ventas[[#This Row],[cantidad]])</f>
        <v>450000</v>
      </c>
      <c r="S477">
        <f>ventas[[#This Row],[Total_Productos]]*ventas[[#This Row],[descuento_pct]]</f>
        <v>0</v>
      </c>
      <c r="T477">
        <f>ventas[[#This Row],[Total_Productos]]-ventas[[#This Row],[Valor_descuento]]</f>
        <v>450000</v>
      </c>
    </row>
    <row r="478" spans="1:20" x14ac:dyDescent="0.3">
      <c r="A478">
        <v>492</v>
      </c>
      <c r="B478" s="1">
        <v>45419</v>
      </c>
      <c r="C478">
        <v>55</v>
      </c>
      <c r="D478">
        <v>9</v>
      </c>
      <c r="E478">
        <v>94</v>
      </c>
      <c r="F478" t="s">
        <v>478</v>
      </c>
      <c r="G478" t="s">
        <v>479</v>
      </c>
      <c r="H478" t="s">
        <v>19</v>
      </c>
      <c r="I478">
        <v>34</v>
      </c>
      <c r="J478" t="s">
        <v>43</v>
      </c>
      <c r="K478" t="str">
        <f>_xlfn.XLOOKUP( ventas[[#This Row],[ciudad_cliente]],  ciudades[Ciudad], ciudades[Region])</f>
        <v>Antofagasta</v>
      </c>
      <c r="L478" t="s">
        <v>38</v>
      </c>
      <c r="M478" t="s">
        <v>23</v>
      </c>
      <c r="N478" t="str">
        <f>_xlfn.XLOOKUP(ventas[[#This Row],[producto]], categ[Producto], categ[Categoria])</f>
        <v>Belleza</v>
      </c>
      <c r="O478">
        <v>15000</v>
      </c>
      <c r="P478">
        <v>3</v>
      </c>
      <c r="Q478" s="11">
        <v>0</v>
      </c>
      <c r="R478">
        <f>(ventas[[#This Row],[precio_unitario]]*ventas[[#This Row],[cantidad]])</f>
        <v>45000</v>
      </c>
      <c r="S478">
        <f>ventas[[#This Row],[Total_Productos]]*ventas[[#This Row],[descuento_pct]]</f>
        <v>0</v>
      </c>
      <c r="T478">
        <f>ventas[[#This Row],[Total_Productos]]-ventas[[#This Row],[Valor_descuento]]</f>
        <v>45000</v>
      </c>
    </row>
    <row r="479" spans="1:20" x14ac:dyDescent="0.3">
      <c r="A479">
        <v>572</v>
      </c>
      <c r="B479" s="1">
        <v>45499</v>
      </c>
      <c r="C479">
        <v>31</v>
      </c>
      <c r="D479">
        <v>4</v>
      </c>
      <c r="E479">
        <v>94</v>
      </c>
      <c r="F479" t="s">
        <v>478</v>
      </c>
      <c r="G479" t="s">
        <v>479</v>
      </c>
      <c r="H479" t="s">
        <v>19</v>
      </c>
      <c r="I479">
        <v>34</v>
      </c>
      <c r="J479" t="s">
        <v>101</v>
      </c>
      <c r="K479" t="str">
        <f>_xlfn.XLOOKUP( ventas[[#This Row],[ciudad_cliente]],  ciudades[Ciudad], ciudades[Region])</f>
        <v>O'Higgins</v>
      </c>
      <c r="L479" t="s">
        <v>29</v>
      </c>
      <c r="M479" t="s">
        <v>98</v>
      </c>
      <c r="N479" t="str">
        <f>_xlfn.XLOOKUP(ventas[[#This Row],[producto]], categ[Producto], categ[Categoria])</f>
        <v>Calzado</v>
      </c>
      <c r="O479">
        <v>55000</v>
      </c>
      <c r="P479">
        <v>3</v>
      </c>
      <c r="Q479" s="11">
        <v>0</v>
      </c>
      <c r="R479">
        <f>(ventas[[#This Row],[precio_unitario]]*ventas[[#This Row],[cantidad]])</f>
        <v>165000</v>
      </c>
      <c r="S479">
        <f>ventas[[#This Row],[Total_Productos]]*ventas[[#This Row],[descuento_pct]]</f>
        <v>0</v>
      </c>
      <c r="T479">
        <f>ventas[[#This Row],[Total_Productos]]-ventas[[#This Row],[Valor_descuento]]</f>
        <v>165000</v>
      </c>
    </row>
    <row r="480" spans="1:20" x14ac:dyDescent="0.3">
      <c r="A480">
        <v>804</v>
      </c>
      <c r="B480" s="1">
        <v>45731</v>
      </c>
      <c r="C480">
        <v>42</v>
      </c>
      <c r="D480">
        <v>4</v>
      </c>
      <c r="E480">
        <v>94</v>
      </c>
      <c r="F480" t="s">
        <v>478</v>
      </c>
      <c r="G480" t="s">
        <v>479</v>
      </c>
      <c r="H480" t="s">
        <v>19</v>
      </c>
      <c r="I480">
        <v>34</v>
      </c>
      <c r="J480" t="s">
        <v>27</v>
      </c>
      <c r="K480" t="str">
        <f>_xlfn.XLOOKUP( ventas[[#This Row],[ciudad_cliente]],  ciudades[Ciudad], ciudades[Region])</f>
        <v>Biobío</v>
      </c>
      <c r="L480" t="s">
        <v>22</v>
      </c>
      <c r="M480" t="s">
        <v>39</v>
      </c>
      <c r="N480" t="str">
        <f>_xlfn.XLOOKUP(ventas[[#This Row],[producto]], categ[Producto], categ[Categoria])</f>
        <v>Belleza</v>
      </c>
      <c r="O480">
        <v>35000</v>
      </c>
      <c r="P480">
        <v>1</v>
      </c>
      <c r="Q480" s="11">
        <v>0.05</v>
      </c>
      <c r="R480">
        <f>(ventas[[#This Row],[precio_unitario]]*ventas[[#This Row],[cantidad]])</f>
        <v>35000</v>
      </c>
      <c r="S480">
        <f>ventas[[#This Row],[Total_Productos]]*ventas[[#This Row],[descuento_pct]]</f>
        <v>1750</v>
      </c>
      <c r="T480">
        <f>ventas[[#This Row],[Total_Productos]]-ventas[[#This Row],[Valor_descuento]]</f>
        <v>33250</v>
      </c>
    </row>
    <row r="481" spans="1:20" x14ac:dyDescent="0.3">
      <c r="A481">
        <v>961</v>
      </c>
      <c r="B481" s="1">
        <v>45888</v>
      </c>
      <c r="C481">
        <v>60</v>
      </c>
      <c r="D481">
        <v>1</v>
      </c>
      <c r="E481">
        <v>94</v>
      </c>
      <c r="F481" t="s">
        <v>478</v>
      </c>
      <c r="G481" t="s">
        <v>479</v>
      </c>
      <c r="H481" t="s">
        <v>19</v>
      </c>
      <c r="I481">
        <v>34</v>
      </c>
      <c r="J481" t="s">
        <v>37</v>
      </c>
      <c r="K481" t="str">
        <f>_xlfn.XLOOKUP( ventas[[#This Row],[ciudad_cliente]],  ciudades[Ciudad], ciudades[Region])</f>
        <v>Valparaíso</v>
      </c>
      <c r="L481" t="s">
        <v>22</v>
      </c>
      <c r="M481" t="s">
        <v>62</v>
      </c>
      <c r="N481" t="str">
        <f>_xlfn.XLOOKUP(ventas[[#This Row],[producto]], categ[Producto], categ[Categoria])</f>
        <v>Electrohogar</v>
      </c>
      <c r="O481">
        <v>650000</v>
      </c>
      <c r="P481">
        <v>2</v>
      </c>
      <c r="Q481" s="11">
        <v>0.05</v>
      </c>
      <c r="R481">
        <f>(ventas[[#This Row],[precio_unitario]]*ventas[[#This Row],[cantidad]])</f>
        <v>1300000</v>
      </c>
      <c r="S481">
        <f>ventas[[#This Row],[Total_Productos]]*ventas[[#This Row],[descuento_pct]]</f>
        <v>65000</v>
      </c>
      <c r="T481">
        <f>ventas[[#This Row],[Total_Productos]]-ventas[[#This Row],[Valor_descuento]]</f>
        <v>1235000</v>
      </c>
    </row>
    <row r="482" spans="1:20" x14ac:dyDescent="0.3">
      <c r="A482">
        <v>978</v>
      </c>
      <c r="B482" s="1">
        <v>45905</v>
      </c>
      <c r="C482">
        <v>66</v>
      </c>
      <c r="D482">
        <v>2</v>
      </c>
      <c r="E482">
        <v>94</v>
      </c>
      <c r="F482" t="s">
        <v>478</v>
      </c>
      <c r="G482" t="s">
        <v>479</v>
      </c>
      <c r="H482" t="s">
        <v>19</v>
      </c>
      <c r="I482">
        <v>34</v>
      </c>
      <c r="J482" t="s">
        <v>27</v>
      </c>
      <c r="K482" t="str">
        <f>_xlfn.XLOOKUP( ventas[[#This Row],[ciudad_cliente]],  ciudades[Ciudad], ciudades[Region])</f>
        <v>Biobío</v>
      </c>
      <c r="L482" t="s">
        <v>38</v>
      </c>
      <c r="M482" t="s">
        <v>62</v>
      </c>
      <c r="N482" t="str">
        <f>_xlfn.XLOOKUP(ventas[[#This Row],[producto]], categ[Producto], categ[Categoria])</f>
        <v>Electrohogar</v>
      </c>
      <c r="O482">
        <v>650000</v>
      </c>
      <c r="P482">
        <v>1</v>
      </c>
      <c r="Q482" s="11">
        <v>0.1</v>
      </c>
      <c r="R482">
        <f>(ventas[[#This Row],[precio_unitario]]*ventas[[#This Row],[cantidad]])</f>
        <v>650000</v>
      </c>
      <c r="S482">
        <f>ventas[[#This Row],[Total_Productos]]*ventas[[#This Row],[descuento_pct]]</f>
        <v>65000</v>
      </c>
      <c r="T482">
        <f>ventas[[#This Row],[Total_Productos]]-ventas[[#This Row],[Valor_descuento]]</f>
        <v>585000</v>
      </c>
    </row>
    <row r="483" spans="1:20" x14ac:dyDescent="0.3">
      <c r="A483">
        <v>541</v>
      </c>
      <c r="B483" s="1">
        <v>45468</v>
      </c>
      <c r="C483">
        <v>10</v>
      </c>
      <c r="D483">
        <v>7</v>
      </c>
      <c r="E483">
        <v>29</v>
      </c>
      <c r="F483" t="s">
        <v>548</v>
      </c>
      <c r="G483" t="s">
        <v>549</v>
      </c>
      <c r="H483" t="s">
        <v>19</v>
      </c>
      <c r="I483">
        <v>30</v>
      </c>
      <c r="J483" t="s">
        <v>37</v>
      </c>
      <c r="K483" t="str">
        <f>_xlfn.XLOOKUP( ventas[[#This Row],[ciudad_cliente]],  ciudades[Ciudad], ciudades[Region])</f>
        <v>Valparaíso</v>
      </c>
      <c r="L483" t="s">
        <v>38</v>
      </c>
      <c r="M483" t="s">
        <v>56</v>
      </c>
      <c r="N483" t="str">
        <f>_xlfn.XLOOKUP(ventas[[#This Row],[producto]], categ[Producto], categ[Categoria])</f>
        <v>Vestuario</v>
      </c>
      <c r="O483">
        <v>25000</v>
      </c>
      <c r="P483">
        <v>1</v>
      </c>
      <c r="Q483" s="11">
        <v>0</v>
      </c>
      <c r="R483">
        <f>(ventas[[#This Row],[precio_unitario]]*ventas[[#This Row],[cantidad]])</f>
        <v>25000</v>
      </c>
      <c r="S483">
        <f>ventas[[#This Row],[Total_Productos]]*ventas[[#This Row],[descuento_pct]]</f>
        <v>0</v>
      </c>
      <c r="T483">
        <f>ventas[[#This Row],[Total_Productos]]-ventas[[#This Row],[Valor_descuento]]</f>
        <v>25000</v>
      </c>
    </row>
    <row r="484" spans="1:20" x14ac:dyDescent="0.3">
      <c r="A484">
        <v>650</v>
      </c>
      <c r="B484" s="1">
        <v>45577</v>
      </c>
      <c r="C484">
        <v>58</v>
      </c>
      <c r="D484">
        <v>1</v>
      </c>
      <c r="E484">
        <v>29</v>
      </c>
      <c r="F484" t="s">
        <v>548</v>
      </c>
      <c r="G484" t="s">
        <v>549</v>
      </c>
      <c r="H484" t="s">
        <v>19</v>
      </c>
      <c r="I484">
        <v>30</v>
      </c>
      <c r="J484" t="s">
        <v>76</v>
      </c>
      <c r="K484" t="str">
        <f>_xlfn.XLOOKUP( ventas[[#This Row],[ciudad_cliente]],  ciudades[Ciudad], ciudades[Region])</f>
        <v>Los Lagos</v>
      </c>
      <c r="L484" t="s">
        <v>29</v>
      </c>
      <c r="M484" t="s">
        <v>39</v>
      </c>
      <c r="N484" t="str">
        <f>_xlfn.XLOOKUP(ventas[[#This Row],[producto]], categ[Producto], categ[Categoria])</f>
        <v>Belleza</v>
      </c>
      <c r="O484">
        <v>35000</v>
      </c>
      <c r="P484">
        <v>3</v>
      </c>
      <c r="Q484" s="11">
        <v>0</v>
      </c>
      <c r="R484">
        <f>(ventas[[#This Row],[precio_unitario]]*ventas[[#This Row],[cantidad]])</f>
        <v>105000</v>
      </c>
      <c r="S484">
        <f>ventas[[#This Row],[Total_Productos]]*ventas[[#This Row],[descuento_pct]]</f>
        <v>0</v>
      </c>
      <c r="T484">
        <f>ventas[[#This Row],[Total_Productos]]-ventas[[#This Row],[Valor_descuento]]</f>
        <v>105000</v>
      </c>
    </row>
    <row r="485" spans="1:20" x14ac:dyDescent="0.3">
      <c r="A485">
        <v>12</v>
      </c>
      <c r="B485" s="1">
        <v>44939</v>
      </c>
      <c r="C485">
        <v>43</v>
      </c>
      <c r="D485">
        <v>0</v>
      </c>
      <c r="E485">
        <v>50</v>
      </c>
      <c r="F485" t="s">
        <v>63</v>
      </c>
      <c r="G485" t="s">
        <v>64</v>
      </c>
      <c r="H485" t="s">
        <v>19</v>
      </c>
      <c r="I485">
        <v>18</v>
      </c>
      <c r="J485" t="s">
        <v>34</v>
      </c>
      <c r="K485" t="str">
        <f>_xlfn.XLOOKUP( ventas[[#This Row],[ciudad_cliente]],  ciudades[Ciudad], ciudades[Region])</f>
        <v>Metropolitana</v>
      </c>
      <c r="L485" t="s">
        <v>22</v>
      </c>
      <c r="M485" t="s">
        <v>46</v>
      </c>
      <c r="N485" t="str">
        <f>_xlfn.XLOOKUP(ventas[[#This Row],[producto]], categ[Producto], categ[Categoria])</f>
        <v>Tecnología</v>
      </c>
      <c r="O485">
        <v>750000</v>
      </c>
      <c r="P485">
        <v>3</v>
      </c>
      <c r="Q485" s="11">
        <v>0.1</v>
      </c>
      <c r="R485">
        <f>(ventas[[#This Row],[precio_unitario]]*ventas[[#This Row],[cantidad]])</f>
        <v>2250000</v>
      </c>
      <c r="S485">
        <f>ventas[[#This Row],[Total_Productos]]*ventas[[#This Row],[descuento_pct]]</f>
        <v>225000</v>
      </c>
      <c r="T485">
        <f>ventas[[#This Row],[Total_Productos]]-ventas[[#This Row],[Valor_descuento]]</f>
        <v>2025000</v>
      </c>
    </row>
    <row r="486" spans="1:20" x14ac:dyDescent="0.3">
      <c r="A486">
        <v>37</v>
      </c>
      <c r="B486" s="1">
        <v>44964</v>
      </c>
      <c r="C486">
        <v>17</v>
      </c>
      <c r="D486">
        <v>0</v>
      </c>
      <c r="E486">
        <v>50</v>
      </c>
      <c r="F486" t="s">
        <v>63</v>
      </c>
      <c r="G486" t="s">
        <v>64</v>
      </c>
      <c r="H486" t="s">
        <v>19</v>
      </c>
      <c r="I486">
        <v>18</v>
      </c>
      <c r="J486" t="s">
        <v>34</v>
      </c>
      <c r="K486" t="str">
        <f>_xlfn.XLOOKUP( ventas[[#This Row],[ciudad_cliente]],  ciudades[Ciudad], ciudades[Region])</f>
        <v>Metropolitana</v>
      </c>
      <c r="L486" t="s">
        <v>29</v>
      </c>
      <c r="M486" t="s">
        <v>49</v>
      </c>
      <c r="N486" t="str">
        <f>_xlfn.XLOOKUP(ventas[[#This Row],[producto]], categ[Producto], categ[Categoria])</f>
        <v>Electrohogar</v>
      </c>
      <c r="O486">
        <v>800000</v>
      </c>
      <c r="P486">
        <v>1</v>
      </c>
      <c r="Q486" s="11">
        <v>0</v>
      </c>
      <c r="R486">
        <f>(ventas[[#This Row],[precio_unitario]]*ventas[[#This Row],[cantidad]])</f>
        <v>800000</v>
      </c>
      <c r="S486">
        <f>ventas[[#This Row],[Total_Productos]]*ventas[[#This Row],[descuento_pct]]</f>
        <v>0</v>
      </c>
      <c r="T486">
        <f>ventas[[#This Row],[Total_Productos]]-ventas[[#This Row],[Valor_descuento]]</f>
        <v>800000</v>
      </c>
    </row>
    <row r="487" spans="1:20" x14ac:dyDescent="0.3">
      <c r="A487">
        <v>221</v>
      </c>
      <c r="B487" s="1">
        <v>45148</v>
      </c>
      <c r="C487">
        <v>33</v>
      </c>
      <c r="D487">
        <v>13</v>
      </c>
      <c r="E487">
        <v>50</v>
      </c>
      <c r="F487" t="s">
        <v>63</v>
      </c>
      <c r="G487" t="s">
        <v>64</v>
      </c>
      <c r="H487" t="s">
        <v>19</v>
      </c>
      <c r="I487">
        <v>18</v>
      </c>
      <c r="J487" t="s">
        <v>101</v>
      </c>
      <c r="K487" t="str">
        <f>_xlfn.XLOOKUP( ventas[[#This Row],[ciudad_cliente]],  ciudades[Ciudad], ciudades[Region])</f>
        <v>O'Higgins</v>
      </c>
      <c r="L487" t="s">
        <v>22</v>
      </c>
      <c r="M487" t="s">
        <v>56</v>
      </c>
      <c r="N487" t="str">
        <f>_xlfn.XLOOKUP(ventas[[#This Row],[producto]], categ[Producto], categ[Categoria])</f>
        <v>Vestuario</v>
      </c>
      <c r="O487">
        <v>25000</v>
      </c>
      <c r="P487">
        <v>1</v>
      </c>
      <c r="Q487" s="11">
        <v>0</v>
      </c>
      <c r="R487">
        <f>(ventas[[#This Row],[precio_unitario]]*ventas[[#This Row],[cantidad]])</f>
        <v>25000</v>
      </c>
      <c r="S487">
        <f>ventas[[#This Row],[Total_Productos]]*ventas[[#This Row],[descuento_pct]]</f>
        <v>0</v>
      </c>
      <c r="T487">
        <f>ventas[[#This Row],[Total_Productos]]-ventas[[#This Row],[Valor_descuento]]</f>
        <v>25000</v>
      </c>
    </row>
    <row r="488" spans="1:20" x14ac:dyDescent="0.3">
      <c r="A488">
        <v>588</v>
      </c>
      <c r="B488" s="1">
        <v>45515</v>
      </c>
      <c r="C488">
        <v>54</v>
      </c>
      <c r="D488">
        <v>9</v>
      </c>
      <c r="E488">
        <v>50</v>
      </c>
      <c r="F488" t="s">
        <v>63</v>
      </c>
      <c r="G488" t="s">
        <v>64</v>
      </c>
      <c r="H488" t="s">
        <v>19</v>
      </c>
      <c r="I488">
        <v>18</v>
      </c>
      <c r="J488" t="s">
        <v>27</v>
      </c>
      <c r="K488" t="str">
        <f>_xlfn.XLOOKUP( ventas[[#This Row],[ciudad_cliente]],  ciudades[Ciudad], ciudades[Region])</f>
        <v>Biobío</v>
      </c>
      <c r="L488" t="s">
        <v>38</v>
      </c>
      <c r="M488" t="s">
        <v>30</v>
      </c>
      <c r="N488" t="str">
        <f>_xlfn.XLOOKUP(ventas[[#This Row],[producto]], categ[Producto], categ[Categoria])</f>
        <v>Electrohogar</v>
      </c>
      <c r="O488">
        <v>700000</v>
      </c>
      <c r="P488">
        <v>1</v>
      </c>
      <c r="Q488" s="11">
        <v>0.05</v>
      </c>
      <c r="R488">
        <f>(ventas[[#This Row],[precio_unitario]]*ventas[[#This Row],[cantidad]])</f>
        <v>700000</v>
      </c>
      <c r="S488">
        <f>ventas[[#This Row],[Total_Productos]]*ventas[[#This Row],[descuento_pct]]</f>
        <v>35000</v>
      </c>
      <c r="T488">
        <f>ventas[[#This Row],[Total_Productos]]-ventas[[#This Row],[Valor_descuento]]</f>
        <v>665000</v>
      </c>
    </row>
    <row r="489" spans="1:20" x14ac:dyDescent="0.3">
      <c r="A489">
        <v>967</v>
      </c>
      <c r="B489" s="1">
        <v>45894</v>
      </c>
      <c r="C489">
        <v>59</v>
      </c>
      <c r="D489">
        <v>1</v>
      </c>
      <c r="E489">
        <v>50</v>
      </c>
      <c r="F489" t="s">
        <v>63</v>
      </c>
      <c r="G489" t="s">
        <v>64</v>
      </c>
      <c r="H489" t="s">
        <v>19</v>
      </c>
      <c r="I489">
        <v>18</v>
      </c>
      <c r="J489" t="s">
        <v>43</v>
      </c>
      <c r="K489" t="str">
        <f>_xlfn.XLOOKUP( ventas[[#This Row],[ciudad_cliente]],  ciudades[Ciudad], ciudades[Region])</f>
        <v>Antofagasta</v>
      </c>
      <c r="L489" t="s">
        <v>22</v>
      </c>
      <c r="M489" t="s">
        <v>49</v>
      </c>
      <c r="N489" t="str">
        <f>_xlfn.XLOOKUP(ventas[[#This Row],[producto]], categ[Producto], categ[Categoria])</f>
        <v>Electrohogar</v>
      </c>
      <c r="O489">
        <v>800000</v>
      </c>
      <c r="P489">
        <v>2</v>
      </c>
      <c r="Q489" s="11">
        <v>0</v>
      </c>
      <c r="R489">
        <f>(ventas[[#This Row],[precio_unitario]]*ventas[[#This Row],[cantidad]])</f>
        <v>1600000</v>
      </c>
      <c r="S489">
        <f>ventas[[#This Row],[Total_Productos]]*ventas[[#This Row],[descuento_pct]]</f>
        <v>0</v>
      </c>
      <c r="T489">
        <f>ventas[[#This Row],[Total_Productos]]-ventas[[#This Row],[Valor_descuento]]</f>
        <v>1600000</v>
      </c>
    </row>
    <row r="490" spans="1:20" x14ac:dyDescent="0.3">
      <c r="A490">
        <v>972</v>
      </c>
      <c r="B490" s="1">
        <v>45899</v>
      </c>
      <c r="C490">
        <v>13</v>
      </c>
      <c r="D490">
        <v>0</v>
      </c>
      <c r="E490">
        <v>50</v>
      </c>
      <c r="F490" t="s">
        <v>63</v>
      </c>
      <c r="G490" t="s">
        <v>64</v>
      </c>
      <c r="H490" t="s">
        <v>19</v>
      </c>
      <c r="I490">
        <v>18</v>
      </c>
      <c r="J490" t="s">
        <v>27</v>
      </c>
      <c r="K490" t="str">
        <f>_xlfn.XLOOKUP( ventas[[#This Row],[ciudad_cliente]],  ciudades[Ciudad], ciudades[Region])</f>
        <v>Biobío</v>
      </c>
      <c r="L490" t="s">
        <v>38</v>
      </c>
      <c r="M490" t="s">
        <v>102</v>
      </c>
      <c r="N490" t="str">
        <f>_xlfn.XLOOKUP(ventas[[#This Row],[producto]], categ[Producto], categ[Categoria])</f>
        <v>Vestuario</v>
      </c>
      <c r="O490">
        <v>12000</v>
      </c>
      <c r="P490">
        <v>3</v>
      </c>
      <c r="Q490" s="11">
        <v>0.1</v>
      </c>
      <c r="R490">
        <f>(ventas[[#This Row],[precio_unitario]]*ventas[[#This Row],[cantidad]])</f>
        <v>36000</v>
      </c>
      <c r="S490">
        <f>ventas[[#This Row],[Total_Productos]]*ventas[[#This Row],[descuento_pct]]</f>
        <v>3600</v>
      </c>
      <c r="T490">
        <f>ventas[[#This Row],[Total_Productos]]-ventas[[#This Row],[Valor_descuento]]</f>
        <v>32400</v>
      </c>
    </row>
    <row r="491" spans="1:20" x14ac:dyDescent="0.3">
      <c r="A491">
        <v>972</v>
      </c>
      <c r="B491" s="1">
        <v>45899</v>
      </c>
      <c r="C491">
        <v>13</v>
      </c>
      <c r="D491">
        <v>0</v>
      </c>
      <c r="E491">
        <v>50</v>
      </c>
      <c r="F491" t="s">
        <v>63</v>
      </c>
      <c r="G491" t="s">
        <v>64</v>
      </c>
      <c r="H491" t="s">
        <v>19</v>
      </c>
      <c r="I491">
        <v>18</v>
      </c>
      <c r="J491" t="s">
        <v>27</v>
      </c>
      <c r="K491" t="str">
        <f>_xlfn.XLOOKUP( ventas[[#This Row],[ciudad_cliente]],  ciudades[Ciudad], ciudades[Region])</f>
        <v>Biobío</v>
      </c>
      <c r="L491" t="s">
        <v>38</v>
      </c>
      <c r="M491" t="s">
        <v>102</v>
      </c>
      <c r="N491" t="str">
        <f>_xlfn.XLOOKUP(ventas[[#This Row],[producto]], categ[Producto], categ[Categoria])</f>
        <v>Vestuario</v>
      </c>
      <c r="O491">
        <v>12000</v>
      </c>
      <c r="P491">
        <v>3</v>
      </c>
      <c r="Q491" s="11">
        <v>0.1</v>
      </c>
      <c r="R491">
        <f>(ventas[[#This Row],[precio_unitario]]*ventas[[#This Row],[cantidad]])</f>
        <v>36000</v>
      </c>
      <c r="S491">
        <f>ventas[[#This Row],[Total_Productos]]*ventas[[#This Row],[descuento_pct]]</f>
        <v>3600</v>
      </c>
      <c r="T491">
        <f>ventas[[#This Row],[Total_Productos]]-ventas[[#This Row],[Valor_descuento]]</f>
        <v>32400</v>
      </c>
    </row>
    <row r="492" spans="1:20" x14ac:dyDescent="0.3">
      <c r="A492">
        <v>25</v>
      </c>
      <c r="B492" s="1">
        <v>44952</v>
      </c>
      <c r="C492">
        <v>52</v>
      </c>
      <c r="D492">
        <v>0</v>
      </c>
      <c r="E492">
        <v>132</v>
      </c>
      <c r="F492" t="s">
        <v>94</v>
      </c>
      <c r="G492" t="s">
        <v>95</v>
      </c>
      <c r="H492" t="s">
        <v>42</v>
      </c>
      <c r="I492">
        <v>38</v>
      </c>
      <c r="J492" t="s">
        <v>27</v>
      </c>
      <c r="K492" t="str">
        <f>_xlfn.XLOOKUP( ventas[[#This Row],[ciudad_cliente]],  ciudades[Ciudad], ciudades[Region])</f>
        <v>Biobío</v>
      </c>
      <c r="L492" t="s">
        <v>29</v>
      </c>
      <c r="M492" t="s">
        <v>56</v>
      </c>
      <c r="N492" t="str">
        <f>_xlfn.XLOOKUP(ventas[[#This Row],[producto]], categ[Producto], categ[Categoria])</f>
        <v>Vestuario</v>
      </c>
      <c r="O492">
        <v>25000</v>
      </c>
      <c r="P492">
        <v>3</v>
      </c>
      <c r="Q492" s="11">
        <v>0</v>
      </c>
      <c r="R492">
        <f>(ventas[[#This Row],[precio_unitario]]*ventas[[#This Row],[cantidad]])</f>
        <v>75000</v>
      </c>
      <c r="S492">
        <f>ventas[[#This Row],[Total_Productos]]*ventas[[#This Row],[descuento_pct]]</f>
        <v>0</v>
      </c>
      <c r="T492">
        <f>ventas[[#This Row],[Total_Productos]]-ventas[[#This Row],[Valor_descuento]]</f>
        <v>75000</v>
      </c>
    </row>
    <row r="493" spans="1:20" x14ac:dyDescent="0.3">
      <c r="A493">
        <v>53</v>
      </c>
      <c r="B493" s="1">
        <v>44980</v>
      </c>
      <c r="C493">
        <v>5</v>
      </c>
      <c r="D493">
        <v>1</v>
      </c>
      <c r="E493">
        <v>132</v>
      </c>
      <c r="F493" t="s">
        <v>94</v>
      </c>
      <c r="G493" t="s">
        <v>95</v>
      </c>
      <c r="H493" t="s">
        <v>42</v>
      </c>
      <c r="I493">
        <v>38</v>
      </c>
      <c r="J493" t="s">
        <v>27</v>
      </c>
      <c r="K493" t="str">
        <f>_xlfn.XLOOKUP( ventas[[#This Row],[ciudad_cliente]],  ciudades[Ciudad], ciudades[Region])</f>
        <v>Biobío</v>
      </c>
      <c r="L493" t="s">
        <v>38</v>
      </c>
      <c r="M493" t="s">
        <v>46</v>
      </c>
      <c r="N493" t="str">
        <f>_xlfn.XLOOKUP(ventas[[#This Row],[producto]], categ[Producto], categ[Categoria])</f>
        <v>Tecnología</v>
      </c>
      <c r="O493">
        <v>750000</v>
      </c>
      <c r="P493">
        <v>1</v>
      </c>
      <c r="Q493" s="11">
        <v>0</v>
      </c>
      <c r="R493">
        <f>(ventas[[#This Row],[precio_unitario]]*ventas[[#This Row],[cantidad]])</f>
        <v>750000</v>
      </c>
      <c r="S493">
        <f>ventas[[#This Row],[Total_Productos]]*ventas[[#This Row],[descuento_pct]]</f>
        <v>0</v>
      </c>
      <c r="T493">
        <f>ventas[[#This Row],[Total_Productos]]-ventas[[#This Row],[Valor_descuento]]</f>
        <v>750000</v>
      </c>
    </row>
    <row r="494" spans="1:20" x14ac:dyDescent="0.3">
      <c r="A494">
        <v>252</v>
      </c>
      <c r="B494" s="1">
        <v>45179</v>
      </c>
      <c r="C494">
        <v>43</v>
      </c>
      <c r="D494">
        <v>0</v>
      </c>
      <c r="E494">
        <v>132</v>
      </c>
      <c r="F494" t="s">
        <v>94</v>
      </c>
      <c r="G494" t="s">
        <v>95</v>
      </c>
      <c r="H494" t="s">
        <v>42</v>
      </c>
      <c r="I494">
        <v>38</v>
      </c>
      <c r="J494" t="s">
        <v>34</v>
      </c>
      <c r="K494" t="str">
        <f>_xlfn.XLOOKUP( ventas[[#This Row],[ciudad_cliente]],  ciudades[Ciudad], ciudades[Region])</f>
        <v>Metropolitana</v>
      </c>
      <c r="L494" t="s">
        <v>38</v>
      </c>
      <c r="M494" t="s">
        <v>39</v>
      </c>
      <c r="N494" t="str">
        <f>_xlfn.XLOOKUP(ventas[[#This Row],[producto]], categ[Producto], categ[Categoria])</f>
        <v>Belleza</v>
      </c>
      <c r="O494">
        <v>35000</v>
      </c>
      <c r="P494">
        <v>2</v>
      </c>
      <c r="Q494" s="11">
        <v>0.05</v>
      </c>
      <c r="R494">
        <f>(ventas[[#This Row],[precio_unitario]]*ventas[[#This Row],[cantidad]])</f>
        <v>70000</v>
      </c>
      <c r="S494">
        <f>ventas[[#This Row],[Total_Productos]]*ventas[[#This Row],[descuento_pct]]</f>
        <v>3500</v>
      </c>
      <c r="T494">
        <f>ventas[[#This Row],[Total_Productos]]-ventas[[#This Row],[Valor_descuento]]</f>
        <v>66500</v>
      </c>
    </row>
    <row r="495" spans="1:20" x14ac:dyDescent="0.3">
      <c r="A495">
        <v>279</v>
      </c>
      <c r="B495" s="1">
        <v>45206</v>
      </c>
      <c r="C495">
        <v>30</v>
      </c>
      <c r="D495">
        <v>0</v>
      </c>
      <c r="E495">
        <v>132</v>
      </c>
      <c r="F495" t="s">
        <v>94</v>
      </c>
      <c r="G495" t="s">
        <v>95</v>
      </c>
      <c r="H495" t="s">
        <v>42</v>
      </c>
      <c r="I495">
        <v>38</v>
      </c>
      <c r="J495" t="s">
        <v>37</v>
      </c>
      <c r="K495" t="str">
        <f>_xlfn.XLOOKUP( ventas[[#This Row],[ciudad_cliente]],  ciudades[Ciudad], ciudades[Region])</f>
        <v>Valparaíso</v>
      </c>
      <c r="L495" t="s">
        <v>38</v>
      </c>
      <c r="M495" t="s">
        <v>30</v>
      </c>
      <c r="N495" t="str">
        <f>_xlfn.XLOOKUP(ventas[[#This Row],[producto]], categ[Producto], categ[Categoria])</f>
        <v>Electrohogar</v>
      </c>
      <c r="O495">
        <v>700000</v>
      </c>
      <c r="P495">
        <v>3</v>
      </c>
      <c r="Q495" s="11">
        <v>0</v>
      </c>
      <c r="R495">
        <f>(ventas[[#This Row],[precio_unitario]]*ventas[[#This Row],[cantidad]])</f>
        <v>2100000</v>
      </c>
      <c r="S495">
        <f>ventas[[#This Row],[Total_Productos]]*ventas[[#This Row],[descuento_pct]]</f>
        <v>0</v>
      </c>
      <c r="T495">
        <f>ventas[[#This Row],[Total_Productos]]-ventas[[#This Row],[Valor_descuento]]</f>
        <v>2100000</v>
      </c>
    </row>
    <row r="496" spans="1:20" x14ac:dyDescent="0.3">
      <c r="A496">
        <v>346</v>
      </c>
      <c r="B496" s="1">
        <v>45273</v>
      </c>
      <c r="C496">
        <v>20</v>
      </c>
      <c r="D496">
        <v>0</v>
      </c>
      <c r="E496">
        <v>132</v>
      </c>
      <c r="F496" t="s">
        <v>94</v>
      </c>
      <c r="G496" t="s">
        <v>95</v>
      </c>
      <c r="H496" t="s">
        <v>42</v>
      </c>
      <c r="I496">
        <v>38</v>
      </c>
      <c r="J496" t="s">
        <v>20</v>
      </c>
      <c r="K496" t="str">
        <f>_xlfn.XLOOKUP( ventas[[#This Row],[ciudad_cliente]],  ciudades[Ciudad], ciudades[Region])</f>
        <v>La Araucanía</v>
      </c>
      <c r="L496" t="s">
        <v>38</v>
      </c>
      <c r="M496" t="s">
        <v>39</v>
      </c>
      <c r="N496" t="str">
        <f>_xlfn.XLOOKUP(ventas[[#This Row],[producto]], categ[Producto], categ[Categoria])</f>
        <v>Belleza</v>
      </c>
      <c r="O496">
        <v>35000</v>
      </c>
      <c r="P496">
        <v>1</v>
      </c>
      <c r="Q496" s="11">
        <v>0.05</v>
      </c>
      <c r="R496">
        <f>(ventas[[#This Row],[precio_unitario]]*ventas[[#This Row],[cantidad]])</f>
        <v>35000</v>
      </c>
      <c r="S496">
        <f>ventas[[#This Row],[Total_Productos]]*ventas[[#This Row],[descuento_pct]]</f>
        <v>1750</v>
      </c>
      <c r="T496">
        <f>ventas[[#This Row],[Total_Productos]]-ventas[[#This Row],[Valor_descuento]]</f>
        <v>33250</v>
      </c>
    </row>
    <row r="497" spans="1:20" x14ac:dyDescent="0.3">
      <c r="A497">
        <v>346</v>
      </c>
      <c r="B497" s="1">
        <v>45273</v>
      </c>
      <c r="C497">
        <v>20</v>
      </c>
      <c r="D497">
        <v>0</v>
      </c>
      <c r="E497">
        <v>132</v>
      </c>
      <c r="F497" t="s">
        <v>94</v>
      </c>
      <c r="G497" t="s">
        <v>95</v>
      </c>
      <c r="H497" t="s">
        <v>42</v>
      </c>
      <c r="I497">
        <v>38</v>
      </c>
      <c r="J497" t="s">
        <v>20</v>
      </c>
      <c r="K497" t="str">
        <f>_xlfn.XLOOKUP( ventas[[#This Row],[ciudad_cliente]],  ciudades[Ciudad], ciudades[Region])</f>
        <v>La Araucanía</v>
      </c>
      <c r="L497" t="s">
        <v>38</v>
      </c>
      <c r="M497" t="s">
        <v>39</v>
      </c>
      <c r="N497" t="str">
        <f>_xlfn.XLOOKUP(ventas[[#This Row],[producto]], categ[Producto], categ[Categoria])</f>
        <v>Belleza</v>
      </c>
      <c r="O497">
        <v>35000</v>
      </c>
      <c r="P497">
        <v>1</v>
      </c>
      <c r="Q497" s="11">
        <v>0.05</v>
      </c>
      <c r="R497">
        <f>(ventas[[#This Row],[precio_unitario]]*ventas[[#This Row],[cantidad]])</f>
        <v>35000</v>
      </c>
      <c r="S497">
        <f>ventas[[#This Row],[Total_Productos]]*ventas[[#This Row],[descuento_pct]]</f>
        <v>1750</v>
      </c>
      <c r="T497">
        <f>ventas[[#This Row],[Total_Productos]]-ventas[[#This Row],[Valor_descuento]]</f>
        <v>33250</v>
      </c>
    </row>
    <row r="498" spans="1:20" x14ac:dyDescent="0.3">
      <c r="A498">
        <v>408</v>
      </c>
      <c r="B498" s="1">
        <v>45335</v>
      </c>
      <c r="C498">
        <v>1</v>
      </c>
      <c r="D498">
        <v>8</v>
      </c>
      <c r="E498">
        <v>132</v>
      </c>
      <c r="F498" t="s">
        <v>94</v>
      </c>
      <c r="G498" t="s">
        <v>95</v>
      </c>
      <c r="H498" t="s">
        <v>42</v>
      </c>
      <c r="I498">
        <v>38</v>
      </c>
      <c r="J498" t="s">
        <v>34</v>
      </c>
      <c r="K498" t="str">
        <f>_xlfn.XLOOKUP( ventas[[#This Row],[ciudad_cliente]],  ciudades[Ciudad], ciudades[Region])</f>
        <v>Metropolitana</v>
      </c>
      <c r="L498" t="s">
        <v>22</v>
      </c>
      <c r="M498" t="s">
        <v>46</v>
      </c>
      <c r="N498" t="str">
        <f>_xlfn.XLOOKUP(ventas[[#This Row],[producto]], categ[Producto], categ[Categoria])</f>
        <v>Tecnología</v>
      </c>
      <c r="O498">
        <v>750000</v>
      </c>
      <c r="P498">
        <v>1</v>
      </c>
      <c r="Q498" s="11">
        <v>0.05</v>
      </c>
      <c r="R498">
        <f>(ventas[[#This Row],[precio_unitario]]*ventas[[#This Row],[cantidad]])</f>
        <v>750000</v>
      </c>
      <c r="S498">
        <f>ventas[[#This Row],[Total_Productos]]*ventas[[#This Row],[descuento_pct]]</f>
        <v>37500</v>
      </c>
      <c r="T498">
        <f>ventas[[#This Row],[Total_Productos]]-ventas[[#This Row],[Valor_descuento]]</f>
        <v>712500</v>
      </c>
    </row>
    <row r="499" spans="1:20" x14ac:dyDescent="0.3">
      <c r="A499">
        <v>426</v>
      </c>
      <c r="B499" s="1">
        <v>45353</v>
      </c>
      <c r="C499">
        <v>29</v>
      </c>
      <c r="D499">
        <v>1</v>
      </c>
      <c r="E499">
        <v>132</v>
      </c>
      <c r="F499" t="s">
        <v>94</v>
      </c>
      <c r="G499" t="s">
        <v>95</v>
      </c>
      <c r="H499" t="s">
        <v>42</v>
      </c>
      <c r="I499">
        <v>38</v>
      </c>
      <c r="J499" t="s">
        <v>116</v>
      </c>
      <c r="K499" t="str">
        <f>_xlfn.XLOOKUP( ventas[[#This Row],[ciudad_cliente]],  ciudades[Ciudad], ciudades[Region])</f>
        <v>Valparaíso</v>
      </c>
      <c r="L499" t="s">
        <v>38</v>
      </c>
      <c r="M499" t="s">
        <v>39</v>
      </c>
      <c r="N499" t="str">
        <f>_xlfn.XLOOKUP(ventas[[#This Row],[producto]], categ[Producto], categ[Categoria])</f>
        <v>Belleza</v>
      </c>
      <c r="O499">
        <v>35000</v>
      </c>
      <c r="P499">
        <v>1</v>
      </c>
      <c r="Q499" s="11">
        <v>0</v>
      </c>
      <c r="R499">
        <f>(ventas[[#This Row],[precio_unitario]]*ventas[[#This Row],[cantidad]])</f>
        <v>35000</v>
      </c>
      <c r="S499">
        <f>ventas[[#This Row],[Total_Productos]]*ventas[[#This Row],[descuento_pct]]</f>
        <v>0</v>
      </c>
      <c r="T499">
        <f>ventas[[#This Row],[Total_Productos]]-ventas[[#This Row],[Valor_descuento]]</f>
        <v>35000</v>
      </c>
    </row>
    <row r="500" spans="1:20" x14ac:dyDescent="0.3">
      <c r="A500">
        <v>520</v>
      </c>
      <c r="B500" s="1">
        <v>45447</v>
      </c>
      <c r="C500">
        <v>64</v>
      </c>
      <c r="D500">
        <v>4</v>
      </c>
      <c r="E500">
        <v>132</v>
      </c>
      <c r="F500" t="s">
        <v>94</v>
      </c>
      <c r="G500" t="s">
        <v>95</v>
      </c>
      <c r="H500" t="s">
        <v>42</v>
      </c>
      <c r="I500">
        <v>38</v>
      </c>
      <c r="J500" t="s">
        <v>20</v>
      </c>
      <c r="K500" t="str">
        <f>_xlfn.XLOOKUP( ventas[[#This Row],[ciudad_cliente]],  ciudades[Ciudad], ciudades[Region])</f>
        <v>La Araucanía</v>
      </c>
      <c r="L500" t="s">
        <v>22</v>
      </c>
      <c r="M500" t="s">
        <v>56</v>
      </c>
      <c r="N500" t="str">
        <f>_xlfn.XLOOKUP(ventas[[#This Row],[producto]], categ[Producto], categ[Categoria])</f>
        <v>Vestuario</v>
      </c>
      <c r="O500">
        <v>25000</v>
      </c>
      <c r="P500">
        <v>2</v>
      </c>
      <c r="Q500" s="11">
        <v>0.1</v>
      </c>
      <c r="R500">
        <f>(ventas[[#This Row],[precio_unitario]]*ventas[[#This Row],[cantidad]])</f>
        <v>50000</v>
      </c>
      <c r="S500">
        <f>ventas[[#This Row],[Total_Productos]]*ventas[[#This Row],[descuento_pct]]</f>
        <v>5000</v>
      </c>
      <c r="T500">
        <f>ventas[[#This Row],[Total_Productos]]-ventas[[#This Row],[Valor_descuento]]</f>
        <v>45000</v>
      </c>
    </row>
    <row r="501" spans="1:20" x14ac:dyDescent="0.3">
      <c r="A501">
        <v>574</v>
      </c>
      <c r="B501" s="1">
        <v>45501</v>
      </c>
      <c r="C501">
        <v>5</v>
      </c>
      <c r="D501">
        <v>1</v>
      </c>
      <c r="E501">
        <v>194</v>
      </c>
      <c r="F501" t="s">
        <v>554</v>
      </c>
      <c r="G501" t="s">
        <v>555</v>
      </c>
      <c r="H501" t="s">
        <v>42</v>
      </c>
      <c r="I501">
        <v>23</v>
      </c>
      <c r="J501" t="s">
        <v>27</v>
      </c>
      <c r="K501" t="str">
        <f>_xlfn.XLOOKUP( ventas[[#This Row],[ciudad_cliente]],  ciudades[Ciudad], ciudades[Region])</f>
        <v>Biobío</v>
      </c>
      <c r="L501" t="s">
        <v>22</v>
      </c>
      <c r="M501" t="s">
        <v>39</v>
      </c>
      <c r="N501" t="str">
        <f>_xlfn.XLOOKUP(ventas[[#This Row],[producto]], categ[Producto], categ[Categoria])</f>
        <v>Belleza</v>
      </c>
      <c r="O501">
        <v>35000</v>
      </c>
      <c r="P501">
        <v>1</v>
      </c>
      <c r="Q501" s="11">
        <v>0</v>
      </c>
      <c r="R501">
        <f>(ventas[[#This Row],[precio_unitario]]*ventas[[#This Row],[cantidad]])</f>
        <v>35000</v>
      </c>
      <c r="S501">
        <f>ventas[[#This Row],[Total_Productos]]*ventas[[#This Row],[descuento_pct]]</f>
        <v>0</v>
      </c>
      <c r="T501">
        <f>ventas[[#This Row],[Total_Productos]]-ventas[[#This Row],[Valor_descuento]]</f>
        <v>35000</v>
      </c>
    </row>
    <row r="502" spans="1:20" x14ac:dyDescent="0.3">
      <c r="A502">
        <v>236</v>
      </c>
      <c r="B502" s="1">
        <v>45163</v>
      </c>
      <c r="C502">
        <v>65</v>
      </c>
      <c r="D502">
        <v>0</v>
      </c>
      <c r="E502">
        <v>259</v>
      </c>
      <c r="F502" t="s">
        <v>390</v>
      </c>
      <c r="G502" t="s">
        <v>391</v>
      </c>
      <c r="H502" t="s">
        <v>42</v>
      </c>
      <c r="I502">
        <v>43</v>
      </c>
      <c r="J502" t="s">
        <v>101</v>
      </c>
      <c r="K502" t="str">
        <f>_xlfn.XLOOKUP( ventas[[#This Row],[ciudad_cliente]],  ciudades[Ciudad], ciudades[Region])</f>
        <v>O'Higgins</v>
      </c>
      <c r="L502" t="s">
        <v>38</v>
      </c>
      <c r="M502" t="s">
        <v>39</v>
      </c>
      <c r="N502" t="str">
        <f>_xlfn.XLOOKUP(ventas[[#This Row],[producto]], categ[Producto], categ[Categoria])</f>
        <v>Belleza</v>
      </c>
      <c r="O502">
        <v>35000</v>
      </c>
      <c r="P502">
        <v>3</v>
      </c>
      <c r="Q502" s="11">
        <v>0</v>
      </c>
      <c r="R502">
        <f>(ventas[[#This Row],[precio_unitario]]*ventas[[#This Row],[cantidad]])</f>
        <v>105000</v>
      </c>
      <c r="S502">
        <f>ventas[[#This Row],[Total_Productos]]*ventas[[#This Row],[descuento_pct]]</f>
        <v>0</v>
      </c>
      <c r="T502">
        <f>ventas[[#This Row],[Total_Productos]]-ventas[[#This Row],[Valor_descuento]]</f>
        <v>105000</v>
      </c>
    </row>
    <row r="503" spans="1:20" x14ac:dyDescent="0.3">
      <c r="A503">
        <v>328</v>
      </c>
      <c r="B503" s="1">
        <v>45255</v>
      </c>
      <c r="C503">
        <v>2</v>
      </c>
      <c r="D503">
        <v>2</v>
      </c>
      <c r="E503">
        <v>259</v>
      </c>
      <c r="F503" t="s">
        <v>390</v>
      </c>
      <c r="G503" t="s">
        <v>391</v>
      </c>
      <c r="H503" t="s">
        <v>42</v>
      </c>
      <c r="I503">
        <v>43</v>
      </c>
      <c r="J503" t="s">
        <v>101</v>
      </c>
      <c r="K503" t="str">
        <f>_xlfn.XLOOKUP( ventas[[#This Row],[ciudad_cliente]],  ciudades[Ciudad], ciudades[Region])</f>
        <v>O'Higgins</v>
      </c>
      <c r="L503" t="s">
        <v>38</v>
      </c>
      <c r="M503" t="s">
        <v>49</v>
      </c>
      <c r="N503" t="str">
        <f>_xlfn.XLOOKUP(ventas[[#This Row],[producto]], categ[Producto], categ[Categoria])</f>
        <v>Electrohogar</v>
      </c>
      <c r="O503">
        <v>800000</v>
      </c>
      <c r="P503">
        <v>2</v>
      </c>
      <c r="Q503" s="11">
        <v>0</v>
      </c>
      <c r="R503">
        <f>(ventas[[#This Row],[precio_unitario]]*ventas[[#This Row],[cantidad]])</f>
        <v>1600000</v>
      </c>
      <c r="S503">
        <f>ventas[[#This Row],[Total_Productos]]*ventas[[#This Row],[descuento_pct]]</f>
        <v>0</v>
      </c>
      <c r="T503">
        <f>ventas[[#This Row],[Total_Productos]]-ventas[[#This Row],[Valor_descuento]]</f>
        <v>1600000</v>
      </c>
    </row>
    <row r="504" spans="1:20" x14ac:dyDescent="0.3">
      <c r="A504">
        <v>468</v>
      </c>
      <c r="B504" s="1">
        <v>45395</v>
      </c>
      <c r="C504">
        <v>57</v>
      </c>
      <c r="D504">
        <v>3</v>
      </c>
      <c r="E504">
        <v>259</v>
      </c>
      <c r="F504" t="s">
        <v>390</v>
      </c>
      <c r="G504" t="s">
        <v>391</v>
      </c>
      <c r="H504" t="s">
        <v>42</v>
      </c>
      <c r="I504">
        <v>43</v>
      </c>
      <c r="J504" t="s">
        <v>52</v>
      </c>
      <c r="K504" t="str">
        <f>_xlfn.XLOOKUP( ventas[[#This Row],[ciudad_cliente]],  ciudades[Ciudad], ciudades[Region])</f>
        <v>Biobío</v>
      </c>
      <c r="L504" t="s">
        <v>38</v>
      </c>
      <c r="M504" t="s">
        <v>46</v>
      </c>
      <c r="N504" t="str">
        <f>_xlfn.XLOOKUP(ventas[[#This Row],[producto]], categ[Producto], categ[Categoria])</f>
        <v>Tecnología</v>
      </c>
      <c r="O504">
        <v>750000</v>
      </c>
      <c r="P504">
        <v>2</v>
      </c>
      <c r="Q504" s="11">
        <v>0</v>
      </c>
      <c r="R504">
        <f>(ventas[[#This Row],[precio_unitario]]*ventas[[#This Row],[cantidad]])</f>
        <v>1500000</v>
      </c>
      <c r="S504">
        <f>ventas[[#This Row],[Total_Productos]]*ventas[[#This Row],[descuento_pct]]</f>
        <v>0</v>
      </c>
      <c r="T504">
        <f>ventas[[#This Row],[Total_Productos]]-ventas[[#This Row],[Valor_descuento]]</f>
        <v>1500000</v>
      </c>
    </row>
    <row r="505" spans="1:20" x14ac:dyDescent="0.3">
      <c r="A505">
        <v>794</v>
      </c>
      <c r="B505" s="1">
        <v>45721</v>
      </c>
      <c r="C505">
        <v>66</v>
      </c>
      <c r="D505">
        <v>2</v>
      </c>
      <c r="E505">
        <v>259</v>
      </c>
      <c r="F505" t="s">
        <v>390</v>
      </c>
      <c r="G505" t="s">
        <v>391</v>
      </c>
      <c r="H505" t="s">
        <v>42</v>
      </c>
      <c r="I505">
        <v>43</v>
      </c>
      <c r="J505" t="s">
        <v>27</v>
      </c>
      <c r="K505" t="str">
        <f>_xlfn.XLOOKUP( ventas[[#This Row],[ciudad_cliente]],  ciudades[Ciudad], ciudades[Region])</f>
        <v>Biobío</v>
      </c>
      <c r="L505" t="s">
        <v>38</v>
      </c>
      <c r="M505" t="s">
        <v>56</v>
      </c>
      <c r="N505" t="str">
        <f>_xlfn.XLOOKUP(ventas[[#This Row],[producto]], categ[Producto], categ[Categoria])</f>
        <v>Vestuario</v>
      </c>
      <c r="O505">
        <v>25000</v>
      </c>
      <c r="P505">
        <v>3</v>
      </c>
      <c r="Q505" s="11">
        <v>0.05</v>
      </c>
      <c r="R505">
        <f>(ventas[[#This Row],[precio_unitario]]*ventas[[#This Row],[cantidad]])</f>
        <v>75000</v>
      </c>
      <c r="S505">
        <f>ventas[[#This Row],[Total_Productos]]*ventas[[#This Row],[descuento_pct]]</f>
        <v>3750</v>
      </c>
      <c r="T505">
        <f>ventas[[#This Row],[Total_Productos]]-ventas[[#This Row],[Valor_descuento]]</f>
        <v>71250</v>
      </c>
    </row>
    <row r="506" spans="1:20" x14ac:dyDescent="0.3">
      <c r="A506">
        <v>76</v>
      </c>
      <c r="B506" s="1">
        <v>45003</v>
      </c>
      <c r="C506">
        <v>3</v>
      </c>
      <c r="D506">
        <v>1</v>
      </c>
      <c r="E506">
        <v>137</v>
      </c>
      <c r="F506" t="s">
        <v>191</v>
      </c>
      <c r="G506" t="s">
        <v>192</v>
      </c>
      <c r="H506" t="s">
        <v>19</v>
      </c>
      <c r="I506">
        <v>28</v>
      </c>
      <c r="J506" t="s">
        <v>37</v>
      </c>
      <c r="K506" t="str">
        <f>_xlfn.XLOOKUP( ventas[[#This Row],[ciudad_cliente]],  ciudades[Ciudad], ciudades[Region])</f>
        <v>Valparaíso</v>
      </c>
      <c r="L506" t="s">
        <v>29</v>
      </c>
      <c r="M506" t="s">
        <v>62</v>
      </c>
      <c r="N506" t="str">
        <f>_xlfn.XLOOKUP(ventas[[#This Row],[producto]], categ[Producto], categ[Categoria])</f>
        <v>Electrohogar</v>
      </c>
      <c r="O506">
        <v>650000</v>
      </c>
      <c r="P506">
        <v>3</v>
      </c>
      <c r="Q506" s="11">
        <v>0</v>
      </c>
      <c r="R506">
        <f>(ventas[[#This Row],[precio_unitario]]*ventas[[#This Row],[cantidad]])</f>
        <v>1950000</v>
      </c>
      <c r="S506">
        <f>ventas[[#This Row],[Total_Productos]]*ventas[[#This Row],[descuento_pct]]</f>
        <v>0</v>
      </c>
      <c r="T506">
        <f>ventas[[#This Row],[Total_Productos]]-ventas[[#This Row],[Valor_descuento]]</f>
        <v>1950000</v>
      </c>
    </row>
    <row r="507" spans="1:20" x14ac:dyDescent="0.3">
      <c r="A507">
        <v>393</v>
      </c>
      <c r="B507" s="1">
        <v>45320</v>
      </c>
      <c r="C507">
        <v>13</v>
      </c>
      <c r="D507">
        <v>0</v>
      </c>
      <c r="E507">
        <v>137</v>
      </c>
      <c r="F507" t="s">
        <v>191</v>
      </c>
      <c r="G507" t="s">
        <v>192</v>
      </c>
      <c r="H507" t="s">
        <v>19</v>
      </c>
      <c r="I507">
        <v>28</v>
      </c>
      <c r="J507" t="s">
        <v>27</v>
      </c>
      <c r="K507" t="str">
        <f>_xlfn.XLOOKUP( ventas[[#This Row],[ciudad_cliente]],  ciudades[Ciudad], ciudades[Region])</f>
        <v>Biobío</v>
      </c>
      <c r="L507" t="s">
        <v>22</v>
      </c>
      <c r="M507" t="s">
        <v>46</v>
      </c>
      <c r="N507" t="str">
        <f>_xlfn.XLOOKUP(ventas[[#This Row],[producto]], categ[Producto], categ[Categoria])</f>
        <v>Tecnología</v>
      </c>
      <c r="O507">
        <v>750000</v>
      </c>
      <c r="P507">
        <v>3</v>
      </c>
      <c r="Q507" s="11">
        <v>0.1</v>
      </c>
      <c r="R507">
        <f>(ventas[[#This Row],[precio_unitario]]*ventas[[#This Row],[cantidad]])</f>
        <v>2250000</v>
      </c>
      <c r="S507">
        <f>ventas[[#This Row],[Total_Productos]]*ventas[[#This Row],[descuento_pct]]</f>
        <v>225000</v>
      </c>
      <c r="T507">
        <f>ventas[[#This Row],[Total_Productos]]-ventas[[#This Row],[Valor_descuento]]</f>
        <v>2025000</v>
      </c>
    </row>
    <row r="508" spans="1:20" x14ac:dyDescent="0.3">
      <c r="A508">
        <v>786</v>
      </c>
      <c r="B508" s="1">
        <v>45713</v>
      </c>
      <c r="C508">
        <v>26</v>
      </c>
      <c r="D508">
        <v>6</v>
      </c>
      <c r="E508">
        <v>137</v>
      </c>
      <c r="F508" t="s">
        <v>191</v>
      </c>
      <c r="G508" t="s">
        <v>192</v>
      </c>
      <c r="H508" t="s">
        <v>19</v>
      </c>
      <c r="I508">
        <v>28</v>
      </c>
      <c r="J508" t="s">
        <v>101</v>
      </c>
      <c r="K508" t="str">
        <f>_xlfn.XLOOKUP( ventas[[#This Row],[ciudad_cliente]],  ciudades[Ciudad], ciudades[Region])</f>
        <v>O'Higgins</v>
      </c>
      <c r="L508" t="s">
        <v>38</v>
      </c>
      <c r="M508" t="s">
        <v>62</v>
      </c>
      <c r="N508" t="str">
        <f>_xlfn.XLOOKUP(ventas[[#This Row],[producto]], categ[Producto], categ[Categoria])</f>
        <v>Electrohogar</v>
      </c>
      <c r="O508">
        <v>650000</v>
      </c>
      <c r="P508">
        <v>2</v>
      </c>
      <c r="Q508" s="11">
        <v>0.1</v>
      </c>
      <c r="R508">
        <f>(ventas[[#This Row],[precio_unitario]]*ventas[[#This Row],[cantidad]])</f>
        <v>1300000</v>
      </c>
      <c r="S508">
        <f>ventas[[#This Row],[Total_Productos]]*ventas[[#This Row],[descuento_pct]]</f>
        <v>130000</v>
      </c>
      <c r="T508">
        <f>ventas[[#This Row],[Total_Productos]]-ventas[[#This Row],[Valor_descuento]]</f>
        <v>1170000</v>
      </c>
    </row>
    <row r="509" spans="1:20" x14ac:dyDescent="0.3">
      <c r="A509">
        <v>924</v>
      </c>
      <c r="B509" s="1">
        <v>45851</v>
      </c>
      <c r="C509">
        <v>33</v>
      </c>
      <c r="D509">
        <v>13</v>
      </c>
      <c r="E509">
        <v>137</v>
      </c>
      <c r="F509" t="s">
        <v>191</v>
      </c>
      <c r="G509" t="s">
        <v>192</v>
      </c>
      <c r="H509" t="s">
        <v>19</v>
      </c>
      <c r="I509">
        <v>28</v>
      </c>
      <c r="J509" t="s">
        <v>101</v>
      </c>
      <c r="K509" t="str">
        <f>_xlfn.XLOOKUP( ventas[[#This Row],[ciudad_cliente]],  ciudades[Ciudad], ciudades[Region])</f>
        <v>O'Higgins</v>
      </c>
      <c r="L509" t="s">
        <v>29</v>
      </c>
      <c r="M509" t="s">
        <v>23</v>
      </c>
      <c r="N509" t="str">
        <f>_xlfn.XLOOKUP(ventas[[#This Row],[producto]], categ[Producto], categ[Categoria])</f>
        <v>Belleza</v>
      </c>
      <c r="O509">
        <v>15000</v>
      </c>
      <c r="P509">
        <v>1</v>
      </c>
      <c r="Q509" s="11">
        <v>0.1</v>
      </c>
      <c r="R509">
        <f>(ventas[[#This Row],[precio_unitario]]*ventas[[#This Row],[cantidad]])</f>
        <v>15000</v>
      </c>
      <c r="S509">
        <f>ventas[[#This Row],[Total_Productos]]*ventas[[#This Row],[descuento_pct]]</f>
        <v>1500</v>
      </c>
      <c r="T509">
        <f>ventas[[#This Row],[Total_Productos]]-ventas[[#This Row],[Valor_descuento]]</f>
        <v>13500</v>
      </c>
    </row>
    <row r="510" spans="1:20" x14ac:dyDescent="0.3">
      <c r="A510">
        <v>16</v>
      </c>
      <c r="B510" s="1">
        <v>44943</v>
      </c>
      <c r="C510">
        <v>18</v>
      </c>
      <c r="D510">
        <v>1</v>
      </c>
      <c r="E510">
        <v>269</v>
      </c>
      <c r="F510" t="s">
        <v>72</v>
      </c>
      <c r="G510" t="s">
        <v>73</v>
      </c>
      <c r="H510" t="s">
        <v>42</v>
      </c>
      <c r="I510">
        <v>32</v>
      </c>
      <c r="J510" t="s">
        <v>27</v>
      </c>
      <c r="K510" t="str">
        <f>_xlfn.XLOOKUP( ventas[[#This Row],[ciudad_cliente]],  ciudades[Ciudad], ciudades[Region])</f>
        <v>Biobío</v>
      </c>
      <c r="L510" t="s">
        <v>22</v>
      </c>
      <c r="M510" t="s">
        <v>69</v>
      </c>
      <c r="N510" t="str">
        <f>_xlfn.XLOOKUP(ventas[[#This Row],[producto]], categ[Producto], categ[Categoria])</f>
        <v>Tecnología</v>
      </c>
      <c r="O510">
        <v>450000</v>
      </c>
      <c r="P510">
        <v>3</v>
      </c>
      <c r="Q510" s="11">
        <v>0</v>
      </c>
      <c r="R510">
        <f>(ventas[[#This Row],[precio_unitario]]*ventas[[#This Row],[cantidad]])</f>
        <v>1350000</v>
      </c>
      <c r="S510">
        <f>ventas[[#This Row],[Total_Productos]]*ventas[[#This Row],[descuento_pct]]</f>
        <v>0</v>
      </c>
      <c r="T510">
        <f>ventas[[#This Row],[Total_Productos]]-ventas[[#This Row],[Valor_descuento]]</f>
        <v>1350000</v>
      </c>
    </row>
    <row r="511" spans="1:20" x14ac:dyDescent="0.3">
      <c r="A511">
        <v>171</v>
      </c>
      <c r="B511" s="1">
        <v>45098</v>
      </c>
      <c r="C511">
        <v>40</v>
      </c>
      <c r="D511">
        <v>1</v>
      </c>
      <c r="E511">
        <v>269</v>
      </c>
      <c r="F511" t="s">
        <v>72</v>
      </c>
      <c r="G511" t="s">
        <v>73</v>
      </c>
      <c r="H511" t="s">
        <v>42</v>
      </c>
      <c r="I511">
        <v>32</v>
      </c>
      <c r="J511" t="s">
        <v>27</v>
      </c>
      <c r="K511" t="str">
        <f>_xlfn.XLOOKUP( ventas[[#This Row],[ciudad_cliente]],  ciudades[Ciudad], ciudades[Region])</f>
        <v>Biobío</v>
      </c>
      <c r="L511" t="s">
        <v>38</v>
      </c>
      <c r="M511" t="s">
        <v>69</v>
      </c>
      <c r="N511" t="str">
        <f>_xlfn.XLOOKUP(ventas[[#This Row],[producto]], categ[Producto], categ[Categoria])</f>
        <v>Tecnología</v>
      </c>
      <c r="O511">
        <v>450000</v>
      </c>
      <c r="P511">
        <v>3</v>
      </c>
      <c r="Q511" s="11">
        <v>0.05</v>
      </c>
      <c r="R511">
        <f>(ventas[[#This Row],[precio_unitario]]*ventas[[#This Row],[cantidad]])</f>
        <v>1350000</v>
      </c>
      <c r="S511">
        <f>ventas[[#This Row],[Total_Productos]]*ventas[[#This Row],[descuento_pct]]</f>
        <v>67500</v>
      </c>
      <c r="T511">
        <f>ventas[[#This Row],[Total_Productos]]-ventas[[#This Row],[Valor_descuento]]</f>
        <v>1282500</v>
      </c>
    </row>
    <row r="512" spans="1:20" x14ac:dyDescent="0.3">
      <c r="A512">
        <v>241</v>
      </c>
      <c r="B512" s="1">
        <v>45168</v>
      </c>
      <c r="C512">
        <v>46</v>
      </c>
      <c r="D512">
        <v>5</v>
      </c>
      <c r="E512">
        <v>269</v>
      </c>
      <c r="F512" t="s">
        <v>72</v>
      </c>
      <c r="G512" t="s">
        <v>73</v>
      </c>
      <c r="H512" t="s">
        <v>42</v>
      </c>
      <c r="I512">
        <v>32</v>
      </c>
      <c r="J512" t="s">
        <v>84</v>
      </c>
      <c r="K512" t="str">
        <f>_xlfn.XLOOKUP( ventas[[#This Row],[ciudad_cliente]],  ciudades[Ciudad], ciudades[Region])</f>
        <v>Coquimbo</v>
      </c>
      <c r="L512" t="s">
        <v>22</v>
      </c>
      <c r="M512" t="s">
        <v>30</v>
      </c>
      <c r="N512" t="str">
        <f>_xlfn.XLOOKUP(ventas[[#This Row],[producto]], categ[Producto], categ[Categoria])</f>
        <v>Electrohogar</v>
      </c>
      <c r="O512">
        <v>700000</v>
      </c>
      <c r="P512">
        <v>2</v>
      </c>
      <c r="Q512" s="11">
        <v>0.05</v>
      </c>
      <c r="R512">
        <f>(ventas[[#This Row],[precio_unitario]]*ventas[[#This Row],[cantidad]])</f>
        <v>1400000</v>
      </c>
      <c r="S512">
        <f>ventas[[#This Row],[Total_Productos]]*ventas[[#This Row],[descuento_pct]]</f>
        <v>70000</v>
      </c>
      <c r="T512">
        <f>ventas[[#This Row],[Total_Productos]]-ventas[[#This Row],[Valor_descuento]]</f>
        <v>1330000</v>
      </c>
    </row>
    <row r="513" spans="1:20" x14ac:dyDescent="0.3">
      <c r="A513">
        <v>272</v>
      </c>
      <c r="B513" s="1">
        <v>45199</v>
      </c>
      <c r="C513">
        <v>28</v>
      </c>
      <c r="D513">
        <v>5</v>
      </c>
      <c r="E513">
        <v>269</v>
      </c>
      <c r="F513" t="s">
        <v>72</v>
      </c>
      <c r="G513" t="s">
        <v>73</v>
      </c>
      <c r="H513" t="s">
        <v>42</v>
      </c>
      <c r="I513">
        <v>32</v>
      </c>
      <c r="J513" t="s">
        <v>116</v>
      </c>
      <c r="K513" t="str">
        <f>_xlfn.XLOOKUP( ventas[[#This Row],[ciudad_cliente]],  ciudades[Ciudad], ciudades[Region])</f>
        <v>Valparaíso</v>
      </c>
      <c r="L513" t="s">
        <v>22</v>
      </c>
      <c r="M513" t="s">
        <v>49</v>
      </c>
      <c r="N513" t="str">
        <f>_xlfn.XLOOKUP(ventas[[#This Row],[producto]], categ[Producto], categ[Categoria])</f>
        <v>Electrohogar</v>
      </c>
      <c r="O513">
        <v>800000</v>
      </c>
      <c r="P513">
        <v>1</v>
      </c>
      <c r="Q513" s="11">
        <v>0</v>
      </c>
      <c r="R513">
        <f>(ventas[[#This Row],[precio_unitario]]*ventas[[#This Row],[cantidad]])</f>
        <v>800000</v>
      </c>
      <c r="S513">
        <f>ventas[[#This Row],[Total_Productos]]*ventas[[#This Row],[descuento_pct]]</f>
        <v>0</v>
      </c>
      <c r="T513">
        <f>ventas[[#This Row],[Total_Productos]]-ventas[[#This Row],[Valor_descuento]]</f>
        <v>800000</v>
      </c>
    </row>
    <row r="514" spans="1:20" x14ac:dyDescent="0.3">
      <c r="A514">
        <v>274</v>
      </c>
      <c r="B514" s="1">
        <v>45201</v>
      </c>
      <c r="C514">
        <v>34</v>
      </c>
      <c r="D514">
        <v>1</v>
      </c>
      <c r="E514">
        <v>269</v>
      </c>
      <c r="F514" t="s">
        <v>72</v>
      </c>
      <c r="G514" t="s">
        <v>73</v>
      </c>
      <c r="H514" t="s">
        <v>42</v>
      </c>
      <c r="I514">
        <v>32</v>
      </c>
      <c r="J514" t="s">
        <v>52</v>
      </c>
      <c r="K514" t="str">
        <f>_xlfn.XLOOKUP( ventas[[#This Row],[ciudad_cliente]],  ciudades[Ciudad], ciudades[Region])</f>
        <v>Biobío</v>
      </c>
      <c r="L514" t="s">
        <v>38</v>
      </c>
      <c r="M514" t="s">
        <v>46</v>
      </c>
      <c r="N514" t="str">
        <f>_xlfn.XLOOKUP(ventas[[#This Row],[producto]], categ[Producto], categ[Categoria])</f>
        <v>Tecnología</v>
      </c>
      <c r="O514">
        <v>750000</v>
      </c>
      <c r="P514">
        <v>2</v>
      </c>
      <c r="Q514" s="11">
        <v>0</v>
      </c>
      <c r="R514">
        <f>(ventas[[#This Row],[precio_unitario]]*ventas[[#This Row],[cantidad]])</f>
        <v>1500000</v>
      </c>
      <c r="S514">
        <f>ventas[[#This Row],[Total_Productos]]*ventas[[#This Row],[descuento_pct]]</f>
        <v>0</v>
      </c>
      <c r="T514">
        <f>ventas[[#This Row],[Total_Productos]]-ventas[[#This Row],[Valor_descuento]]</f>
        <v>1500000</v>
      </c>
    </row>
    <row r="515" spans="1:20" x14ac:dyDescent="0.3">
      <c r="A515">
        <v>556</v>
      </c>
      <c r="B515" s="1">
        <v>45483</v>
      </c>
      <c r="C515">
        <v>69</v>
      </c>
      <c r="D515">
        <v>1</v>
      </c>
      <c r="E515">
        <v>269</v>
      </c>
      <c r="F515" t="s">
        <v>72</v>
      </c>
      <c r="G515" t="s">
        <v>73</v>
      </c>
      <c r="H515" t="s">
        <v>42</v>
      </c>
      <c r="I515">
        <v>32</v>
      </c>
      <c r="J515" t="s">
        <v>76</v>
      </c>
      <c r="K515" t="str">
        <f>_xlfn.XLOOKUP( ventas[[#This Row],[ciudad_cliente]],  ciudades[Ciudad], ciudades[Region])</f>
        <v>Los Lagos</v>
      </c>
      <c r="L515" t="s">
        <v>38</v>
      </c>
      <c r="M515" t="s">
        <v>98</v>
      </c>
      <c r="N515" t="str">
        <f>_xlfn.XLOOKUP(ventas[[#This Row],[producto]], categ[Producto], categ[Categoria])</f>
        <v>Calzado</v>
      </c>
      <c r="O515">
        <v>55000</v>
      </c>
      <c r="P515">
        <v>2</v>
      </c>
      <c r="Q515" s="11">
        <v>0</v>
      </c>
      <c r="R515">
        <f>(ventas[[#This Row],[precio_unitario]]*ventas[[#This Row],[cantidad]])</f>
        <v>110000</v>
      </c>
      <c r="S515">
        <f>ventas[[#This Row],[Total_Productos]]*ventas[[#This Row],[descuento_pct]]</f>
        <v>0</v>
      </c>
      <c r="T515">
        <f>ventas[[#This Row],[Total_Productos]]-ventas[[#This Row],[Valor_descuento]]</f>
        <v>110000</v>
      </c>
    </row>
    <row r="516" spans="1:20" x14ac:dyDescent="0.3">
      <c r="A516">
        <v>439</v>
      </c>
      <c r="B516" s="1">
        <v>45366</v>
      </c>
      <c r="C516">
        <v>10</v>
      </c>
      <c r="D516">
        <v>7</v>
      </c>
      <c r="E516">
        <v>173</v>
      </c>
      <c r="F516" t="s">
        <v>518</v>
      </c>
      <c r="G516" t="s">
        <v>519</v>
      </c>
      <c r="H516" t="s">
        <v>19</v>
      </c>
      <c r="I516">
        <v>37</v>
      </c>
      <c r="J516" t="s">
        <v>37</v>
      </c>
      <c r="K516" t="str">
        <f>_xlfn.XLOOKUP( ventas[[#This Row],[ciudad_cliente]],  ciudades[Ciudad], ciudades[Region])</f>
        <v>Valparaíso</v>
      </c>
      <c r="L516" t="s">
        <v>29</v>
      </c>
      <c r="M516" t="s">
        <v>69</v>
      </c>
      <c r="N516" t="str">
        <f>_xlfn.XLOOKUP(ventas[[#This Row],[producto]], categ[Producto], categ[Categoria])</f>
        <v>Tecnología</v>
      </c>
      <c r="O516">
        <v>450000</v>
      </c>
      <c r="P516">
        <v>3</v>
      </c>
      <c r="Q516" s="11">
        <v>0.05</v>
      </c>
      <c r="R516">
        <f>(ventas[[#This Row],[precio_unitario]]*ventas[[#This Row],[cantidad]])</f>
        <v>1350000</v>
      </c>
      <c r="S516">
        <f>ventas[[#This Row],[Total_Productos]]*ventas[[#This Row],[descuento_pct]]</f>
        <v>67500</v>
      </c>
      <c r="T516">
        <f>ventas[[#This Row],[Total_Productos]]-ventas[[#This Row],[Valor_descuento]]</f>
        <v>1282500</v>
      </c>
    </row>
    <row r="517" spans="1:20" x14ac:dyDescent="0.3">
      <c r="A517">
        <v>501</v>
      </c>
      <c r="B517" s="1">
        <v>45428</v>
      </c>
      <c r="C517">
        <v>65</v>
      </c>
      <c r="D517">
        <v>0</v>
      </c>
      <c r="E517">
        <v>173</v>
      </c>
      <c r="F517" t="s">
        <v>518</v>
      </c>
      <c r="G517" t="s">
        <v>519</v>
      </c>
      <c r="H517" t="s">
        <v>19</v>
      </c>
      <c r="I517">
        <v>37</v>
      </c>
      <c r="J517" t="s">
        <v>101</v>
      </c>
      <c r="K517" t="str">
        <f>_xlfn.XLOOKUP( ventas[[#This Row],[ciudad_cliente]],  ciudades[Ciudad], ciudades[Region])</f>
        <v>O'Higgins</v>
      </c>
      <c r="L517" t="s">
        <v>38</v>
      </c>
      <c r="M517" t="s">
        <v>102</v>
      </c>
      <c r="N517" t="str">
        <f>_xlfn.XLOOKUP(ventas[[#This Row],[producto]], categ[Producto], categ[Categoria])</f>
        <v>Vestuario</v>
      </c>
      <c r="O517">
        <v>12000</v>
      </c>
      <c r="P517">
        <v>1</v>
      </c>
      <c r="Q517" s="11">
        <v>0.05</v>
      </c>
      <c r="R517">
        <f>(ventas[[#This Row],[precio_unitario]]*ventas[[#This Row],[cantidad]])</f>
        <v>12000</v>
      </c>
      <c r="S517">
        <f>ventas[[#This Row],[Total_Productos]]*ventas[[#This Row],[descuento_pct]]</f>
        <v>600</v>
      </c>
      <c r="T517">
        <f>ventas[[#This Row],[Total_Productos]]-ventas[[#This Row],[Valor_descuento]]</f>
        <v>11400</v>
      </c>
    </row>
    <row r="518" spans="1:20" x14ac:dyDescent="0.3">
      <c r="A518">
        <v>506</v>
      </c>
      <c r="B518" s="1">
        <v>45433</v>
      </c>
      <c r="C518">
        <v>70</v>
      </c>
      <c r="D518">
        <v>6</v>
      </c>
      <c r="E518">
        <v>173</v>
      </c>
      <c r="F518" t="s">
        <v>518</v>
      </c>
      <c r="G518" t="s">
        <v>519</v>
      </c>
      <c r="H518" t="s">
        <v>19</v>
      </c>
      <c r="I518">
        <v>37</v>
      </c>
      <c r="J518" t="s">
        <v>27</v>
      </c>
      <c r="K518" t="str">
        <f>_xlfn.XLOOKUP( ventas[[#This Row],[ciudad_cliente]],  ciudades[Ciudad], ciudades[Region])</f>
        <v>Biobío</v>
      </c>
      <c r="L518" t="s">
        <v>22</v>
      </c>
      <c r="M518" t="s">
        <v>39</v>
      </c>
      <c r="N518" t="str">
        <f>_xlfn.XLOOKUP(ventas[[#This Row],[producto]], categ[Producto], categ[Categoria])</f>
        <v>Belleza</v>
      </c>
      <c r="O518">
        <v>35000</v>
      </c>
      <c r="P518">
        <v>1</v>
      </c>
      <c r="Q518" s="11">
        <v>0.05</v>
      </c>
      <c r="R518">
        <f>(ventas[[#This Row],[precio_unitario]]*ventas[[#This Row],[cantidad]])</f>
        <v>35000</v>
      </c>
      <c r="S518">
        <f>ventas[[#This Row],[Total_Productos]]*ventas[[#This Row],[descuento_pct]]</f>
        <v>1750</v>
      </c>
      <c r="T518">
        <f>ventas[[#This Row],[Total_Productos]]-ventas[[#This Row],[Valor_descuento]]</f>
        <v>33250</v>
      </c>
    </row>
    <row r="519" spans="1:20" x14ac:dyDescent="0.3">
      <c r="A519">
        <v>204</v>
      </c>
      <c r="B519" s="1">
        <v>45131</v>
      </c>
      <c r="C519">
        <v>40</v>
      </c>
      <c r="D519">
        <v>1</v>
      </c>
      <c r="E519">
        <v>36</v>
      </c>
      <c r="F519" t="s">
        <v>354</v>
      </c>
      <c r="G519" t="s">
        <v>355</v>
      </c>
      <c r="H519" t="s">
        <v>42</v>
      </c>
      <c r="I519">
        <v>23</v>
      </c>
      <c r="J519" t="s">
        <v>27</v>
      </c>
      <c r="K519" t="str">
        <f>_xlfn.XLOOKUP( ventas[[#This Row],[ciudad_cliente]],  ciudades[Ciudad], ciudades[Region])</f>
        <v>Biobío</v>
      </c>
      <c r="L519" t="s">
        <v>22</v>
      </c>
      <c r="M519" t="s">
        <v>69</v>
      </c>
      <c r="N519" t="str">
        <f>_xlfn.XLOOKUP(ventas[[#This Row],[producto]], categ[Producto], categ[Categoria])</f>
        <v>Tecnología</v>
      </c>
      <c r="O519">
        <v>450000</v>
      </c>
      <c r="P519">
        <v>1</v>
      </c>
      <c r="Q519" s="11">
        <v>0</v>
      </c>
      <c r="R519">
        <f>(ventas[[#This Row],[precio_unitario]]*ventas[[#This Row],[cantidad]])</f>
        <v>450000</v>
      </c>
      <c r="S519">
        <f>ventas[[#This Row],[Total_Productos]]*ventas[[#This Row],[descuento_pct]]</f>
        <v>0</v>
      </c>
      <c r="T519">
        <f>ventas[[#This Row],[Total_Productos]]-ventas[[#This Row],[Valor_descuento]]</f>
        <v>450000</v>
      </c>
    </row>
    <row r="520" spans="1:20" x14ac:dyDescent="0.3">
      <c r="A520">
        <v>347</v>
      </c>
      <c r="B520" s="1">
        <v>45274</v>
      </c>
      <c r="C520">
        <v>1</v>
      </c>
      <c r="D520">
        <v>8</v>
      </c>
      <c r="E520">
        <v>36</v>
      </c>
      <c r="F520" t="s">
        <v>354</v>
      </c>
      <c r="G520" t="s">
        <v>355</v>
      </c>
      <c r="H520" t="s">
        <v>42</v>
      </c>
      <c r="I520">
        <v>23</v>
      </c>
      <c r="J520" t="s">
        <v>34</v>
      </c>
      <c r="K520" t="str">
        <f>_xlfn.XLOOKUP( ventas[[#This Row],[ciudad_cliente]],  ciudades[Ciudad], ciudades[Region])</f>
        <v>Metropolitana</v>
      </c>
      <c r="L520" t="s">
        <v>22</v>
      </c>
      <c r="M520" t="s">
        <v>30</v>
      </c>
      <c r="N520" t="str">
        <f>_xlfn.XLOOKUP(ventas[[#This Row],[producto]], categ[Producto], categ[Categoria])</f>
        <v>Electrohogar</v>
      </c>
      <c r="O520">
        <v>700000</v>
      </c>
      <c r="P520">
        <v>2</v>
      </c>
      <c r="Q520" s="11">
        <v>0.05</v>
      </c>
      <c r="R520">
        <f>(ventas[[#This Row],[precio_unitario]]*ventas[[#This Row],[cantidad]])</f>
        <v>1400000</v>
      </c>
      <c r="S520">
        <f>ventas[[#This Row],[Total_Productos]]*ventas[[#This Row],[descuento_pct]]</f>
        <v>70000</v>
      </c>
      <c r="T520">
        <f>ventas[[#This Row],[Total_Productos]]-ventas[[#This Row],[Valor_descuento]]</f>
        <v>1330000</v>
      </c>
    </row>
    <row r="521" spans="1:20" x14ac:dyDescent="0.3">
      <c r="A521">
        <v>454</v>
      </c>
      <c r="B521" s="1">
        <v>45381</v>
      </c>
      <c r="C521">
        <v>20</v>
      </c>
      <c r="D521">
        <v>0</v>
      </c>
      <c r="E521">
        <v>36</v>
      </c>
      <c r="F521" t="s">
        <v>354</v>
      </c>
      <c r="G521" t="s">
        <v>355</v>
      </c>
      <c r="H521" t="s">
        <v>42</v>
      </c>
      <c r="I521">
        <v>23</v>
      </c>
      <c r="J521" t="s">
        <v>20</v>
      </c>
      <c r="K521" t="str">
        <f>_xlfn.XLOOKUP( ventas[[#This Row],[ciudad_cliente]],  ciudades[Ciudad], ciudades[Region])</f>
        <v>La Araucanía</v>
      </c>
      <c r="L521" t="s">
        <v>22</v>
      </c>
      <c r="M521" t="s">
        <v>102</v>
      </c>
      <c r="N521" t="str">
        <f>_xlfn.XLOOKUP(ventas[[#This Row],[producto]], categ[Producto], categ[Categoria])</f>
        <v>Vestuario</v>
      </c>
      <c r="O521">
        <v>12000</v>
      </c>
      <c r="P521">
        <v>3</v>
      </c>
      <c r="Q521" s="11">
        <v>0.1</v>
      </c>
      <c r="R521">
        <f>(ventas[[#This Row],[precio_unitario]]*ventas[[#This Row],[cantidad]])</f>
        <v>36000</v>
      </c>
      <c r="S521">
        <f>ventas[[#This Row],[Total_Productos]]*ventas[[#This Row],[descuento_pct]]</f>
        <v>3600</v>
      </c>
      <c r="T521">
        <f>ventas[[#This Row],[Total_Productos]]-ventas[[#This Row],[Valor_descuento]]</f>
        <v>32400</v>
      </c>
    </row>
    <row r="522" spans="1:20" x14ac:dyDescent="0.3">
      <c r="A522">
        <v>716</v>
      </c>
      <c r="B522" s="1">
        <v>45643</v>
      </c>
      <c r="C522">
        <v>49</v>
      </c>
      <c r="D522">
        <v>1</v>
      </c>
      <c r="E522">
        <v>36</v>
      </c>
      <c r="F522" t="s">
        <v>354</v>
      </c>
      <c r="G522" t="s">
        <v>355</v>
      </c>
      <c r="H522" t="s">
        <v>42</v>
      </c>
      <c r="I522">
        <v>23</v>
      </c>
      <c r="J522" t="s">
        <v>43</v>
      </c>
      <c r="K522" t="str">
        <f>_xlfn.XLOOKUP( ventas[[#This Row],[ciudad_cliente]],  ciudades[Ciudad], ciudades[Region])</f>
        <v>Antofagasta</v>
      </c>
      <c r="L522" t="s">
        <v>22</v>
      </c>
      <c r="M522" t="s">
        <v>62</v>
      </c>
      <c r="N522" t="str">
        <f>_xlfn.XLOOKUP(ventas[[#This Row],[producto]], categ[Producto], categ[Categoria])</f>
        <v>Electrohogar</v>
      </c>
      <c r="O522">
        <v>650000</v>
      </c>
      <c r="P522">
        <v>1</v>
      </c>
      <c r="Q522" s="11">
        <v>0.1</v>
      </c>
      <c r="R522">
        <f>(ventas[[#This Row],[precio_unitario]]*ventas[[#This Row],[cantidad]])</f>
        <v>650000</v>
      </c>
      <c r="S522">
        <f>ventas[[#This Row],[Total_Productos]]*ventas[[#This Row],[descuento_pct]]</f>
        <v>65000</v>
      </c>
      <c r="T522">
        <f>ventas[[#This Row],[Total_Productos]]-ventas[[#This Row],[Valor_descuento]]</f>
        <v>585000</v>
      </c>
    </row>
    <row r="523" spans="1:20" x14ac:dyDescent="0.3">
      <c r="A523">
        <v>732</v>
      </c>
      <c r="B523" s="1">
        <v>45659</v>
      </c>
      <c r="C523">
        <v>36</v>
      </c>
      <c r="D523">
        <v>4</v>
      </c>
      <c r="E523">
        <v>36</v>
      </c>
      <c r="F523" t="s">
        <v>354</v>
      </c>
      <c r="G523" t="s">
        <v>355</v>
      </c>
      <c r="H523" t="s">
        <v>42</v>
      </c>
      <c r="I523">
        <v>23</v>
      </c>
      <c r="J523" t="s">
        <v>101</v>
      </c>
      <c r="K523" t="str">
        <f>_xlfn.XLOOKUP( ventas[[#This Row],[ciudad_cliente]],  ciudades[Ciudad], ciudades[Region])</f>
        <v>O'Higgins</v>
      </c>
      <c r="L523" t="s">
        <v>29</v>
      </c>
      <c r="M523" t="s">
        <v>102</v>
      </c>
      <c r="N523" t="str">
        <f>_xlfn.XLOOKUP(ventas[[#This Row],[producto]], categ[Producto], categ[Categoria])</f>
        <v>Vestuario</v>
      </c>
      <c r="O523">
        <v>12000</v>
      </c>
      <c r="P523">
        <v>2</v>
      </c>
      <c r="Q523" s="11">
        <v>0</v>
      </c>
      <c r="R523">
        <f>(ventas[[#This Row],[precio_unitario]]*ventas[[#This Row],[cantidad]])</f>
        <v>24000</v>
      </c>
      <c r="S523">
        <f>ventas[[#This Row],[Total_Productos]]*ventas[[#This Row],[descuento_pct]]</f>
        <v>0</v>
      </c>
      <c r="T523">
        <f>ventas[[#This Row],[Total_Productos]]-ventas[[#This Row],[Valor_descuento]]</f>
        <v>24000</v>
      </c>
    </row>
    <row r="524" spans="1:20" x14ac:dyDescent="0.3">
      <c r="A524">
        <v>788</v>
      </c>
      <c r="B524" s="1">
        <v>45715</v>
      </c>
      <c r="C524">
        <v>67</v>
      </c>
      <c r="D524">
        <v>0</v>
      </c>
      <c r="E524">
        <v>36</v>
      </c>
      <c r="F524" t="s">
        <v>354</v>
      </c>
      <c r="G524" t="s">
        <v>355</v>
      </c>
      <c r="H524" t="s">
        <v>42</v>
      </c>
      <c r="I524">
        <v>23</v>
      </c>
      <c r="J524" t="s">
        <v>27</v>
      </c>
      <c r="K524" t="str">
        <f>_xlfn.XLOOKUP( ventas[[#This Row],[ciudad_cliente]],  ciudades[Ciudad], ciudades[Region])</f>
        <v>Biobío</v>
      </c>
      <c r="L524" t="s">
        <v>22</v>
      </c>
      <c r="M524" t="s">
        <v>49</v>
      </c>
      <c r="N524" t="str">
        <f>_xlfn.XLOOKUP(ventas[[#This Row],[producto]], categ[Producto], categ[Categoria])</f>
        <v>Electrohogar</v>
      </c>
      <c r="O524">
        <v>800000</v>
      </c>
      <c r="P524">
        <v>1</v>
      </c>
      <c r="Q524" s="11">
        <v>0.05</v>
      </c>
      <c r="R524">
        <f>(ventas[[#This Row],[precio_unitario]]*ventas[[#This Row],[cantidad]])</f>
        <v>800000</v>
      </c>
      <c r="S524">
        <f>ventas[[#This Row],[Total_Productos]]*ventas[[#This Row],[descuento_pct]]</f>
        <v>40000</v>
      </c>
      <c r="T524">
        <f>ventas[[#This Row],[Total_Productos]]-ventas[[#This Row],[Valor_descuento]]</f>
        <v>760000</v>
      </c>
    </row>
    <row r="525" spans="1:20" x14ac:dyDescent="0.3">
      <c r="A525">
        <v>841</v>
      </c>
      <c r="B525" s="1">
        <v>45768</v>
      </c>
      <c r="C525">
        <v>64</v>
      </c>
      <c r="D525">
        <v>4</v>
      </c>
      <c r="E525">
        <v>36</v>
      </c>
      <c r="F525" t="s">
        <v>354</v>
      </c>
      <c r="G525" t="s">
        <v>355</v>
      </c>
      <c r="H525" t="s">
        <v>42</v>
      </c>
      <c r="I525">
        <v>23</v>
      </c>
      <c r="J525" t="s">
        <v>20</v>
      </c>
      <c r="K525" t="str">
        <f>_xlfn.XLOOKUP( ventas[[#This Row],[ciudad_cliente]],  ciudades[Ciudad], ciudades[Region])</f>
        <v>La Araucanía</v>
      </c>
      <c r="L525" t="s">
        <v>38</v>
      </c>
      <c r="M525" t="s">
        <v>102</v>
      </c>
      <c r="N525" t="str">
        <f>_xlfn.XLOOKUP(ventas[[#This Row],[producto]], categ[Producto], categ[Categoria])</f>
        <v>Vestuario</v>
      </c>
      <c r="O525">
        <v>12000</v>
      </c>
      <c r="P525">
        <v>3</v>
      </c>
      <c r="Q525" s="11">
        <v>0.1</v>
      </c>
      <c r="R525">
        <f>(ventas[[#This Row],[precio_unitario]]*ventas[[#This Row],[cantidad]])</f>
        <v>36000</v>
      </c>
      <c r="S525">
        <f>ventas[[#This Row],[Total_Productos]]*ventas[[#This Row],[descuento_pct]]</f>
        <v>3600</v>
      </c>
      <c r="T525">
        <f>ventas[[#This Row],[Total_Productos]]-ventas[[#This Row],[Valor_descuento]]</f>
        <v>32400</v>
      </c>
    </row>
    <row r="526" spans="1:20" x14ac:dyDescent="0.3">
      <c r="A526">
        <v>998</v>
      </c>
      <c r="B526" s="1">
        <v>45925</v>
      </c>
      <c r="C526">
        <v>50</v>
      </c>
      <c r="D526">
        <v>0</v>
      </c>
      <c r="E526">
        <v>36</v>
      </c>
      <c r="F526" t="s">
        <v>354</v>
      </c>
      <c r="G526" t="s">
        <v>355</v>
      </c>
      <c r="H526" t="s">
        <v>42</v>
      </c>
      <c r="I526">
        <v>23</v>
      </c>
      <c r="J526" t="s">
        <v>20</v>
      </c>
      <c r="K526" t="str">
        <f>_xlfn.XLOOKUP( ventas[[#This Row],[ciudad_cliente]],  ciudades[Ciudad], ciudades[Region])</f>
        <v>La Araucanía</v>
      </c>
      <c r="L526" t="s">
        <v>22</v>
      </c>
      <c r="M526" t="s">
        <v>98</v>
      </c>
      <c r="N526" t="str">
        <f>_xlfn.XLOOKUP(ventas[[#This Row],[producto]], categ[Producto], categ[Categoria])</f>
        <v>Calzado</v>
      </c>
      <c r="O526">
        <v>55000</v>
      </c>
      <c r="P526">
        <v>1</v>
      </c>
      <c r="Q526" s="11">
        <v>0</v>
      </c>
      <c r="R526">
        <f>(ventas[[#This Row],[precio_unitario]]*ventas[[#This Row],[cantidad]])</f>
        <v>55000</v>
      </c>
      <c r="S526">
        <f>ventas[[#This Row],[Total_Productos]]*ventas[[#This Row],[descuento_pct]]</f>
        <v>0</v>
      </c>
      <c r="T526">
        <f>ventas[[#This Row],[Total_Productos]]-ventas[[#This Row],[Valor_descuento]]</f>
        <v>55000</v>
      </c>
    </row>
    <row r="527" spans="1:20" x14ac:dyDescent="0.3">
      <c r="A527">
        <v>35</v>
      </c>
      <c r="B527" s="1">
        <v>44962</v>
      </c>
      <c r="C527">
        <v>19</v>
      </c>
      <c r="D527">
        <v>5</v>
      </c>
      <c r="E527">
        <v>246</v>
      </c>
      <c r="F527" t="s">
        <v>119</v>
      </c>
      <c r="G527" t="s">
        <v>120</v>
      </c>
      <c r="H527" t="s">
        <v>19</v>
      </c>
      <c r="I527">
        <v>33</v>
      </c>
      <c r="J527" t="s">
        <v>20</v>
      </c>
      <c r="K527" t="str">
        <f>_xlfn.XLOOKUP( ventas[[#This Row],[ciudad_cliente]],  ciudades[Ciudad], ciudades[Region])</f>
        <v>La Araucanía</v>
      </c>
      <c r="L527" t="s">
        <v>22</v>
      </c>
      <c r="M527" t="s">
        <v>30</v>
      </c>
      <c r="N527" t="str">
        <f>_xlfn.XLOOKUP(ventas[[#This Row],[producto]], categ[Producto], categ[Categoria])</f>
        <v>Electrohogar</v>
      </c>
      <c r="O527">
        <v>700000</v>
      </c>
      <c r="P527">
        <v>2</v>
      </c>
      <c r="Q527" s="11">
        <v>0</v>
      </c>
      <c r="R527">
        <f>(ventas[[#This Row],[precio_unitario]]*ventas[[#This Row],[cantidad]])</f>
        <v>1400000</v>
      </c>
      <c r="S527">
        <f>ventas[[#This Row],[Total_Productos]]*ventas[[#This Row],[descuento_pct]]</f>
        <v>0</v>
      </c>
      <c r="T527">
        <f>ventas[[#This Row],[Total_Productos]]-ventas[[#This Row],[Valor_descuento]]</f>
        <v>1400000</v>
      </c>
    </row>
    <row r="528" spans="1:20" x14ac:dyDescent="0.3">
      <c r="A528">
        <v>772</v>
      </c>
      <c r="B528" s="1">
        <v>45699</v>
      </c>
      <c r="C528">
        <v>65</v>
      </c>
      <c r="D528">
        <v>0</v>
      </c>
      <c r="E528">
        <v>246</v>
      </c>
      <c r="F528" t="s">
        <v>119</v>
      </c>
      <c r="G528" t="s">
        <v>120</v>
      </c>
      <c r="H528" t="s">
        <v>19</v>
      </c>
      <c r="I528">
        <v>33</v>
      </c>
      <c r="J528" t="s">
        <v>101</v>
      </c>
      <c r="K528" t="str">
        <f>_xlfn.XLOOKUP( ventas[[#This Row],[ciudad_cliente]],  ciudades[Ciudad], ciudades[Region])</f>
        <v>O'Higgins</v>
      </c>
      <c r="L528" t="s">
        <v>22</v>
      </c>
      <c r="M528" t="s">
        <v>62</v>
      </c>
      <c r="N528" t="str">
        <f>_xlfn.XLOOKUP(ventas[[#This Row],[producto]], categ[Producto], categ[Categoria])</f>
        <v>Electrohogar</v>
      </c>
      <c r="O528">
        <v>650000</v>
      </c>
      <c r="P528">
        <v>1</v>
      </c>
      <c r="Q528" s="11">
        <v>0.05</v>
      </c>
      <c r="R528">
        <f>(ventas[[#This Row],[precio_unitario]]*ventas[[#This Row],[cantidad]])</f>
        <v>650000</v>
      </c>
      <c r="S528">
        <f>ventas[[#This Row],[Total_Productos]]*ventas[[#This Row],[descuento_pct]]</f>
        <v>32500</v>
      </c>
      <c r="T528">
        <f>ventas[[#This Row],[Total_Productos]]-ventas[[#This Row],[Valor_descuento]]</f>
        <v>617500</v>
      </c>
    </row>
    <row r="529" spans="1:20" x14ac:dyDescent="0.3">
      <c r="A529">
        <v>51</v>
      </c>
      <c r="B529" s="1">
        <v>44978</v>
      </c>
      <c r="C529">
        <v>17</v>
      </c>
      <c r="D529">
        <v>0</v>
      </c>
      <c r="E529">
        <v>221</v>
      </c>
      <c r="F529" t="s">
        <v>146</v>
      </c>
      <c r="G529" t="s">
        <v>147</v>
      </c>
      <c r="H529" t="s">
        <v>42</v>
      </c>
      <c r="I529">
        <v>65</v>
      </c>
      <c r="J529" t="s">
        <v>34</v>
      </c>
      <c r="K529" t="str">
        <f>_xlfn.XLOOKUP( ventas[[#This Row],[ciudad_cliente]],  ciudades[Ciudad], ciudades[Region])</f>
        <v>Metropolitana</v>
      </c>
      <c r="L529" t="s">
        <v>22</v>
      </c>
      <c r="M529" t="s">
        <v>39</v>
      </c>
      <c r="N529" t="str">
        <f>_xlfn.XLOOKUP(ventas[[#This Row],[producto]], categ[Producto], categ[Categoria])</f>
        <v>Belleza</v>
      </c>
      <c r="O529">
        <v>35000</v>
      </c>
      <c r="P529">
        <v>3</v>
      </c>
      <c r="Q529" s="11">
        <v>0.05</v>
      </c>
      <c r="R529">
        <f>(ventas[[#This Row],[precio_unitario]]*ventas[[#This Row],[cantidad]])</f>
        <v>105000</v>
      </c>
      <c r="S529">
        <f>ventas[[#This Row],[Total_Productos]]*ventas[[#This Row],[descuento_pct]]</f>
        <v>5250</v>
      </c>
      <c r="T529">
        <f>ventas[[#This Row],[Total_Productos]]-ventas[[#This Row],[Valor_descuento]]</f>
        <v>99750</v>
      </c>
    </row>
    <row r="530" spans="1:20" x14ac:dyDescent="0.3">
      <c r="A530">
        <v>81</v>
      </c>
      <c r="B530" s="1">
        <v>45008</v>
      </c>
      <c r="C530">
        <v>23</v>
      </c>
      <c r="D530">
        <v>0</v>
      </c>
      <c r="E530">
        <v>221</v>
      </c>
      <c r="F530" t="s">
        <v>146</v>
      </c>
      <c r="G530" t="s">
        <v>147</v>
      </c>
      <c r="H530" t="s">
        <v>42</v>
      </c>
      <c r="I530">
        <v>65</v>
      </c>
      <c r="J530" t="s">
        <v>52</v>
      </c>
      <c r="K530" t="str">
        <f>_xlfn.XLOOKUP( ventas[[#This Row],[ciudad_cliente]],  ciudades[Ciudad], ciudades[Region])</f>
        <v>Biobío</v>
      </c>
      <c r="L530" t="s">
        <v>29</v>
      </c>
      <c r="M530" t="s">
        <v>98</v>
      </c>
      <c r="N530" t="str">
        <f>_xlfn.XLOOKUP(ventas[[#This Row],[producto]], categ[Producto], categ[Categoria])</f>
        <v>Calzado</v>
      </c>
      <c r="O530">
        <v>55000</v>
      </c>
      <c r="P530">
        <v>3</v>
      </c>
      <c r="Q530" s="11">
        <v>0</v>
      </c>
      <c r="R530">
        <f>(ventas[[#This Row],[precio_unitario]]*ventas[[#This Row],[cantidad]])</f>
        <v>165000</v>
      </c>
      <c r="S530">
        <f>ventas[[#This Row],[Total_Productos]]*ventas[[#This Row],[descuento_pct]]</f>
        <v>0</v>
      </c>
      <c r="T530">
        <f>ventas[[#This Row],[Total_Productos]]-ventas[[#This Row],[Valor_descuento]]</f>
        <v>165000</v>
      </c>
    </row>
    <row r="531" spans="1:20" x14ac:dyDescent="0.3">
      <c r="A531">
        <v>434</v>
      </c>
      <c r="B531" s="1">
        <v>45361</v>
      </c>
      <c r="C531">
        <v>61</v>
      </c>
      <c r="D531">
        <v>3</v>
      </c>
      <c r="E531">
        <v>221</v>
      </c>
      <c r="F531" t="s">
        <v>146</v>
      </c>
      <c r="G531" t="s">
        <v>147</v>
      </c>
      <c r="H531" t="s">
        <v>42</v>
      </c>
      <c r="I531">
        <v>65</v>
      </c>
      <c r="J531" t="s">
        <v>52</v>
      </c>
      <c r="K531" t="str">
        <f>_xlfn.XLOOKUP( ventas[[#This Row],[ciudad_cliente]],  ciudades[Ciudad], ciudades[Region])</f>
        <v>Biobío</v>
      </c>
      <c r="L531" t="s">
        <v>22</v>
      </c>
      <c r="M531" t="s">
        <v>98</v>
      </c>
      <c r="N531" t="str">
        <f>_xlfn.XLOOKUP(ventas[[#This Row],[producto]], categ[Producto], categ[Categoria])</f>
        <v>Calzado</v>
      </c>
      <c r="O531">
        <v>55000</v>
      </c>
      <c r="P531">
        <v>1</v>
      </c>
      <c r="Q531" s="11">
        <v>0.05</v>
      </c>
      <c r="R531">
        <f>(ventas[[#This Row],[precio_unitario]]*ventas[[#This Row],[cantidad]])</f>
        <v>55000</v>
      </c>
      <c r="S531">
        <f>ventas[[#This Row],[Total_Productos]]*ventas[[#This Row],[descuento_pct]]</f>
        <v>2750</v>
      </c>
      <c r="T531">
        <f>ventas[[#This Row],[Total_Productos]]-ventas[[#This Row],[Valor_descuento]]</f>
        <v>52250</v>
      </c>
    </row>
    <row r="532" spans="1:20" x14ac:dyDescent="0.3">
      <c r="A532">
        <v>462</v>
      </c>
      <c r="B532" s="1">
        <v>45389</v>
      </c>
      <c r="C532">
        <v>40</v>
      </c>
      <c r="D532">
        <v>1</v>
      </c>
      <c r="E532">
        <v>221</v>
      </c>
      <c r="F532" t="s">
        <v>146</v>
      </c>
      <c r="G532" t="s">
        <v>147</v>
      </c>
      <c r="H532" t="s">
        <v>42</v>
      </c>
      <c r="I532">
        <v>65</v>
      </c>
      <c r="J532" t="s">
        <v>27</v>
      </c>
      <c r="K532" t="str">
        <f>_xlfn.XLOOKUP( ventas[[#This Row],[ciudad_cliente]],  ciudades[Ciudad], ciudades[Region])</f>
        <v>Biobío</v>
      </c>
      <c r="L532" t="s">
        <v>38</v>
      </c>
      <c r="M532" t="s">
        <v>69</v>
      </c>
      <c r="N532" t="str">
        <f>_xlfn.XLOOKUP(ventas[[#This Row],[producto]], categ[Producto], categ[Categoria])</f>
        <v>Tecnología</v>
      </c>
      <c r="O532">
        <v>450000</v>
      </c>
      <c r="P532">
        <v>1</v>
      </c>
      <c r="Q532" s="11">
        <v>0</v>
      </c>
      <c r="R532">
        <f>(ventas[[#This Row],[precio_unitario]]*ventas[[#This Row],[cantidad]])</f>
        <v>450000</v>
      </c>
      <c r="S532">
        <f>ventas[[#This Row],[Total_Productos]]*ventas[[#This Row],[descuento_pct]]</f>
        <v>0</v>
      </c>
      <c r="T532">
        <f>ventas[[#This Row],[Total_Productos]]-ventas[[#This Row],[Valor_descuento]]</f>
        <v>450000</v>
      </c>
    </row>
    <row r="533" spans="1:20" x14ac:dyDescent="0.3">
      <c r="A533">
        <v>561</v>
      </c>
      <c r="B533" s="1">
        <v>45488</v>
      </c>
      <c r="C533">
        <v>6</v>
      </c>
      <c r="D533">
        <v>2</v>
      </c>
      <c r="E533">
        <v>221</v>
      </c>
      <c r="F533" t="s">
        <v>146</v>
      </c>
      <c r="G533" t="s">
        <v>147</v>
      </c>
      <c r="H533" t="s">
        <v>42</v>
      </c>
      <c r="I533">
        <v>65</v>
      </c>
      <c r="J533" t="s">
        <v>52</v>
      </c>
      <c r="K533" t="str">
        <f>_xlfn.XLOOKUP( ventas[[#This Row],[ciudad_cliente]],  ciudades[Ciudad], ciudades[Region])</f>
        <v>Biobío</v>
      </c>
      <c r="L533" t="s">
        <v>29</v>
      </c>
      <c r="M533" t="s">
        <v>69</v>
      </c>
      <c r="N533" t="str">
        <f>_xlfn.XLOOKUP(ventas[[#This Row],[producto]], categ[Producto], categ[Categoria])</f>
        <v>Tecnología</v>
      </c>
      <c r="O533">
        <v>450000</v>
      </c>
      <c r="P533">
        <v>1</v>
      </c>
      <c r="Q533" s="11">
        <v>0.05</v>
      </c>
      <c r="R533">
        <f>(ventas[[#This Row],[precio_unitario]]*ventas[[#This Row],[cantidad]])</f>
        <v>450000</v>
      </c>
      <c r="S533">
        <f>ventas[[#This Row],[Total_Productos]]*ventas[[#This Row],[descuento_pct]]</f>
        <v>22500</v>
      </c>
      <c r="T533">
        <f>ventas[[#This Row],[Total_Productos]]-ventas[[#This Row],[Valor_descuento]]</f>
        <v>427500</v>
      </c>
    </row>
    <row r="534" spans="1:20" x14ac:dyDescent="0.3">
      <c r="A534">
        <v>769</v>
      </c>
      <c r="B534" s="1">
        <v>45696</v>
      </c>
      <c r="C534">
        <v>50</v>
      </c>
      <c r="D534">
        <v>0</v>
      </c>
      <c r="E534">
        <v>221</v>
      </c>
      <c r="F534" t="s">
        <v>146</v>
      </c>
      <c r="G534" t="s">
        <v>147</v>
      </c>
      <c r="H534" t="s">
        <v>42</v>
      </c>
      <c r="I534">
        <v>65</v>
      </c>
      <c r="J534" t="s">
        <v>20</v>
      </c>
      <c r="K534" t="str">
        <f>_xlfn.XLOOKUP( ventas[[#This Row],[ciudad_cliente]],  ciudades[Ciudad], ciudades[Region])</f>
        <v>La Araucanía</v>
      </c>
      <c r="L534" t="s">
        <v>22</v>
      </c>
      <c r="M534" t="s">
        <v>102</v>
      </c>
      <c r="N534" t="str">
        <f>_xlfn.XLOOKUP(ventas[[#This Row],[producto]], categ[Producto], categ[Categoria])</f>
        <v>Vestuario</v>
      </c>
      <c r="O534">
        <v>12000</v>
      </c>
      <c r="P534">
        <v>1</v>
      </c>
      <c r="Q534" s="11">
        <v>0</v>
      </c>
      <c r="R534">
        <f>(ventas[[#This Row],[precio_unitario]]*ventas[[#This Row],[cantidad]])</f>
        <v>12000</v>
      </c>
      <c r="S534">
        <f>ventas[[#This Row],[Total_Productos]]*ventas[[#This Row],[descuento_pct]]</f>
        <v>0</v>
      </c>
      <c r="T534">
        <f>ventas[[#This Row],[Total_Productos]]-ventas[[#This Row],[Valor_descuento]]</f>
        <v>12000</v>
      </c>
    </row>
    <row r="535" spans="1:20" x14ac:dyDescent="0.3">
      <c r="A535">
        <v>779</v>
      </c>
      <c r="B535" s="1">
        <v>45706</v>
      </c>
      <c r="C535">
        <v>29</v>
      </c>
      <c r="D535">
        <v>1</v>
      </c>
      <c r="E535">
        <v>221</v>
      </c>
      <c r="F535" t="s">
        <v>146</v>
      </c>
      <c r="G535" t="s">
        <v>147</v>
      </c>
      <c r="H535" t="s">
        <v>42</v>
      </c>
      <c r="I535">
        <v>65</v>
      </c>
      <c r="J535" t="s">
        <v>116</v>
      </c>
      <c r="K535" t="str">
        <f>_xlfn.XLOOKUP( ventas[[#This Row],[ciudad_cliente]],  ciudades[Ciudad], ciudades[Region])</f>
        <v>Valparaíso</v>
      </c>
      <c r="L535" t="s">
        <v>38</v>
      </c>
      <c r="M535" t="s">
        <v>62</v>
      </c>
      <c r="N535" t="str">
        <f>_xlfn.XLOOKUP(ventas[[#This Row],[producto]], categ[Producto], categ[Categoria])</f>
        <v>Electrohogar</v>
      </c>
      <c r="O535">
        <v>650000</v>
      </c>
      <c r="P535">
        <v>1</v>
      </c>
      <c r="Q535" s="11">
        <v>0.05</v>
      </c>
      <c r="R535">
        <f>(ventas[[#This Row],[precio_unitario]]*ventas[[#This Row],[cantidad]])</f>
        <v>650000</v>
      </c>
      <c r="S535">
        <f>ventas[[#This Row],[Total_Productos]]*ventas[[#This Row],[descuento_pct]]</f>
        <v>32500</v>
      </c>
      <c r="T535">
        <f>ventas[[#This Row],[Total_Productos]]-ventas[[#This Row],[Valor_descuento]]</f>
        <v>617500</v>
      </c>
    </row>
    <row r="536" spans="1:20" x14ac:dyDescent="0.3">
      <c r="A536">
        <v>846</v>
      </c>
      <c r="B536" s="1">
        <v>45773</v>
      </c>
      <c r="C536">
        <v>61</v>
      </c>
      <c r="D536">
        <v>3</v>
      </c>
      <c r="E536">
        <v>221</v>
      </c>
      <c r="F536" t="s">
        <v>146</v>
      </c>
      <c r="G536" t="s">
        <v>147</v>
      </c>
      <c r="H536" t="s">
        <v>42</v>
      </c>
      <c r="I536">
        <v>65</v>
      </c>
      <c r="J536" t="s">
        <v>52</v>
      </c>
      <c r="K536" t="str">
        <f>_xlfn.XLOOKUP( ventas[[#This Row],[ciudad_cliente]],  ciudades[Ciudad], ciudades[Region])</f>
        <v>Biobío</v>
      </c>
      <c r="L536" t="s">
        <v>38</v>
      </c>
      <c r="M536" t="s">
        <v>56</v>
      </c>
      <c r="N536" t="str">
        <f>_xlfn.XLOOKUP(ventas[[#This Row],[producto]], categ[Producto], categ[Categoria])</f>
        <v>Vestuario</v>
      </c>
      <c r="O536">
        <v>25000</v>
      </c>
      <c r="P536">
        <v>3</v>
      </c>
      <c r="Q536" s="11">
        <v>0</v>
      </c>
      <c r="R536">
        <f>(ventas[[#This Row],[precio_unitario]]*ventas[[#This Row],[cantidad]])</f>
        <v>75000</v>
      </c>
      <c r="S536">
        <f>ventas[[#This Row],[Total_Productos]]*ventas[[#This Row],[descuento_pct]]</f>
        <v>0</v>
      </c>
      <c r="T536">
        <f>ventas[[#This Row],[Total_Productos]]-ventas[[#This Row],[Valor_descuento]]</f>
        <v>75000</v>
      </c>
    </row>
    <row r="537" spans="1:20" x14ac:dyDescent="0.3">
      <c r="A537">
        <v>447</v>
      </c>
      <c r="B537" s="1">
        <v>45374</v>
      </c>
      <c r="C537">
        <v>27</v>
      </c>
      <c r="D537">
        <v>4</v>
      </c>
      <c r="E537">
        <v>115</v>
      </c>
      <c r="F537" t="s">
        <v>522</v>
      </c>
      <c r="G537" t="s">
        <v>523</v>
      </c>
      <c r="H537" t="s">
        <v>42</v>
      </c>
      <c r="I537">
        <v>35</v>
      </c>
      <c r="J537" t="s">
        <v>116</v>
      </c>
      <c r="K537" t="str">
        <f>_xlfn.XLOOKUP( ventas[[#This Row],[ciudad_cliente]],  ciudades[Ciudad], ciudades[Region])</f>
        <v>Valparaíso</v>
      </c>
      <c r="L537" t="s">
        <v>22</v>
      </c>
      <c r="M537" t="s">
        <v>102</v>
      </c>
      <c r="N537" t="str">
        <f>_xlfn.XLOOKUP(ventas[[#This Row],[producto]], categ[Producto], categ[Categoria])</f>
        <v>Vestuario</v>
      </c>
      <c r="O537">
        <v>12000</v>
      </c>
      <c r="P537">
        <v>1</v>
      </c>
      <c r="Q537" s="11">
        <v>0.05</v>
      </c>
      <c r="R537">
        <f>(ventas[[#This Row],[precio_unitario]]*ventas[[#This Row],[cantidad]])</f>
        <v>12000</v>
      </c>
      <c r="S537">
        <f>ventas[[#This Row],[Total_Productos]]*ventas[[#This Row],[descuento_pct]]</f>
        <v>600</v>
      </c>
      <c r="T537">
        <f>ventas[[#This Row],[Total_Productos]]-ventas[[#This Row],[Valor_descuento]]</f>
        <v>11400</v>
      </c>
    </row>
    <row r="538" spans="1:20" x14ac:dyDescent="0.3">
      <c r="A538">
        <v>447</v>
      </c>
      <c r="B538" s="1">
        <v>45374</v>
      </c>
      <c r="C538">
        <v>27</v>
      </c>
      <c r="D538">
        <v>4</v>
      </c>
      <c r="E538">
        <v>115</v>
      </c>
      <c r="F538" t="s">
        <v>522</v>
      </c>
      <c r="G538" t="s">
        <v>523</v>
      </c>
      <c r="H538" t="s">
        <v>42</v>
      </c>
      <c r="I538">
        <v>35</v>
      </c>
      <c r="J538" t="s">
        <v>116</v>
      </c>
      <c r="K538" t="str">
        <f>_xlfn.XLOOKUP( ventas[[#This Row],[ciudad_cliente]],  ciudades[Ciudad], ciudades[Region])</f>
        <v>Valparaíso</v>
      </c>
      <c r="L538" t="s">
        <v>22</v>
      </c>
      <c r="M538" t="s">
        <v>102</v>
      </c>
      <c r="N538" t="str">
        <f>_xlfn.XLOOKUP(ventas[[#This Row],[producto]], categ[Producto], categ[Categoria])</f>
        <v>Vestuario</v>
      </c>
      <c r="O538">
        <v>12000</v>
      </c>
      <c r="P538">
        <v>1</v>
      </c>
      <c r="Q538" s="11">
        <v>0.05</v>
      </c>
      <c r="R538">
        <f>(ventas[[#This Row],[precio_unitario]]*ventas[[#This Row],[cantidad]])</f>
        <v>12000</v>
      </c>
      <c r="S538">
        <f>ventas[[#This Row],[Total_Productos]]*ventas[[#This Row],[descuento_pct]]</f>
        <v>600</v>
      </c>
      <c r="T538">
        <f>ventas[[#This Row],[Total_Productos]]-ventas[[#This Row],[Valor_descuento]]</f>
        <v>11400</v>
      </c>
    </row>
    <row r="539" spans="1:20" x14ac:dyDescent="0.3">
      <c r="A539">
        <v>605</v>
      </c>
      <c r="B539" s="1">
        <v>45532</v>
      </c>
      <c r="C539">
        <v>13</v>
      </c>
      <c r="D539">
        <v>0</v>
      </c>
      <c r="E539">
        <v>115</v>
      </c>
      <c r="F539" t="s">
        <v>522</v>
      </c>
      <c r="G539" t="s">
        <v>523</v>
      </c>
      <c r="H539" t="s">
        <v>42</v>
      </c>
      <c r="I539">
        <v>35</v>
      </c>
      <c r="J539" t="s">
        <v>27</v>
      </c>
      <c r="K539" t="str">
        <f>_xlfn.XLOOKUP( ventas[[#This Row],[ciudad_cliente]],  ciudades[Ciudad], ciudades[Region])</f>
        <v>Biobío</v>
      </c>
      <c r="L539" t="s">
        <v>22</v>
      </c>
      <c r="M539" t="s">
        <v>56</v>
      </c>
      <c r="N539" t="str">
        <f>_xlfn.XLOOKUP(ventas[[#This Row],[producto]], categ[Producto], categ[Categoria])</f>
        <v>Vestuario</v>
      </c>
      <c r="O539">
        <v>25000</v>
      </c>
      <c r="P539">
        <v>3</v>
      </c>
      <c r="Q539" s="11">
        <v>0.1</v>
      </c>
      <c r="R539">
        <f>(ventas[[#This Row],[precio_unitario]]*ventas[[#This Row],[cantidad]])</f>
        <v>75000</v>
      </c>
      <c r="S539">
        <f>ventas[[#This Row],[Total_Productos]]*ventas[[#This Row],[descuento_pct]]</f>
        <v>7500</v>
      </c>
      <c r="T539">
        <f>ventas[[#This Row],[Total_Productos]]-ventas[[#This Row],[Valor_descuento]]</f>
        <v>67500</v>
      </c>
    </row>
    <row r="540" spans="1:20" x14ac:dyDescent="0.3">
      <c r="A540">
        <v>622</v>
      </c>
      <c r="B540" s="1">
        <v>45549</v>
      </c>
      <c r="C540">
        <v>4</v>
      </c>
      <c r="D540">
        <v>3</v>
      </c>
      <c r="E540">
        <v>115</v>
      </c>
      <c r="F540" t="s">
        <v>522</v>
      </c>
      <c r="G540" t="s">
        <v>523</v>
      </c>
      <c r="H540" t="s">
        <v>42</v>
      </c>
      <c r="I540">
        <v>35</v>
      </c>
      <c r="J540" t="s">
        <v>52</v>
      </c>
      <c r="K540" t="str">
        <f>_xlfn.XLOOKUP( ventas[[#This Row],[ciudad_cliente]],  ciudades[Ciudad], ciudades[Region])</f>
        <v>Biobío</v>
      </c>
      <c r="L540" t="s">
        <v>38</v>
      </c>
      <c r="M540" t="s">
        <v>49</v>
      </c>
      <c r="N540" t="str">
        <f>_xlfn.XLOOKUP(ventas[[#This Row],[producto]], categ[Producto], categ[Categoria])</f>
        <v>Electrohogar</v>
      </c>
      <c r="O540">
        <v>800000</v>
      </c>
      <c r="P540">
        <v>1</v>
      </c>
      <c r="Q540" s="11">
        <v>0.05</v>
      </c>
      <c r="R540">
        <f>(ventas[[#This Row],[precio_unitario]]*ventas[[#This Row],[cantidad]])</f>
        <v>800000</v>
      </c>
      <c r="S540">
        <f>ventas[[#This Row],[Total_Productos]]*ventas[[#This Row],[descuento_pct]]</f>
        <v>40000</v>
      </c>
      <c r="T540">
        <f>ventas[[#This Row],[Total_Productos]]-ventas[[#This Row],[Valor_descuento]]</f>
        <v>760000</v>
      </c>
    </row>
    <row r="541" spans="1:20" x14ac:dyDescent="0.3">
      <c r="A541">
        <v>934</v>
      </c>
      <c r="B541" s="1">
        <v>45861</v>
      </c>
      <c r="C541">
        <v>68</v>
      </c>
      <c r="D541">
        <v>2</v>
      </c>
      <c r="E541">
        <v>115</v>
      </c>
      <c r="F541" t="s">
        <v>522</v>
      </c>
      <c r="G541" t="s">
        <v>523</v>
      </c>
      <c r="H541" t="s">
        <v>42</v>
      </c>
      <c r="I541">
        <v>35</v>
      </c>
      <c r="J541" t="s">
        <v>34</v>
      </c>
      <c r="K541" t="str">
        <f>_xlfn.XLOOKUP( ventas[[#This Row],[ciudad_cliente]],  ciudades[Ciudad], ciudades[Region])</f>
        <v>Metropolitana</v>
      </c>
      <c r="L541" t="s">
        <v>38</v>
      </c>
      <c r="M541" t="s">
        <v>39</v>
      </c>
      <c r="N541" t="str">
        <f>_xlfn.XLOOKUP(ventas[[#This Row],[producto]], categ[Producto], categ[Categoria])</f>
        <v>Belleza</v>
      </c>
      <c r="O541">
        <v>35000</v>
      </c>
      <c r="P541">
        <v>2</v>
      </c>
      <c r="Q541" s="11">
        <v>0</v>
      </c>
      <c r="R541">
        <f>(ventas[[#This Row],[precio_unitario]]*ventas[[#This Row],[cantidad]])</f>
        <v>70000</v>
      </c>
      <c r="S541">
        <f>ventas[[#This Row],[Total_Productos]]*ventas[[#This Row],[descuento_pct]]</f>
        <v>0</v>
      </c>
      <c r="T541">
        <f>ventas[[#This Row],[Total_Productos]]-ventas[[#This Row],[Valor_descuento]]</f>
        <v>70000</v>
      </c>
    </row>
    <row r="542" spans="1:20" x14ac:dyDescent="0.3">
      <c r="A542">
        <v>987</v>
      </c>
      <c r="B542" s="1">
        <v>45914</v>
      </c>
      <c r="C542">
        <v>69</v>
      </c>
      <c r="D542">
        <v>1</v>
      </c>
      <c r="E542">
        <v>48</v>
      </c>
      <c r="F542" t="s">
        <v>604</v>
      </c>
      <c r="G542" t="s">
        <v>605</v>
      </c>
      <c r="H542" t="s">
        <v>42</v>
      </c>
      <c r="I542">
        <v>50</v>
      </c>
      <c r="J542" t="s">
        <v>76</v>
      </c>
      <c r="K542" t="str">
        <f>_xlfn.XLOOKUP( ventas[[#This Row],[ciudad_cliente]],  ciudades[Ciudad], ciudades[Region])</f>
        <v>Los Lagos</v>
      </c>
      <c r="L542" t="s">
        <v>38</v>
      </c>
      <c r="M542" t="s">
        <v>49</v>
      </c>
      <c r="N542" t="str">
        <f>_xlfn.XLOOKUP(ventas[[#This Row],[producto]], categ[Producto], categ[Categoria])</f>
        <v>Electrohogar</v>
      </c>
      <c r="O542">
        <v>800000</v>
      </c>
      <c r="P542">
        <v>2</v>
      </c>
      <c r="Q542" s="11">
        <v>0.1</v>
      </c>
      <c r="R542">
        <f>(ventas[[#This Row],[precio_unitario]]*ventas[[#This Row],[cantidad]])</f>
        <v>1600000</v>
      </c>
      <c r="S542">
        <f>ventas[[#This Row],[Total_Productos]]*ventas[[#This Row],[descuento_pct]]</f>
        <v>160000</v>
      </c>
      <c r="T542">
        <f>ventas[[#This Row],[Total_Productos]]-ventas[[#This Row],[Valor_descuento]]</f>
        <v>1440000</v>
      </c>
    </row>
    <row r="543" spans="1:20" x14ac:dyDescent="0.3">
      <c r="A543">
        <v>165</v>
      </c>
      <c r="B543" s="1">
        <v>45092</v>
      </c>
      <c r="C543">
        <v>48</v>
      </c>
      <c r="D543">
        <v>6</v>
      </c>
      <c r="E543">
        <v>71</v>
      </c>
      <c r="F543" t="s">
        <v>314</v>
      </c>
      <c r="G543" t="s">
        <v>315</v>
      </c>
      <c r="H543" t="s">
        <v>42</v>
      </c>
      <c r="I543">
        <v>42</v>
      </c>
      <c r="J543" t="s">
        <v>37</v>
      </c>
      <c r="K543" t="str">
        <f>_xlfn.XLOOKUP( ventas[[#This Row],[ciudad_cliente]],  ciudades[Ciudad], ciudades[Region])</f>
        <v>Valparaíso</v>
      </c>
      <c r="L543" t="s">
        <v>38</v>
      </c>
      <c r="M543" t="s">
        <v>102</v>
      </c>
      <c r="N543" t="str">
        <f>_xlfn.XLOOKUP(ventas[[#This Row],[producto]], categ[Producto], categ[Categoria])</f>
        <v>Vestuario</v>
      </c>
      <c r="O543">
        <v>12000</v>
      </c>
      <c r="P543">
        <v>3</v>
      </c>
      <c r="Q543" s="11">
        <v>0.1</v>
      </c>
      <c r="R543">
        <f>(ventas[[#This Row],[precio_unitario]]*ventas[[#This Row],[cantidad]])</f>
        <v>36000</v>
      </c>
      <c r="S543">
        <f>ventas[[#This Row],[Total_Productos]]*ventas[[#This Row],[descuento_pct]]</f>
        <v>3600</v>
      </c>
      <c r="T543">
        <f>ventas[[#This Row],[Total_Productos]]-ventas[[#This Row],[Valor_descuento]]</f>
        <v>32400</v>
      </c>
    </row>
    <row r="544" spans="1:20" x14ac:dyDescent="0.3">
      <c r="A544">
        <v>412</v>
      </c>
      <c r="B544" s="1">
        <v>45339</v>
      </c>
      <c r="C544">
        <v>59</v>
      </c>
      <c r="D544">
        <v>1</v>
      </c>
      <c r="E544">
        <v>71</v>
      </c>
      <c r="F544" t="s">
        <v>314</v>
      </c>
      <c r="G544" t="s">
        <v>315</v>
      </c>
      <c r="H544" t="s">
        <v>42</v>
      </c>
      <c r="I544">
        <v>42</v>
      </c>
      <c r="J544" t="s">
        <v>43</v>
      </c>
      <c r="K544" t="str">
        <f>_xlfn.XLOOKUP( ventas[[#This Row],[ciudad_cliente]],  ciudades[Ciudad], ciudades[Region])</f>
        <v>Antofagasta</v>
      </c>
      <c r="L544" t="s">
        <v>38</v>
      </c>
      <c r="M544" t="s">
        <v>62</v>
      </c>
      <c r="N544" t="str">
        <f>_xlfn.XLOOKUP(ventas[[#This Row],[producto]], categ[Producto], categ[Categoria])</f>
        <v>Electrohogar</v>
      </c>
      <c r="O544">
        <v>650000</v>
      </c>
      <c r="P544">
        <v>1</v>
      </c>
      <c r="Q544" s="11">
        <v>0.1</v>
      </c>
      <c r="R544">
        <f>(ventas[[#This Row],[precio_unitario]]*ventas[[#This Row],[cantidad]])</f>
        <v>650000</v>
      </c>
      <c r="S544">
        <f>ventas[[#This Row],[Total_Productos]]*ventas[[#This Row],[descuento_pct]]</f>
        <v>65000</v>
      </c>
      <c r="T544">
        <f>ventas[[#This Row],[Total_Productos]]-ventas[[#This Row],[Valor_descuento]]</f>
        <v>585000</v>
      </c>
    </row>
    <row r="545" spans="1:20" x14ac:dyDescent="0.3">
      <c r="A545">
        <v>483</v>
      </c>
      <c r="B545" s="1">
        <v>45410</v>
      </c>
      <c r="C545">
        <v>7</v>
      </c>
      <c r="D545">
        <v>8</v>
      </c>
      <c r="E545">
        <v>71</v>
      </c>
      <c r="F545" t="s">
        <v>314</v>
      </c>
      <c r="G545" t="s">
        <v>315</v>
      </c>
      <c r="H545" t="s">
        <v>42</v>
      </c>
      <c r="I545">
        <v>42</v>
      </c>
      <c r="J545" t="s">
        <v>37</v>
      </c>
      <c r="K545" t="str">
        <f>_xlfn.XLOOKUP( ventas[[#This Row],[ciudad_cliente]],  ciudades[Ciudad], ciudades[Region])</f>
        <v>Valparaíso</v>
      </c>
      <c r="L545" t="s">
        <v>38</v>
      </c>
      <c r="M545" t="s">
        <v>23</v>
      </c>
      <c r="N545" t="str">
        <f>_xlfn.XLOOKUP(ventas[[#This Row],[producto]], categ[Producto], categ[Categoria])</f>
        <v>Belleza</v>
      </c>
      <c r="O545">
        <v>15000</v>
      </c>
      <c r="P545">
        <v>3</v>
      </c>
      <c r="Q545" s="11">
        <v>0.05</v>
      </c>
      <c r="R545">
        <f>(ventas[[#This Row],[precio_unitario]]*ventas[[#This Row],[cantidad]])</f>
        <v>45000</v>
      </c>
      <c r="S545">
        <f>ventas[[#This Row],[Total_Productos]]*ventas[[#This Row],[descuento_pct]]</f>
        <v>2250</v>
      </c>
      <c r="T545">
        <f>ventas[[#This Row],[Total_Productos]]-ventas[[#This Row],[Valor_descuento]]</f>
        <v>42750</v>
      </c>
    </row>
    <row r="546" spans="1:20" x14ac:dyDescent="0.3">
      <c r="A546">
        <v>627</v>
      </c>
      <c r="B546" s="1">
        <v>45554</v>
      </c>
      <c r="C546">
        <v>65</v>
      </c>
      <c r="D546">
        <v>0</v>
      </c>
      <c r="E546">
        <v>71</v>
      </c>
      <c r="F546" t="s">
        <v>314</v>
      </c>
      <c r="G546" t="s">
        <v>315</v>
      </c>
      <c r="H546" t="s">
        <v>42</v>
      </c>
      <c r="I546">
        <v>42</v>
      </c>
      <c r="J546" t="s">
        <v>101</v>
      </c>
      <c r="K546" t="str">
        <f>_xlfn.XLOOKUP( ventas[[#This Row],[ciudad_cliente]],  ciudades[Ciudad], ciudades[Region])</f>
        <v>O'Higgins</v>
      </c>
      <c r="L546" t="s">
        <v>29</v>
      </c>
      <c r="M546" t="s">
        <v>62</v>
      </c>
      <c r="N546" t="str">
        <f>_xlfn.XLOOKUP(ventas[[#This Row],[producto]], categ[Producto], categ[Categoria])</f>
        <v>Electrohogar</v>
      </c>
      <c r="O546">
        <v>650000</v>
      </c>
      <c r="P546">
        <v>1</v>
      </c>
      <c r="Q546" s="11">
        <v>0</v>
      </c>
      <c r="R546">
        <f>(ventas[[#This Row],[precio_unitario]]*ventas[[#This Row],[cantidad]])</f>
        <v>650000</v>
      </c>
      <c r="S546">
        <f>ventas[[#This Row],[Total_Productos]]*ventas[[#This Row],[descuento_pct]]</f>
        <v>0</v>
      </c>
      <c r="T546">
        <f>ventas[[#This Row],[Total_Productos]]-ventas[[#This Row],[Valor_descuento]]</f>
        <v>650000</v>
      </c>
    </row>
    <row r="547" spans="1:20" x14ac:dyDescent="0.3">
      <c r="A547">
        <v>633</v>
      </c>
      <c r="B547" s="1">
        <v>45560</v>
      </c>
      <c r="C547">
        <v>36</v>
      </c>
      <c r="D547">
        <v>4</v>
      </c>
      <c r="E547">
        <v>71</v>
      </c>
      <c r="F547" t="s">
        <v>314</v>
      </c>
      <c r="G547" t="s">
        <v>315</v>
      </c>
      <c r="H547" t="s">
        <v>42</v>
      </c>
      <c r="I547">
        <v>42</v>
      </c>
      <c r="J547" t="s">
        <v>101</v>
      </c>
      <c r="K547" t="str">
        <f>_xlfn.XLOOKUP( ventas[[#This Row],[ciudad_cliente]],  ciudades[Ciudad], ciudades[Region])</f>
        <v>O'Higgins</v>
      </c>
      <c r="L547" t="s">
        <v>22</v>
      </c>
      <c r="M547" t="s">
        <v>102</v>
      </c>
      <c r="N547" t="str">
        <f>_xlfn.XLOOKUP(ventas[[#This Row],[producto]], categ[Producto], categ[Categoria])</f>
        <v>Vestuario</v>
      </c>
      <c r="O547">
        <v>12000</v>
      </c>
      <c r="P547">
        <v>3</v>
      </c>
      <c r="Q547" s="11">
        <v>0.1</v>
      </c>
      <c r="R547">
        <f>(ventas[[#This Row],[precio_unitario]]*ventas[[#This Row],[cantidad]])</f>
        <v>36000</v>
      </c>
      <c r="S547">
        <f>ventas[[#This Row],[Total_Productos]]*ventas[[#This Row],[descuento_pct]]</f>
        <v>3600</v>
      </c>
      <c r="T547">
        <f>ventas[[#This Row],[Total_Productos]]-ventas[[#This Row],[Valor_descuento]]</f>
        <v>32400</v>
      </c>
    </row>
    <row r="548" spans="1:20" x14ac:dyDescent="0.3">
      <c r="A548">
        <v>723</v>
      </c>
      <c r="B548" s="1">
        <v>45650</v>
      </c>
      <c r="C548">
        <v>9</v>
      </c>
      <c r="D548">
        <v>9</v>
      </c>
      <c r="E548">
        <v>71</v>
      </c>
      <c r="F548" t="s">
        <v>314</v>
      </c>
      <c r="G548" t="s">
        <v>315</v>
      </c>
      <c r="H548" t="s">
        <v>42</v>
      </c>
      <c r="I548">
        <v>42</v>
      </c>
      <c r="J548" t="s">
        <v>37</v>
      </c>
      <c r="K548" t="str">
        <f>_xlfn.XLOOKUP( ventas[[#This Row],[ciudad_cliente]],  ciudades[Ciudad], ciudades[Region])</f>
        <v>Valparaíso</v>
      </c>
      <c r="L548" t="s">
        <v>38</v>
      </c>
      <c r="M548" t="s">
        <v>62</v>
      </c>
      <c r="N548" t="str">
        <f>_xlfn.XLOOKUP(ventas[[#This Row],[producto]], categ[Producto], categ[Categoria])</f>
        <v>Electrohogar</v>
      </c>
      <c r="O548">
        <v>650000</v>
      </c>
      <c r="P548">
        <v>2</v>
      </c>
      <c r="Q548" s="11">
        <v>0</v>
      </c>
      <c r="R548">
        <f>(ventas[[#This Row],[precio_unitario]]*ventas[[#This Row],[cantidad]])</f>
        <v>1300000</v>
      </c>
      <c r="S548">
        <f>ventas[[#This Row],[Total_Productos]]*ventas[[#This Row],[descuento_pct]]</f>
        <v>0</v>
      </c>
      <c r="T548">
        <f>ventas[[#This Row],[Total_Productos]]-ventas[[#This Row],[Valor_descuento]]</f>
        <v>1300000</v>
      </c>
    </row>
    <row r="549" spans="1:20" x14ac:dyDescent="0.3">
      <c r="A549">
        <v>234</v>
      </c>
      <c r="B549" s="1">
        <v>45161</v>
      </c>
      <c r="C549">
        <v>25</v>
      </c>
      <c r="D549">
        <v>3</v>
      </c>
      <c r="E549">
        <v>131</v>
      </c>
      <c r="F549" t="s">
        <v>386</v>
      </c>
      <c r="G549" t="s">
        <v>387</v>
      </c>
      <c r="H549" t="s">
        <v>19</v>
      </c>
      <c r="I549">
        <v>19</v>
      </c>
      <c r="J549" t="s">
        <v>76</v>
      </c>
      <c r="K549" t="str">
        <f>_xlfn.XLOOKUP( ventas[[#This Row],[ciudad_cliente]],  ciudades[Ciudad], ciudades[Region])</f>
        <v>Los Lagos</v>
      </c>
      <c r="L549" t="s">
        <v>29</v>
      </c>
      <c r="M549" t="s">
        <v>23</v>
      </c>
      <c r="N549" t="str">
        <f>_xlfn.XLOOKUP(ventas[[#This Row],[producto]], categ[Producto], categ[Categoria])</f>
        <v>Belleza</v>
      </c>
      <c r="O549">
        <v>15000</v>
      </c>
      <c r="P549">
        <v>3</v>
      </c>
      <c r="Q549" s="11">
        <v>0</v>
      </c>
      <c r="R549">
        <f>(ventas[[#This Row],[precio_unitario]]*ventas[[#This Row],[cantidad]])</f>
        <v>45000</v>
      </c>
      <c r="S549">
        <f>ventas[[#This Row],[Total_Productos]]*ventas[[#This Row],[descuento_pct]]</f>
        <v>0</v>
      </c>
      <c r="T549">
        <f>ventas[[#This Row],[Total_Productos]]-ventas[[#This Row],[Valor_descuento]]</f>
        <v>45000</v>
      </c>
    </row>
    <row r="550" spans="1:20" x14ac:dyDescent="0.3">
      <c r="A550">
        <v>745</v>
      </c>
      <c r="B550" s="1">
        <v>45672</v>
      </c>
      <c r="C550">
        <v>27</v>
      </c>
      <c r="D550">
        <v>4</v>
      </c>
      <c r="E550">
        <v>131</v>
      </c>
      <c r="F550" t="s">
        <v>386</v>
      </c>
      <c r="G550" t="s">
        <v>387</v>
      </c>
      <c r="H550" t="s">
        <v>19</v>
      </c>
      <c r="I550">
        <v>19</v>
      </c>
      <c r="J550" t="s">
        <v>116</v>
      </c>
      <c r="K550" t="str">
        <f>_xlfn.XLOOKUP( ventas[[#This Row],[ciudad_cliente]],  ciudades[Ciudad], ciudades[Region])</f>
        <v>Valparaíso</v>
      </c>
      <c r="L550" t="s">
        <v>38</v>
      </c>
      <c r="M550" t="s">
        <v>62</v>
      </c>
      <c r="N550" t="str">
        <f>_xlfn.XLOOKUP(ventas[[#This Row],[producto]], categ[Producto], categ[Categoria])</f>
        <v>Electrohogar</v>
      </c>
      <c r="O550">
        <v>650000</v>
      </c>
      <c r="P550">
        <v>3</v>
      </c>
      <c r="Q550" s="11">
        <v>0</v>
      </c>
      <c r="R550">
        <f>(ventas[[#This Row],[precio_unitario]]*ventas[[#This Row],[cantidad]])</f>
        <v>1950000</v>
      </c>
      <c r="S550">
        <f>ventas[[#This Row],[Total_Productos]]*ventas[[#This Row],[descuento_pct]]</f>
        <v>0</v>
      </c>
      <c r="T550">
        <f>ventas[[#This Row],[Total_Productos]]-ventas[[#This Row],[Valor_descuento]]</f>
        <v>1950000</v>
      </c>
    </row>
    <row r="551" spans="1:20" x14ac:dyDescent="0.3">
      <c r="A551">
        <v>464</v>
      </c>
      <c r="B551" s="1">
        <v>45391</v>
      </c>
      <c r="C551">
        <v>66</v>
      </c>
      <c r="D551">
        <v>2</v>
      </c>
      <c r="E551">
        <v>89</v>
      </c>
      <c r="F551" t="s">
        <v>526</v>
      </c>
      <c r="G551" t="s">
        <v>527</v>
      </c>
      <c r="H551" t="s">
        <v>19</v>
      </c>
      <c r="I551">
        <v>31</v>
      </c>
      <c r="J551" t="s">
        <v>27</v>
      </c>
      <c r="K551" t="str">
        <f>_xlfn.XLOOKUP( ventas[[#This Row],[ciudad_cliente]],  ciudades[Ciudad], ciudades[Region])</f>
        <v>Biobío</v>
      </c>
      <c r="L551" t="s">
        <v>22</v>
      </c>
      <c r="M551" t="s">
        <v>62</v>
      </c>
      <c r="N551" t="str">
        <f>_xlfn.XLOOKUP(ventas[[#This Row],[producto]], categ[Producto], categ[Categoria])</f>
        <v>Electrohogar</v>
      </c>
      <c r="O551">
        <v>650000</v>
      </c>
      <c r="P551">
        <v>3</v>
      </c>
      <c r="Q551" s="11">
        <v>0.05</v>
      </c>
      <c r="R551">
        <f>(ventas[[#This Row],[precio_unitario]]*ventas[[#This Row],[cantidad]])</f>
        <v>1950000</v>
      </c>
      <c r="S551">
        <f>ventas[[#This Row],[Total_Productos]]*ventas[[#This Row],[descuento_pct]]</f>
        <v>97500</v>
      </c>
      <c r="T551">
        <f>ventas[[#This Row],[Total_Productos]]-ventas[[#This Row],[Valor_descuento]]</f>
        <v>1852500</v>
      </c>
    </row>
    <row r="552" spans="1:20" x14ac:dyDescent="0.3">
      <c r="A552">
        <v>935</v>
      </c>
      <c r="B552" s="1">
        <v>45862</v>
      </c>
      <c r="C552">
        <v>27</v>
      </c>
      <c r="D552">
        <v>4</v>
      </c>
      <c r="E552">
        <v>89</v>
      </c>
      <c r="F552" t="s">
        <v>526</v>
      </c>
      <c r="G552" t="s">
        <v>527</v>
      </c>
      <c r="H552" t="s">
        <v>19</v>
      </c>
      <c r="I552">
        <v>31</v>
      </c>
      <c r="J552" t="s">
        <v>116</v>
      </c>
      <c r="K552" t="str">
        <f>_xlfn.XLOOKUP( ventas[[#This Row],[ciudad_cliente]],  ciudades[Ciudad], ciudades[Region])</f>
        <v>Valparaíso</v>
      </c>
      <c r="L552" t="s">
        <v>38</v>
      </c>
      <c r="M552" t="s">
        <v>56</v>
      </c>
      <c r="N552" t="str">
        <f>_xlfn.XLOOKUP(ventas[[#This Row],[producto]], categ[Producto], categ[Categoria])</f>
        <v>Vestuario</v>
      </c>
      <c r="O552">
        <v>25000</v>
      </c>
      <c r="P552">
        <v>3</v>
      </c>
      <c r="Q552" s="11">
        <v>0.1</v>
      </c>
      <c r="R552">
        <f>(ventas[[#This Row],[precio_unitario]]*ventas[[#This Row],[cantidad]])</f>
        <v>75000</v>
      </c>
      <c r="S552">
        <f>ventas[[#This Row],[Total_Productos]]*ventas[[#This Row],[descuento_pct]]</f>
        <v>7500</v>
      </c>
      <c r="T552">
        <f>ventas[[#This Row],[Total_Productos]]-ventas[[#This Row],[Valor_descuento]]</f>
        <v>67500</v>
      </c>
    </row>
    <row r="553" spans="1:20" x14ac:dyDescent="0.3">
      <c r="A553">
        <v>45</v>
      </c>
      <c r="B553" s="1">
        <v>44972</v>
      </c>
      <c r="C553">
        <v>42</v>
      </c>
      <c r="D553">
        <v>4</v>
      </c>
      <c r="E553">
        <v>118</v>
      </c>
      <c r="F553" t="s">
        <v>134</v>
      </c>
      <c r="G553" t="s">
        <v>135</v>
      </c>
      <c r="H553" t="s">
        <v>42</v>
      </c>
      <c r="I553">
        <v>23</v>
      </c>
      <c r="J553" t="s">
        <v>27</v>
      </c>
      <c r="K553" t="str">
        <f>_xlfn.XLOOKUP( ventas[[#This Row],[ciudad_cliente]],  ciudades[Ciudad], ciudades[Region])</f>
        <v>Biobío</v>
      </c>
      <c r="L553" t="s">
        <v>22</v>
      </c>
      <c r="M553" t="s">
        <v>102</v>
      </c>
      <c r="N553" t="str">
        <f>_xlfn.XLOOKUP(ventas[[#This Row],[producto]], categ[Producto], categ[Categoria])</f>
        <v>Vestuario</v>
      </c>
      <c r="O553">
        <v>12000</v>
      </c>
      <c r="P553">
        <v>1</v>
      </c>
      <c r="Q553" s="11">
        <v>0.1</v>
      </c>
      <c r="R553">
        <f>(ventas[[#This Row],[precio_unitario]]*ventas[[#This Row],[cantidad]])</f>
        <v>12000</v>
      </c>
      <c r="S553">
        <f>ventas[[#This Row],[Total_Productos]]*ventas[[#This Row],[descuento_pct]]</f>
        <v>1200</v>
      </c>
      <c r="T553">
        <f>ventas[[#This Row],[Total_Productos]]-ventas[[#This Row],[Valor_descuento]]</f>
        <v>10800</v>
      </c>
    </row>
    <row r="554" spans="1:20" x14ac:dyDescent="0.3">
      <c r="A554">
        <v>121</v>
      </c>
      <c r="B554" s="1">
        <v>45048</v>
      </c>
      <c r="C554">
        <v>66</v>
      </c>
      <c r="D554">
        <v>2</v>
      </c>
      <c r="E554">
        <v>118</v>
      </c>
      <c r="F554" t="s">
        <v>134</v>
      </c>
      <c r="G554" t="s">
        <v>135</v>
      </c>
      <c r="H554" t="s">
        <v>42</v>
      </c>
      <c r="I554">
        <v>23</v>
      </c>
      <c r="J554" t="s">
        <v>27</v>
      </c>
      <c r="K554" t="str">
        <f>_xlfn.XLOOKUP( ventas[[#This Row],[ciudad_cliente]],  ciudades[Ciudad], ciudades[Region])</f>
        <v>Biobío</v>
      </c>
      <c r="L554" t="s">
        <v>38</v>
      </c>
      <c r="M554" t="s">
        <v>98</v>
      </c>
      <c r="N554" t="str">
        <f>_xlfn.XLOOKUP(ventas[[#This Row],[producto]], categ[Producto], categ[Categoria])</f>
        <v>Calzado</v>
      </c>
      <c r="O554">
        <v>55000</v>
      </c>
      <c r="P554">
        <v>2</v>
      </c>
      <c r="Q554" s="11">
        <v>0.1</v>
      </c>
      <c r="R554">
        <f>(ventas[[#This Row],[precio_unitario]]*ventas[[#This Row],[cantidad]])</f>
        <v>110000</v>
      </c>
      <c r="S554">
        <f>ventas[[#This Row],[Total_Productos]]*ventas[[#This Row],[descuento_pct]]</f>
        <v>11000</v>
      </c>
      <c r="T554">
        <f>ventas[[#This Row],[Total_Productos]]-ventas[[#This Row],[Valor_descuento]]</f>
        <v>99000</v>
      </c>
    </row>
    <row r="555" spans="1:20" x14ac:dyDescent="0.3">
      <c r="A555">
        <v>125</v>
      </c>
      <c r="B555" s="1">
        <v>45052</v>
      </c>
      <c r="C555">
        <v>19</v>
      </c>
      <c r="D555">
        <v>5</v>
      </c>
      <c r="E555">
        <v>118</v>
      </c>
      <c r="F555" t="s">
        <v>134</v>
      </c>
      <c r="G555" t="s">
        <v>135</v>
      </c>
      <c r="H555" t="s">
        <v>42</v>
      </c>
      <c r="I555">
        <v>23</v>
      </c>
      <c r="J555" t="s">
        <v>20</v>
      </c>
      <c r="K555" t="str">
        <f>_xlfn.XLOOKUP( ventas[[#This Row],[ciudad_cliente]],  ciudades[Ciudad], ciudades[Region])</f>
        <v>La Araucanía</v>
      </c>
      <c r="L555" t="s">
        <v>38</v>
      </c>
      <c r="M555" t="s">
        <v>39</v>
      </c>
      <c r="N555" t="str">
        <f>_xlfn.XLOOKUP(ventas[[#This Row],[producto]], categ[Producto], categ[Categoria])</f>
        <v>Belleza</v>
      </c>
      <c r="O555">
        <v>35000</v>
      </c>
      <c r="P555">
        <v>3</v>
      </c>
      <c r="Q555" s="11">
        <v>0.05</v>
      </c>
      <c r="R555">
        <f>(ventas[[#This Row],[precio_unitario]]*ventas[[#This Row],[cantidad]])</f>
        <v>105000</v>
      </c>
      <c r="S555">
        <f>ventas[[#This Row],[Total_Productos]]*ventas[[#This Row],[descuento_pct]]</f>
        <v>5250</v>
      </c>
      <c r="T555">
        <f>ventas[[#This Row],[Total_Productos]]-ventas[[#This Row],[Valor_descuento]]</f>
        <v>99750</v>
      </c>
    </row>
    <row r="556" spans="1:20" x14ac:dyDescent="0.3">
      <c r="A556">
        <v>163</v>
      </c>
      <c r="B556" s="1">
        <v>45090</v>
      </c>
      <c r="C556">
        <v>28</v>
      </c>
      <c r="D556">
        <v>5</v>
      </c>
      <c r="E556">
        <v>118</v>
      </c>
      <c r="F556" t="s">
        <v>134</v>
      </c>
      <c r="G556" t="s">
        <v>135</v>
      </c>
      <c r="H556" t="s">
        <v>42</v>
      </c>
      <c r="I556">
        <v>23</v>
      </c>
      <c r="J556" t="s">
        <v>116</v>
      </c>
      <c r="K556" t="str">
        <f>_xlfn.XLOOKUP( ventas[[#This Row],[ciudad_cliente]],  ciudades[Ciudad], ciudades[Region])</f>
        <v>Valparaíso</v>
      </c>
      <c r="L556" t="s">
        <v>29</v>
      </c>
      <c r="M556" t="s">
        <v>39</v>
      </c>
      <c r="N556" t="str">
        <f>_xlfn.XLOOKUP(ventas[[#This Row],[producto]], categ[Producto], categ[Categoria])</f>
        <v>Belleza</v>
      </c>
      <c r="O556">
        <v>35000</v>
      </c>
      <c r="P556">
        <v>1</v>
      </c>
      <c r="Q556" s="11">
        <v>0</v>
      </c>
      <c r="R556">
        <f>(ventas[[#This Row],[precio_unitario]]*ventas[[#This Row],[cantidad]])</f>
        <v>35000</v>
      </c>
      <c r="S556">
        <f>ventas[[#This Row],[Total_Productos]]*ventas[[#This Row],[descuento_pct]]</f>
        <v>0</v>
      </c>
      <c r="T556">
        <f>ventas[[#This Row],[Total_Productos]]-ventas[[#This Row],[Valor_descuento]]</f>
        <v>35000</v>
      </c>
    </row>
    <row r="557" spans="1:20" x14ac:dyDescent="0.3">
      <c r="A557">
        <v>263</v>
      </c>
      <c r="B557" s="1">
        <v>45190</v>
      </c>
      <c r="C557">
        <v>67</v>
      </c>
      <c r="D557">
        <v>0</v>
      </c>
      <c r="E557">
        <v>118</v>
      </c>
      <c r="F557" t="s">
        <v>134</v>
      </c>
      <c r="G557" t="s">
        <v>135</v>
      </c>
      <c r="H557" t="s">
        <v>42</v>
      </c>
      <c r="I557">
        <v>23</v>
      </c>
      <c r="J557" t="s">
        <v>27</v>
      </c>
      <c r="K557" t="str">
        <f>_xlfn.XLOOKUP( ventas[[#This Row],[ciudad_cliente]],  ciudades[Ciudad], ciudades[Region])</f>
        <v>Biobío</v>
      </c>
      <c r="L557" t="s">
        <v>22</v>
      </c>
      <c r="M557" t="s">
        <v>62</v>
      </c>
      <c r="N557" t="str">
        <f>_xlfn.XLOOKUP(ventas[[#This Row],[producto]], categ[Producto], categ[Categoria])</f>
        <v>Electrohogar</v>
      </c>
      <c r="O557">
        <v>650000</v>
      </c>
      <c r="P557">
        <v>2</v>
      </c>
      <c r="Q557" s="11">
        <v>0</v>
      </c>
      <c r="R557">
        <f>(ventas[[#This Row],[precio_unitario]]*ventas[[#This Row],[cantidad]])</f>
        <v>1300000</v>
      </c>
      <c r="S557">
        <f>ventas[[#This Row],[Total_Productos]]*ventas[[#This Row],[descuento_pct]]</f>
        <v>0</v>
      </c>
      <c r="T557">
        <f>ventas[[#This Row],[Total_Productos]]-ventas[[#This Row],[Valor_descuento]]</f>
        <v>1300000</v>
      </c>
    </row>
    <row r="558" spans="1:20" x14ac:dyDescent="0.3">
      <c r="A558">
        <v>263</v>
      </c>
      <c r="B558" s="1">
        <v>45190</v>
      </c>
      <c r="C558">
        <v>67</v>
      </c>
      <c r="D558">
        <v>0</v>
      </c>
      <c r="E558">
        <v>118</v>
      </c>
      <c r="F558" t="s">
        <v>134</v>
      </c>
      <c r="G558" t="s">
        <v>135</v>
      </c>
      <c r="H558" t="s">
        <v>42</v>
      </c>
      <c r="I558">
        <v>23</v>
      </c>
      <c r="J558" t="s">
        <v>27</v>
      </c>
      <c r="K558" t="str">
        <f>_xlfn.XLOOKUP( ventas[[#This Row],[ciudad_cliente]],  ciudades[Ciudad], ciudades[Region])</f>
        <v>Biobío</v>
      </c>
      <c r="L558" t="s">
        <v>22</v>
      </c>
      <c r="M558" t="s">
        <v>62</v>
      </c>
      <c r="N558" t="str">
        <f>_xlfn.XLOOKUP(ventas[[#This Row],[producto]], categ[Producto], categ[Categoria])</f>
        <v>Electrohogar</v>
      </c>
      <c r="O558">
        <v>650000</v>
      </c>
      <c r="P558">
        <v>2</v>
      </c>
      <c r="Q558" s="11">
        <v>0</v>
      </c>
      <c r="R558">
        <f>(ventas[[#This Row],[precio_unitario]]*ventas[[#This Row],[cantidad]])</f>
        <v>1300000</v>
      </c>
      <c r="S558">
        <f>ventas[[#This Row],[Total_Productos]]*ventas[[#This Row],[descuento_pct]]</f>
        <v>0</v>
      </c>
      <c r="T558">
        <f>ventas[[#This Row],[Total_Productos]]-ventas[[#This Row],[Valor_descuento]]</f>
        <v>1300000</v>
      </c>
    </row>
    <row r="559" spans="1:20" x14ac:dyDescent="0.3">
      <c r="A559">
        <v>269</v>
      </c>
      <c r="B559" s="1">
        <v>45196</v>
      </c>
      <c r="C559">
        <v>55</v>
      </c>
      <c r="D559">
        <v>9</v>
      </c>
      <c r="E559">
        <v>118</v>
      </c>
      <c r="F559" t="s">
        <v>134</v>
      </c>
      <c r="G559" t="s">
        <v>135</v>
      </c>
      <c r="H559" t="s">
        <v>42</v>
      </c>
      <c r="I559">
        <v>23</v>
      </c>
      <c r="J559" t="s">
        <v>43</v>
      </c>
      <c r="K559" t="str">
        <f>_xlfn.XLOOKUP( ventas[[#This Row],[ciudad_cliente]],  ciudades[Ciudad], ciudades[Region])</f>
        <v>Antofagasta</v>
      </c>
      <c r="L559" t="s">
        <v>29</v>
      </c>
      <c r="M559" t="s">
        <v>30</v>
      </c>
      <c r="N559" t="str">
        <f>_xlfn.XLOOKUP(ventas[[#This Row],[producto]], categ[Producto], categ[Categoria])</f>
        <v>Electrohogar</v>
      </c>
      <c r="O559">
        <v>700000</v>
      </c>
      <c r="P559">
        <v>2</v>
      </c>
      <c r="Q559" s="11">
        <v>0</v>
      </c>
      <c r="R559">
        <f>(ventas[[#This Row],[precio_unitario]]*ventas[[#This Row],[cantidad]])</f>
        <v>1400000</v>
      </c>
      <c r="S559">
        <f>ventas[[#This Row],[Total_Productos]]*ventas[[#This Row],[descuento_pct]]</f>
        <v>0</v>
      </c>
      <c r="T559">
        <f>ventas[[#This Row],[Total_Productos]]-ventas[[#This Row],[Valor_descuento]]</f>
        <v>1400000</v>
      </c>
    </row>
    <row r="560" spans="1:20" x14ac:dyDescent="0.3">
      <c r="A560">
        <v>480</v>
      </c>
      <c r="B560" s="1">
        <v>45407</v>
      </c>
      <c r="C560">
        <v>55</v>
      </c>
      <c r="D560">
        <v>9</v>
      </c>
      <c r="E560">
        <v>118</v>
      </c>
      <c r="F560" t="s">
        <v>134</v>
      </c>
      <c r="G560" t="s">
        <v>135</v>
      </c>
      <c r="H560" t="s">
        <v>42</v>
      </c>
      <c r="I560">
        <v>23</v>
      </c>
      <c r="J560" t="s">
        <v>43</v>
      </c>
      <c r="K560" t="str">
        <f>_xlfn.XLOOKUP( ventas[[#This Row],[ciudad_cliente]],  ciudades[Ciudad], ciudades[Region])</f>
        <v>Antofagasta</v>
      </c>
      <c r="L560" t="s">
        <v>22</v>
      </c>
      <c r="M560" t="s">
        <v>39</v>
      </c>
      <c r="N560" t="str">
        <f>_xlfn.XLOOKUP(ventas[[#This Row],[producto]], categ[Producto], categ[Categoria])</f>
        <v>Belleza</v>
      </c>
      <c r="O560">
        <v>35000</v>
      </c>
      <c r="P560">
        <v>2</v>
      </c>
      <c r="Q560" s="11">
        <v>0.05</v>
      </c>
      <c r="R560">
        <f>(ventas[[#This Row],[precio_unitario]]*ventas[[#This Row],[cantidad]])</f>
        <v>70000</v>
      </c>
      <c r="S560">
        <f>ventas[[#This Row],[Total_Productos]]*ventas[[#This Row],[descuento_pct]]</f>
        <v>3500</v>
      </c>
      <c r="T560">
        <f>ventas[[#This Row],[Total_Productos]]-ventas[[#This Row],[Valor_descuento]]</f>
        <v>66500</v>
      </c>
    </row>
    <row r="561" spans="1:20" x14ac:dyDescent="0.3">
      <c r="A561">
        <v>731</v>
      </c>
      <c r="B561" s="1">
        <v>45658</v>
      </c>
      <c r="C561">
        <v>61</v>
      </c>
      <c r="D561">
        <v>3</v>
      </c>
      <c r="E561">
        <v>118</v>
      </c>
      <c r="F561" t="s">
        <v>134</v>
      </c>
      <c r="G561" t="s">
        <v>135</v>
      </c>
      <c r="H561" t="s">
        <v>42</v>
      </c>
      <c r="I561">
        <v>23</v>
      </c>
      <c r="J561" t="s">
        <v>52</v>
      </c>
      <c r="K561" t="str">
        <f>_xlfn.XLOOKUP( ventas[[#This Row],[ciudad_cliente]],  ciudades[Ciudad], ciudades[Region])</f>
        <v>Biobío</v>
      </c>
      <c r="L561" t="s">
        <v>38</v>
      </c>
      <c r="M561" t="s">
        <v>56</v>
      </c>
      <c r="N561" t="str">
        <f>_xlfn.XLOOKUP(ventas[[#This Row],[producto]], categ[Producto], categ[Categoria])</f>
        <v>Vestuario</v>
      </c>
      <c r="O561">
        <v>25000</v>
      </c>
      <c r="P561">
        <v>1</v>
      </c>
      <c r="Q561" s="11">
        <v>0.05</v>
      </c>
      <c r="R561">
        <f>(ventas[[#This Row],[precio_unitario]]*ventas[[#This Row],[cantidad]])</f>
        <v>25000</v>
      </c>
      <c r="S561">
        <f>ventas[[#This Row],[Total_Productos]]*ventas[[#This Row],[descuento_pct]]</f>
        <v>1250</v>
      </c>
      <c r="T561">
        <f>ventas[[#This Row],[Total_Productos]]-ventas[[#This Row],[Valor_descuento]]</f>
        <v>23750</v>
      </c>
    </row>
    <row r="562" spans="1:20" x14ac:dyDescent="0.3">
      <c r="A562">
        <v>997</v>
      </c>
      <c r="B562" s="1">
        <v>45924</v>
      </c>
      <c r="C562">
        <v>25</v>
      </c>
      <c r="D562">
        <v>3</v>
      </c>
      <c r="E562">
        <v>118</v>
      </c>
      <c r="F562" t="s">
        <v>134</v>
      </c>
      <c r="G562" t="s">
        <v>135</v>
      </c>
      <c r="H562" t="s">
        <v>42</v>
      </c>
      <c r="I562">
        <v>23</v>
      </c>
      <c r="J562" t="s">
        <v>76</v>
      </c>
      <c r="K562" t="str">
        <f>_xlfn.XLOOKUP( ventas[[#This Row],[ciudad_cliente]],  ciudades[Ciudad], ciudades[Region])</f>
        <v>Los Lagos</v>
      </c>
      <c r="L562" t="s">
        <v>29</v>
      </c>
      <c r="M562" t="s">
        <v>62</v>
      </c>
      <c r="N562" t="str">
        <f>_xlfn.XLOOKUP(ventas[[#This Row],[producto]], categ[Producto], categ[Categoria])</f>
        <v>Electrohogar</v>
      </c>
      <c r="O562">
        <v>650000</v>
      </c>
      <c r="P562">
        <v>2</v>
      </c>
      <c r="Q562" s="11">
        <v>0.1</v>
      </c>
      <c r="R562">
        <f>(ventas[[#This Row],[precio_unitario]]*ventas[[#This Row],[cantidad]])</f>
        <v>1300000</v>
      </c>
      <c r="S562">
        <f>ventas[[#This Row],[Total_Productos]]*ventas[[#This Row],[descuento_pct]]</f>
        <v>130000</v>
      </c>
      <c r="T562">
        <f>ventas[[#This Row],[Total_Productos]]-ventas[[#This Row],[Valor_descuento]]</f>
        <v>1170000</v>
      </c>
    </row>
    <row r="563" spans="1:20" x14ac:dyDescent="0.3">
      <c r="A563">
        <v>980</v>
      </c>
      <c r="B563" s="1">
        <v>45907</v>
      </c>
      <c r="C563">
        <v>28</v>
      </c>
      <c r="D563">
        <v>5</v>
      </c>
      <c r="E563">
        <v>28</v>
      </c>
      <c r="F563" t="s">
        <v>602</v>
      </c>
      <c r="G563" t="s">
        <v>603</v>
      </c>
      <c r="H563" t="s">
        <v>19</v>
      </c>
      <c r="I563">
        <v>42</v>
      </c>
      <c r="J563" t="s">
        <v>116</v>
      </c>
      <c r="K563" t="str">
        <f>_xlfn.XLOOKUP( ventas[[#This Row],[ciudad_cliente]],  ciudades[Ciudad], ciudades[Region])</f>
        <v>Valparaíso</v>
      </c>
      <c r="L563" t="s">
        <v>22</v>
      </c>
      <c r="M563" t="s">
        <v>69</v>
      </c>
      <c r="N563" t="str">
        <f>_xlfn.XLOOKUP(ventas[[#This Row],[producto]], categ[Producto], categ[Categoria])</f>
        <v>Tecnología</v>
      </c>
      <c r="O563">
        <v>450000</v>
      </c>
      <c r="P563">
        <v>3</v>
      </c>
      <c r="Q563" s="11">
        <v>0.05</v>
      </c>
      <c r="R563">
        <f>(ventas[[#This Row],[precio_unitario]]*ventas[[#This Row],[cantidad]])</f>
        <v>1350000</v>
      </c>
      <c r="S563">
        <f>ventas[[#This Row],[Total_Productos]]*ventas[[#This Row],[descuento_pct]]</f>
        <v>67500</v>
      </c>
      <c r="T563">
        <f>ventas[[#This Row],[Total_Productos]]-ventas[[#This Row],[Valor_descuento]]</f>
        <v>1282500</v>
      </c>
    </row>
    <row r="564" spans="1:20" x14ac:dyDescent="0.3">
      <c r="A564">
        <v>992</v>
      </c>
      <c r="B564" s="1">
        <v>45919</v>
      </c>
      <c r="C564">
        <v>28</v>
      </c>
      <c r="D564">
        <v>5</v>
      </c>
      <c r="E564">
        <v>28</v>
      </c>
      <c r="F564" t="s">
        <v>602</v>
      </c>
      <c r="G564" t="s">
        <v>603</v>
      </c>
      <c r="H564" t="s">
        <v>19</v>
      </c>
      <c r="I564">
        <v>42</v>
      </c>
      <c r="J564" t="s">
        <v>116</v>
      </c>
      <c r="K564" t="str">
        <f>_xlfn.XLOOKUP( ventas[[#This Row],[ciudad_cliente]],  ciudades[Ciudad], ciudades[Region])</f>
        <v>Valparaíso</v>
      </c>
      <c r="L564" t="s">
        <v>22</v>
      </c>
      <c r="M564" t="s">
        <v>69</v>
      </c>
      <c r="N564" t="str">
        <f>_xlfn.XLOOKUP(ventas[[#This Row],[producto]], categ[Producto], categ[Categoria])</f>
        <v>Tecnología</v>
      </c>
      <c r="O564">
        <v>450000</v>
      </c>
      <c r="P564">
        <v>2</v>
      </c>
      <c r="Q564" s="11">
        <v>0.1</v>
      </c>
      <c r="R564">
        <f>(ventas[[#This Row],[precio_unitario]]*ventas[[#This Row],[cantidad]])</f>
        <v>900000</v>
      </c>
      <c r="S564">
        <f>ventas[[#This Row],[Total_Productos]]*ventas[[#This Row],[descuento_pct]]</f>
        <v>90000</v>
      </c>
      <c r="T564">
        <f>ventas[[#This Row],[Total_Productos]]-ventas[[#This Row],[Valor_descuento]]</f>
        <v>810000</v>
      </c>
    </row>
    <row r="565" spans="1:20" x14ac:dyDescent="0.3">
      <c r="A565">
        <v>384</v>
      </c>
      <c r="B565" s="1">
        <v>45311</v>
      </c>
      <c r="C565">
        <v>14</v>
      </c>
      <c r="D565">
        <v>0</v>
      </c>
      <c r="E565">
        <v>112</v>
      </c>
      <c r="F565" t="s">
        <v>498</v>
      </c>
      <c r="G565" t="s">
        <v>499</v>
      </c>
      <c r="H565" t="s">
        <v>19</v>
      </c>
      <c r="I565">
        <v>37</v>
      </c>
      <c r="J565" t="s">
        <v>34</v>
      </c>
      <c r="K565" t="str">
        <f>_xlfn.XLOOKUP( ventas[[#This Row],[ciudad_cliente]],  ciudades[Ciudad], ciudades[Region])</f>
        <v>Metropolitana</v>
      </c>
      <c r="L565" t="s">
        <v>38</v>
      </c>
      <c r="M565" t="s">
        <v>23</v>
      </c>
      <c r="N565" t="str">
        <f>_xlfn.XLOOKUP(ventas[[#This Row],[producto]], categ[Producto], categ[Categoria])</f>
        <v>Belleza</v>
      </c>
      <c r="O565">
        <v>15000</v>
      </c>
      <c r="P565">
        <v>1</v>
      </c>
      <c r="Q565" s="11">
        <v>0</v>
      </c>
      <c r="R565">
        <f>(ventas[[#This Row],[precio_unitario]]*ventas[[#This Row],[cantidad]])</f>
        <v>15000</v>
      </c>
      <c r="S565">
        <f>ventas[[#This Row],[Total_Productos]]*ventas[[#This Row],[descuento_pct]]</f>
        <v>0</v>
      </c>
      <c r="T565">
        <f>ventas[[#This Row],[Total_Productos]]-ventas[[#This Row],[Valor_descuento]]</f>
        <v>15000</v>
      </c>
    </row>
    <row r="566" spans="1:20" x14ac:dyDescent="0.3">
      <c r="A566">
        <v>722</v>
      </c>
      <c r="B566" s="1">
        <v>45649</v>
      </c>
      <c r="C566">
        <v>52</v>
      </c>
      <c r="D566">
        <v>0</v>
      </c>
      <c r="E566">
        <v>112</v>
      </c>
      <c r="F566" t="s">
        <v>498</v>
      </c>
      <c r="G566" t="s">
        <v>499</v>
      </c>
      <c r="H566" t="s">
        <v>19</v>
      </c>
      <c r="I566">
        <v>37</v>
      </c>
      <c r="J566" t="s">
        <v>27</v>
      </c>
      <c r="K566" t="str">
        <f>_xlfn.XLOOKUP( ventas[[#This Row],[ciudad_cliente]],  ciudades[Ciudad], ciudades[Region])</f>
        <v>Biobío</v>
      </c>
      <c r="L566" t="s">
        <v>38</v>
      </c>
      <c r="M566" t="s">
        <v>69</v>
      </c>
      <c r="N566" t="str">
        <f>_xlfn.XLOOKUP(ventas[[#This Row],[producto]], categ[Producto], categ[Categoria])</f>
        <v>Tecnología</v>
      </c>
      <c r="O566">
        <v>450000</v>
      </c>
      <c r="P566">
        <v>1</v>
      </c>
      <c r="Q566" s="11">
        <v>0</v>
      </c>
      <c r="R566">
        <f>(ventas[[#This Row],[precio_unitario]]*ventas[[#This Row],[cantidad]])</f>
        <v>450000</v>
      </c>
      <c r="S566">
        <f>ventas[[#This Row],[Total_Productos]]*ventas[[#This Row],[descuento_pct]]</f>
        <v>0</v>
      </c>
      <c r="T566">
        <f>ventas[[#This Row],[Total_Productos]]-ventas[[#This Row],[Valor_descuento]]</f>
        <v>450000</v>
      </c>
    </row>
    <row r="567" spans="1:20" x14ac:dyDescent="0.3">
      <c r="A567">
        <v>991</v>
      </c>
      <c r="B567" s="1">
        <v>45918</v>
      </c>
      <c r="C567">
        <v>19</v>
      </c>
      <c r="D567">
        <v>5</v>
      </c>
      <c r="E567">
        <v>112</v>
      </c>
      <c r="F567" t="s">
        <v>498</v>
      </c>
      <c r="G567" t="s">
        <v>499</v>
      </c>
      <c r="H567" t="s">
        <v>19</v>
      </c>
      <c r="I567">
        <v>37</v>
      </c>
      <c r="J567" t="s">
        <v>20</v>
      </c>
      <c r="K567" t="str">
        <f>_xlfn.XLOOKUP( ventas[[#This Row],[ciudad_cliente]],  ciudades[Ciudad], ciudades[Region])</f>
        <v>La Araucanía</v>
      </c>
      <c r="L567" t="s">
        <v>22</v>
      </c>
      <c r="M567" t="s">
        <v>49</v>
      </c>
      <c r="N567" t="str">
        <f>_xlfn.XLOOKUP(ventas[[#This Row],[producto]], categ[Producto], categ[Categoria])</f>
        <v>Electrohogar</v>
      </c>
      <c r="O567">
        <v>800000</v>
      </c>
      <c r="P567">
        <v>1</v>
      </c>
      <c r="Q567" s="11">
        <v>0</v>
      </c>
      <c r="R567">
        <f>(ventas[[#This Row],[precio_unitario]]*ventas[[#This Row],[cantidad]])</f>
        <v>800000</v>
      </c>
      <c r="S567">
        <f>ventas[[#This Row],[Total_Productos]]*ventas[[#This Row],[descuento_pct]]</f>
        <v>0</v>
      </c>
      <c r="T567">
        <f>ventas[[#This Row],[Total_Productos]]-ventas[[#This Row],[Valor_descuento]]</f>
        <v>800000</v>
      </c>
    </row>
    <row r="568" spans="1:20" x14ac:dyDescent="0.3">
      <c r="A568">
        <v>144</v>
      </c>
      <c r="B568" s="1">
        <v>45071</v>
      </c>
      <c r="C568">
        <v>8</v>
      </c>
      <c r="D568">
        <v>1</v>
      </c>
      <c r="E568">
        <v>22</v>
      </c>
      <c r="F568" t="s">
        <v>280</v>
      </c>
      <c r="G568" t="s">
        <v>281</v>
      </c>
      <c r="H568" t="s">
        <v>19</v>
      </c>
      <c r="I568">
        <v>35</v>
      </c>
      <c r="J568" t="s">
        <v>76</v>
      </c>
      <c r="K568" t="str">
        <f>_xlfn.XLOOKUP( ventas[[#This Row],[ciudad_cliente]],  ciudades[Ciudad], ciudades[Region])</f>
        <v>Los Lagos</v>
      </c>
      <c r="L568" t="s">
        <v>38</v>
      </c>
      <c r="M568" t="s">
        <v>62</v>
      </c>
      <c r="N568" t="str">
        <f>_xlfn.XLOOKUP(ventas[[#This Row],[producto]], categ[Producto], categ[Categoria])</f>
        <v>Electrohogar</v>
      </c>
      <c r="O568">
        <v>650000</v>
      </c>
      <c r="P568">
        <v>3</v>
      </c>
      <c r="Q568" s="11">
        <v>0</v>
      </c>
      <c r="R568">
        <f>(ventas[[#This Row],[precio_unitario]]*ventas[[#This Row],[cantidad]])</f>
        <v>1950000</v>
      </c>
      <c r="S568">
        <f>ventas[[#This Row],[Total_Productos]]*ventas[[#This Row],[descuento_pct]]</f>
        <v>0</v>
      </c>
      <c r="T568">
        <f>ventas[[#This Row],[Total_Productos]]-ventas[[#This Row],[Valor_descuento]]</f>
        <v>1950000</v>
      </c>
    </row>
    <row r="569" spans="1:20" x14ac:dyDescent="0.3">
      <c r="A569">
        <v>212</v>
      </c>
      <c r="B569" s="1">
        <v>45139</v>
      </c>
      <c r="C569">
        <v>19</v>
      </c>
      <c r="D569">
        <v>5</v>
      </c>
      <c r="E569">
        <v>22</v>
      </c>
      <c r="F569" t="s">
        <v>280</v>
      </c>
      <c r="G569" t="s">
        <v>281</v>
      </c>
      <c r="H569" t="s">
        <v>19</v>
      </c>
      <c r="I569">
        <v>35</v>
      </c>
      <c r="J569" t="s">
        <v>20</v>
      </c>
      <c r="K569" t="str">
        <f>_xlfn.XLOOKUP( ventas[[#This Row],[ciudad_cliente]],  ciudades[Ciudad], ciudades[Region])</f>
        <v>La Araucanía</v>
      </c>
      <c r="L569" t="s">
        <v>38</v>
      </c>
      <c r="M569" t="s">
        <v>49</v>
      </c>
      <c r="N569" t="str">
        <f>_xlfn.XLOOKUP(ventas[[#This Row],[producto]], categ[Producto], categ[Categoria])</f>
        <v>Electrohogar</v>
      </c>
      <c r="O569">
        <v>800000</v>
      </c>
      <c r="P569">
        <v>1</v>
      </c>
      <c r="Q569" s="11">
        <v>0.05</v>
      </c>
      <c r="R569">
        <f>(ventas[[#This Row],[precio_unitario]]*ventas[[#This Row],[cantidad]])</f>
        <v>800000</v>
      </c>
      <c r="S569">
        <f>ventas[[#This Row],[Total_Productos]]*ventas[[#This Row],[descuento_pct]]</f>
        <v>40000</v>
      </c>
      <c r="T569">
        <f>ventas[[#This Row],[Total_Productos]]-ventas[[#This Row],[Valor_descuento]]</f>
        <v>760000</v>
      </c>
    </row>
    <row r="570" spans="1:20" x14ac:dyDescent="0.3">
      <c r="A570">
        <v>382</v>
      </c>
      <c r="B570" s="1">
        <v>45309</v>
      </c>
      <c r="C570">
        <v>47</v>
      </c>
      <c r="D570">
        <v>1</v>
      </c>
      <c r="E570">
        <v>22</v>
      </c>
      <c r="F570" t="s">
        <v>280</v>
      </c>
      <c r="G570" t="s">
        <v>281</v>
      </c>
      <c r="H570" t="s">
        <v>19</v>
      </c>
      <c r="I570">
        <v>35</v>
      </c>
      <c r="J570" t="s">
        <v>116</v>
      </c>
      <c r="K570" t="str">
        <f>_xlfn.XLOOKUP( ventas[[#This Row],[ciudad_cliente]],  ciudades[Ciudad], ciudades[Region])</f>
        <v>Valparaíso</v>
      </c>
      <c r="L570" t="s">
        <v>38</v>
      </c>
      <c r="M570" t="s">
        <v>46</v>
      </c>
      <c r="N570" t="str">
        <f>_xlfn.XLOOKUP(ventas[[#This Row],[producto]], categ[Producto], categ[Categoria])</f>
        <v>Tecnología</v>
      </c>
      <c r="O570">
        <v>750000</v>
      </c>
      <c r="P570">
        <v>3</v>
      </c>
      <c r="Q570" s="11">
        <v>0</v>
      </c>
      <c r="R570">
        <f>(ventas[[#This Row],[precio_unitario]]*ventas[[#This Row],[cantidad]])</f>
        <v>2250000</v>
      </c>
      <c r="S570">
        <f>ventas[[#This Row],[Total_Productos]]*ventas[[#This Row],[descuento_pct]]</f>
        <v>0</v>
      </c>
      <c r="T570">
        <f>ventas[[#This Row],[Total_Productos]]-ventas[[#This Row],[Valor_descuento]]</f>
        <v>2250000</v>
      </c>
    </row>
    <row r="571" spans="1:20" x14ac:dyDescent="0.3">
      <c r="A571">
        <v>791</v>
      </c>
      <c r="B571" s="1">
        <v>45718</v>
      </c>
      <c r="C571">
        <v>40</v>
      </c>
      <c r="D571">
        <v>1</v>
      </c>
      <c r="E571">
        <v>22</v>
      </c>
      <c r="F571" t="s">
        <v>280</v>
      </c>
      <c r="G571" t="s">
        <v>281</v>
      </c>
      <c r="H571" t="s">
        <v>19</v>
      </c>
      <c r="I571">
        <v>35</v>
      </c>
      <c r="J571" t="s">
        <v>27</v>
      </c>
      <c r="K571" t="str">
        <f>_xlfn.XLOOKUP( ventas[[#This Row],[ciudad_cliente]],  ciudades[Ciudad], ciudades[Region])</f>
        <v>Biobío</v>
      </c>
      <c r="L571" t="s">
        <v>38</v>
      </c>
      <c r="M571" t="s">
        <v>62</v>
      </c>
      <c r="N571" t="str">
        <f>_xlfn.XLOOKUP(ventas[[#This Row],[producto]], categ[Producto], categ[Categoria])</f>
        <v>Electrohogar</v>
      </c>
      <c r="O571">
        <v>650000</v>
      </c>
      <c r="P571">
        <v>2</v>
      </c>
      <c r="Q571" s="11">
        <v>0.05</v>
      </c>
      <c r="R571">
        <f>(ventas[[#This Row],[precio_unitario]]*ventas[[#This Row],[cantidad]])</f>
        <v>1300000</v>
      </c>
      <c r="S571">
        <f>ventas[[#This Row],[Total_Productos]]*ventas[[#This Row],[descuento_pct]]</f>
        <v>65000</v>
      </c>
      <c r="T571">
        <f>ventas[[#This Row],[Total_Productos]]-ventas[[#This Row],[Valor_descuento]]</f>
        <v>1235000</v>
      </c>
    </row>
    <row r="572" spans="1:20" x14ac:dyDescent="0.3">
      <c r="A572">
        <v>857</v>
      </c>
      <c r="B572" s="1">
        <v>45784</v>
      </c>
      <c r="C572">
        <v>16</v>
      </c>
      <c r="D572">
        <v>3</v>
      </c>
      <c r="E572">
        <v>22</v>
      </c>
      <c r="F572" t="s">
        <v>280</v>
      </c>
      <c r="G572" t="s">
        <v>281</v>
      </c>
      <c r="H572" t="s">
        <v>19</v>
      </c>
      <c r="I572">
        <v>35</v>
      </c>
      <c r="J572" t="s">
        <v>20</v>
      </c>
      <c r="K572" t="str">
        <f>_xlfn.XLOOKUP( ventas[[#This Row],[ciudad_cliente]],  ciudades[Ciudad], ciudades[Region])</f>
        <v>La Araucanía</v>
      </c>
      <c r="L572" t="s">
        <v>38</v>
      </c>
      <c r="M572" t="s">
        <v>46</v>
      </c>
      <c r="N572" t="str">
        <f>_xlfn.XLOOKUP(ventas[[#This Row],[producto]], categ[Producto], categ[Categoria])</f>
        <v>Tecnología</v>
      </c>
      <c r="O572">
        <v>750000</v>
      </c>
      <c r="P572">
        <v>3</v>
      </c>
      <c r="Q572" s="11">
        <v>0</v>
      </c>
      <c r="R572">
        <f>(ventas[[#This Row],[precio_unitario]]*ventas[[#This Row],[cantidad]])</f>
        <v>2250000</v>
      </c>
      <c r="S572">
        <f>ventas[[#This Row],[Total_Productos]]*ventas[[#This Row],[descuento_pct]]</f>
        <v>0</v>
      </c>
      <c r="T572">
        <f>ventas[[#This Row],[Total_Productos]]-ventas[[#This Row],[Valor_descuento]]</f>
        <v>2250000</v>
      </c>
    </row>
    <row r="573" spans="1:20" x14ac:dyDescent="0.3">
      <c r="A573">
        <v>910</v>
      </c>
      <c r="B573" s="1">
        <v>45837</v>
      </c>
      <c r="C573">
        <v>43</v>
      </c>
      <c r="D573">
        <v>0</v>
      </c>
      <c r="E573">
        <v>22</v>
      </c>
      <c r="F573" t="s">
        <v>280</v>
      </c>
      <c r="G573" t="s">
        <v>281</v>
      </c>
      <c r="H573" t="s">
        <v>19</v>
      </c>
      <c r="I573">
        <v>35</v>
      </c>
      <c r="J573" t="s">
        <v>34</v>
      </c>
      <c r="K573" t="str">
        <f>_xlfn.XLOOKUP( ventas[[#This Row],[ciudad_cliente]],  ciudades[Ciudad], ciudades[Region])</f>
        <v>Metropolitana</v>
      </c>
      <c r="L573" t="s">
        <v>38</v>
      </c>
      <c r="M573" t="s">
        <v>62</v>
      </c>
      <c r="N573" t="str">
        <f>_xlfn.XLOOKUP(ventas[[#This Row],[producto]], categ[Producto], categ[Categoria])</f>
        <v>Electrohogar</v>
      </c>
      <c r="O573">
        <v>650000</v>
      </c>
      <c r="P573">
        <v>2</v>
      </c>
      <c r="Q573" s="11">
        <v>0</v>
      </c>
      <c r="R573">
        <f>(ventas[[#This Row],[precio_unitario]]*ventas[[#This Row],[cantidad]])</f>
        <v>1300000</v>
      </c>
      <c r="S573">
        <f>ventas[[#This Row],[Total_Productos]]*ventas[[#This Row],[descuento_pct]]</f>
        <v>0</v>
      </c>
      <c r="T573">
        <f>ventas[[#This Row],[Total_Productos]]-ventas[[#This Row],[Valor_descuento]]</f>
        <v>1300000</v>
      </c>
    </row>
    <row r="574" spans="1:20" x14ac:dyDescent="0.3">
      <c r="A574">
        <v>56</v>
      </c>
      <c r="B574" s="1">
        <v>44983</v>
      </c>
      <c r="C574">
        <v>16</v>
      </c>
      <c r="D574">
        <v>3</v>
      </c>
      <c r="E574">
        <v>186</v>
      </c>
      <c r="F574" t="s">
        <v>153</v>
      </c>
      <c r="G574" t="s">
        <v>154</v>
      </c>
      <c r="H574" t="s">
        <v>42</v>
      </c>
      <c r="I574">
        <v>46</v>
      </c>
      <c r="J574" t="s">
        <v>20</v>
      </c>
      <c r="K574" t="str">
        <f>_xlfn.XLOOKUP( ventas[[#This Row],[ciudad_cliente]],  ciudades[Ciudad], ciudades[Region])</f>
        <v>La Araucanía</v>
      </c>
      <c r="L574" t="s">
        <v>29</v>
      </c>
      <c r="M574" t="s">
        <v>69</v>
      </c>
      <c r="N574" t="str">
        <f>_xlfn.XLOOKUP(ventas[[#This Row],[producto]], categ[Producto], categ[Categoria])</f>
        <v>Tecnología</v>
      </c>
      <c r="O574">
        <v>450000</v>
      </c>
      <c r="P574">
        <v>1</v>
      </c>
      <c r="Q574" s="11">
        <v>0.1</v>
      </c>
      <c r="R574">
        <f>(ventas[[#This Row],[precio_unitario]]*ventas[[#This Row],[cantidad]])</f>
        <v>450000</v>
      </c>
      <c r="S574">
        <f>ventas[[#This Row],[Total_Productos]]*ventas[[#This Row],[descuento_pct]]</f>
        <v>45000</v>
      </c>
      <c r="T574">
        <f>ventas[[#This Row],[Total_Productos]]-ventas[[#This Row],[Valor_descuento]]</f>
        <v>405000</v>
      </c>
    </row>
    <row r="575" spans="1:20" x14ac:dyDescent="0.3">
      <c r="A575">
        <v>277</v>
      </c>
      <c r="B575" s="1">
        <v>45204</v>
      </c>
      <c r="C575">
        <v>55</v>
      </c>
      <c r="D575">
        <v>9</v>
      </c>
      <c r="E575">
        <v>186</v>
      </c>
      <c r="F575" t="s">
        <v>153</v>
      </c>
      <c r="G575" t="s">
        <v>154</v>
      </c>
      <c r="H575" t="s">
        <v>42</v>
      </c>
      <c r="I575">
        <v>46</v>
      </c>
      <c r="J575" t="s">
        <v>43</v>
      </c>
      <c r="K575" t="str">
        <f>_xlfn.XLOOKUP( ventas[[#This Row],[ciudad_cliente]],  ciudades[Ciudad], ciudades[Region])</f>
        <v>Antofagasta</v>
      </c>
      <c r="L575" t="s">
        <v>38</v>
      </c>
      <c r="M575" t="s">
        <v>69</v>
      </c>
      <c r="N575" t="str">
        <f>_xlfn.XLOOKUP(ventas[[#This Row],[producto]], categ[Producto], categ[Categoria])</f>
        <v>Tecnología</v>
      </c>
      <c r="O575">
        <v>450000</v>
      </c>
      <c r="P575">
        <v>1</v>
      </c>
      <c r="Q575" s="11">
        <v>0</v>
      </c>
      <c r="R575">
        <f>(ventas[[#This Row],[precio_unitario]]*ventas[[#This Row],[cantidad]])</f>
        <v>450000</v>
      </c>
      <c r="S575">
        <f>ventas[[#This Row],[Total_Productos]]*ventas[[#This Row],[descuento_pct]]</f>
        <v>0</v>
      </c>
      <c r="T575">
        <f>ventas[[#This Row],[Total_Productos]]-ventas[[#This Row],[Valor_descuento]]</f>
        <v>450000</v>
      </c>
    </row>
    <row r="576" spans="1:20" x14ac:dyDescent="0.3">
      <c r="A576">
        <v>531</v>
      </c>
      <c r="B576" s="1">
        <v>45458</v>
      </c>
      <c r="C576">
        <v>7</v>
      </c>
      <c r="D576">
        <v>8</v>
      </c>
      <c r="E576">
        <v>186</v>
      </c>
      <c r="F576" t="s">
        <v>153</v>
      </c>
      <c r="G576" t="s">
        <v>154</v>
      </c>
      <c r="H576" t="s">
        <v>42</v>
      </c>
      <c r="I576">
        <v>46</v>
      </c>
      <c r="J576" t="s">
        <v>37</v>
      </c>
      <c r="K576" t="str">
        <f>_xlfn.XLOOKUP( ventas[[#This Row],[ciudad_cliente]],  ciudades[Ciudad], ciudades[Region])</f>
        <v>Valparaíso</v>
      </c>
      <c r="L576" t="s">
        <v>38</v>
      </c>
      <c r="M576" t="s">
        <v>23</v>
      </c>
      <c r="N576" t="str">
        <f>_xlfn.XLOOKUP(ventas[[#This Row],[producto]], categ[Producto], categ[Categoria])</f>
        <v>Belleza</v>
      </c>
      <c r="O576">
        <v>15000</v>
      </c>
      <c r="P576">
        <v>1</v>
      </c>
      <c r="Q576" s="11">
        <v>0.05</v>
      </c>
      <c r="R576">
        <f>(ventas[[#This Row],[precio_unitario]]*ventas[[#This Row],[cantidad]])</f>
        <v>15000</v>
      </c>
      <c r="S576">
        <f>ventas[[#This Row],[Total_Productos]]*ventas[[#This Row],[descuento_pct]]</f>
        <v>750</v>
      </c>
      <c r="T576">
        <f>ventas[[#This Row],[Total_Productos]]-ventas[[#This Row],[Valor_descuento]]</f>
        <v>14250</v>
      </c>
    </row>
    <row r="577" spans="1:20" x14ac:dyDescent="0.3">
      <c r="A577">
        <v>616</v>
      </c>
      <c r="B577" s="1">
        <v>45543</v>
      </c>
      <c r="C577">
        <v>63</v>
      </c>
      <c r="D577">
        <v>5</v>
      </c>
      <c r="E577">
        <v>186</v>
      </c>
      <c r="F577" t="s">
        <v>153</v>
      </c>
      <c r="G577" t="s">
        <v>154</v>
      </c>
      <c r="H577" t="s">
        <v>42</v>
      </c>
      <c r="I577">
        <v>46</v>
      </c>
      <c r="J577" t="s">
        <v>101</v>
      </c>
      <c r="K577" t="str">
        <f>_xlfn.XLOOKUP( ventas[[#This Row],[ciudad_cliente]],  ciudades[Ciudad], ciudades[Region])</f>
        <v>O'Higgins</v>
      </c>
      <c r="L577" t="s">
        <v>29</v>
      </c>
      <c r="M577" t="s">
        <v>30</v>
      </c>
      <c r="N577" t="str">
        <f>_xlfn.XLOOKUP(ventas[[#This Row],[producto]], categ[Producto], categ[Categoria])</f>
        <v>Electrohogar</v>
      </c>
      <c r="O577">
        <v>700000</v>
      </c>
      <c r="P577">
        <v>3</v>
      </c>
      <c r="Q577" s="11">
        <v>0</v>
      </c>
      <c r="R577">
        <f>(ventas[[#This Row],[precio_unitario]]*ventas[[#This Row],[cantidad]])</f>
        <v>2100000</v>
      </c>
      <c r="S577">
        <f>ventas[[#This Row],[Total_Productos]]*ventas[[#This Row],[descuento_pct]]</f>
        <v>0</v>
      </c>
      <c r="T577">
        <f>ventas[[#This Row],[Total_Productos]]-ventas[[#This Row],[Valor_descuento]]</f>
        <v>2100000</v>
      </c>
    </row>
    <row r="578" spans="1:20" x14ac:dyDescent="0.3">
      <c r="A578">
        <v>813</v>
      </c>
      <c r="B578" s="1">
        <v>45740</v>
      </c>
      <c r="C578">
        <v>44</v>
      </c>
      <c r="D578">
        <v>7</v>
      </c>
      <c r="E578">
        <v>186</v>
      </c>
      <c r="F578" t="s">
        <v>153</v>
      </c>
      <c r="G578" t="s">
        <v>154</v>
      </c>
      <c r="H578" t="s">
        <v>42</v>
      </c>
      <c r="I578">
        <v>46</v>
      </c>
      <c r="J578" t="s">
        <v>43</v>
      </c>
      <c r="K578" t="str">
        <f>_xlfn.XLOOKUP( ventas[[#This Row],[ciudad_cliente]],  ciudades[Ciudad], ciudades[Region])</f>
        <v>Antofagasta</v>
      </c>
      <c r="L578" t="s">
        <v>29</v>
      </c>
      <c r="M578" t="s">
        <v>23</v>
      </c>
      <c r="N578" t="str">
        <f>_xlfn.XLOOKUP(ventas[[#This Row],[producto]], categ[Producto], categ[Categoria])</f>
        <v>Belleza</v>
      </c>
      <c r="O578">
        <v>15000</v>
      </c>
      <c r="P578">
        <v>3</v>
      </c>
      <c r="Q578" s="11">
        <v>0.05</v>
      </c>
      <c r="R578">
        <f>(ventas[[#This Row],[precio_unitario]]*ventas[[#This Row],[cantidad]])</f>
        <v>45000</v>
      </c>
      <c r="S578">
        <f>ventas[[#This Row],[Total_Productos]]*ventas[[#This Row],[descuento_pct]]</f>
        <v>2250</v>
      </c>
      <c r="T578">
        <f>ventas[[#This Row],[Total_Productos]]-ventas[[#This Row],[Valor_descuento]]</f>
        <v>42750</v>
      </c>
    </row>
    <row r="579" spans="1:20" x14ac:dyDescent="0.3">
      <c r="A579">
        <v>977</v>
      </c>
      <c r="B579" s="1">
        <v>45904</v>
      </c>
      <c r="C579">
        <v>41</v>
      </c>
      <c r="D579">
        <v>4</v>
      </c>
      <c r="E579">
        <v>186</v>
      </c>
      <c r="F579" t="s">
        <v>153</v>
      </c>
      <c r="G579" t="s">
        <v>154</v>
      </c>
      <c r="H579" t="s">
        <v>42</v>
      </c>
      <c r="I579">
        <v>46</v>
      </c>
      <c r="J579" t="s">
        <v>43</v>
      </c>
      <c r="K579" t="str">
        <f>_xlfn.XLOOKUP( ventas[[#This Row],[ciudad_cliente]],  ciudades[Ciudad], ciudades[Region])</f>
        <v>Antofagasta</v>
      </c>
      <c r="L579" t="s">
        <v>29</v>
      </c>
      <c r="M579" t="s">
        <v>62</v>
      </c>
      <c r="N579" t="str">
        <f>_xlfn.XLOOKUP(ventas[[#This Row],[producto]], categ[Producto], categ[Categoria])</f>
        <v>Electrohogar</v>
      </c>
      <c r="O579">
        <v>650000</v>
      </c>
      <c r="P579">
        <v>3</v>
      </c>
      <c r="Q579" s="11">
        <v>0.05</v>
      </c>
      <c r="R579">
        <f>(ventas[[#This Row],[precio_unitario]]*ventas[[#This Row],[cantidad]])</f>
        <v>1950000</v>
      </c>
      <c r="S579">
        <f>ventas[[#This Row],[Total_Productos]]*ventas[[#This Row],[descuento_pct]]</f>
        <v>97500</v>
      </c>
      <c r="T579">
        <f>ventas[[#This Row],[Total_Productos]]-ventas[[#This Row],[Valor_descuento]]</f>
        <v>1852500</v>
      </c>
    </row>
    <row r="580" spans="1:20" x14ac:dyDescent="0.3">
      <c r="A580">
        <v>46</v>
      </c>
      <c r="B580" s="1">
        <v>44973</v>
      </c>
      <c r="C580">
        <v>64</v>
      </c>
      <c r="D580">
        <v>4</v>
      </c>
      <c r="E580">
        <v>68</v>
      </c>
      <c r="F580" t="s">
        <v>136</v>
      </c>
      <c r="G580" t="s">
        <v>137</v>
      </c>
      <c r="H580" t="s">
        <v>19</v>
      </c>
      <c r="I580">
        <v>50</v>
      </c>
      <c r="J580" t="s">
        <v>20</v>
      </c>
      <c r="K580" t="str">
        <f>_xlfn.XLOOKUP( ventas[[#This Row],[ciudad_cliente]],  ciudades[Ciudad], ciudades[Region])</f>
        <v>La Araucanía</v>
      </c>
      <c r="L580" t="s">
        <v>38</v>
      </c>
      <c r="M580" t="s">
        <v>49</v>
      </c>
      <c r="N580" t="str">
        <f>_xlfn.XLOOKUP(ventas[[#This Row],[producto]], categ[Producto], categ[Categoria])</f>
        <v>Electrohogar</v>
      </c>
      <c r="O580">
        <v>800000</v>
      </c>
      <c r="P580">
        <v>3</v>
      </c>
      <c r="Q580" s="11">
        <v>0.05</v>
      </c>
      <c r="R580">
        <f>(ventas[[#This Row],[precio_unitario]]*ventas[[#This Row],[cantidad]])</f>
        <v>2400000</v>
      </c>
      <c r="S580">
        <f>ventas[[#This Row],[Total_Productos]]*ventas[[#This Row],[descuento_pct]]</f>
        <v>120000</v>
      </c>
      <c r="T580">
        <f>ventas[[#This Row],[Total_Productos]]-ventas[[#This Row],[Valor_descuento]]</f>
        <v>2280000</v>
      </c>
    </row>
    <row r="581" spans="1:20" x14ac:dyDescent="0.3">
      <c r="A581">
        <v>84</v>
      </c>
      <c r="B581" s="1">
        <v>45011</v>
      </c>
      <c r="C581">
        <v>39</v>
      </c>
      <c r="D581">
        <v>6</v>
      </c>
      <c r="E581">
        <v>68</v>
      </c>
      <c r="F581" t="s">
        <v>136</v>
      </c>
      <c r="G581" t="s">
        <v>137</v>
      </c>
      <c r="H581" t="s">
        <v>19</v>
      </c>
      <c r="I581">
        <v>50</v>
      </c>
      <c r="J581" t="s">
        <v>43</v>
      </c>
      <c r="K581" t="str">
        <f>_xlfn.XLOOKUP( ventas[[#This Row],[ciudad_cliente]],  ciudades[Ciudad], ciudades[Region])</f>
        <v>Antofagasta</v>
      </c>
      <c r="L581" t="s">
        <v>38</v>
      </c>
      <c r="M581" t="s">
        <v>46</v>
      </c>
      <c r="N581" t="str">
        <f>_xlfn.XLOOKUP(ventas[[#This Row],[producto]], categ[Producto], categ[Categoria])</f>
        <v>Tecnología</v>
      </c>
      <c r="O581">
        <v>750000</v>
      </c>
      <c r="P581">
        <v>2</v>
      </c>
      <c r="Q581" s="11">
        <v>0.1</v>
      </c>
      <c r="R581">
        <f>(ventas[[#This Row],[precio_unitario]]*ventas[[#This Row],[cantidad]])</f>
        <v>1500000</v>
      </c>
      <c r="S581">
        <f>ventas[[#This Row],[Total_Productos]]*ventas[[#This Row],[descuento_pct]]</f>
        <v>150000</v>
      </c>
      <c r="T581">
        <f>ventas[[#This Row],[Total_Productos]]-ventas[[#This Row],[Valor_descuento]]</f>
        <v>1350000</v>
      </c>
    </row>
    <row r="582" spans="1:20" x14ac:dyDescent="0.3">
      <c r="A582">
        <v>341</v>
      </c>
      <c r="B582" s="1">
        <v>45268</v>
      </c>
      <c r="C582">
        <v>63</v>
      </c>
      <c r="D582">
        <v>5</v>
      </c>
      <c r="E582">
        <v>68</v>
      </c>
      <c r="F582" t="s">
        <v>136</v>
      </c>
      <c r="G582" t="s">
        <v>137</v>
      </c>
      <c r="H582" t="s">
        <v>19</v>
      </c>
      <c r="I582">
        <v>50</v>
      </c>
      <c r="J582" t="s">
        <v>101</v>
      </c>
      <c r="K582" t="str">
        <f>_xlfn.XLOOKUP( ventas[[#This Row],[ciudad_cliente]],  ciudades[Ciudad], ciudades[Region])</f>
        <v>O'Higgins</v>
      </c>
      <c r="L582" t="s">
        <v>29</v>
      </c>
      <c r="M582" t="s">
        <v>23</v>
      </c>
      <c r="N582" t="str">
        <f>_xlfn.XLOOKUP(ventas[[#This Row],[producto]], categ[Producto], categ[Categoria])</f>
        <v>Belleza</v>
      </c>
      <c r="O582">
        <v>15000</v>
      </c>
      <c r="P582">
        <v>1</v>
      </c>
      <c r="Q582" s="11">
        <v>0</v>
      </c>
      <c r="R582">
        <f>(ventas[[#This Row],[precio_unitario]]*ventas[[#This Row],[cantidad]])</f>
        <v>15000</v>
      </c>
      <c r="S582">
        <f>ventas[[#This Row],[Total_Productos]]*ventas[[#This Row],[descuento_pct]]</f>
        <v>0</v>
      </c>
      <c r="T582">
        <f>ventas[[#This Row],[Total_Productos]]-ventas[[#This Row],[Valor_descuento]]</f>
        <v>15000</v>
      </c>
    </row>
    <row r="583" spans="1:20" x14ac:dyDescent="0.3">
      <c r="A583">
        <v>94</v>
      </c>
      <c r="B583" s="1">
        <v>45021</v>
      </c>
      <c r="C583">
        <v>62</v>
      </c>
      <c r="D583">
        <v>4</v>
      </c>
      <c r="E583">
        <v>95</v>
      </c>
      <c r="F583" t="s">
        <v>217</v>
      </c>
      <c r="G583" t="s">
        <v>218</v>
      </c>
      <c r="H583" t="s">
        <v>42</v>
      </c>
      <c r="I583">
        <v>33</v>
      </c>
      <c r="J583" t="s">
        <v>76</v>
      </c>
      <c r="K583" t="str">
        <f>_xlfn.XLOOKUP( ventas[[#This Row],[ciudad_cliente]],  ciudades[Ciudad], ciudades[Region])</f>
        <v>Los Lagos</v>
      </c>
      <c r="L583" t="s">
        <v>38</v>
      </c>
      <c r="M583" t="s">
        <v>49</v>
      </c>
      <c r="N583" t="str">
        <f>_xlfn.XLOOKUP(ventas[[#This Row],[producto]], categ[Producto], categ[Categoria])</f>
        <v>Electrohogar</v>
      </c>
      <c r="O583">
        <v>800000</v>
      </c>
      <c r="P583">
        <v>2</v>
      </c>
      <c r="Q583" s="11">
        <v>0.05</v>
      </c>
      <c r="R583">
        <f>(ventas[[#This Row],[precio_unitario]]*ventas[[#This Row],[cantidad]])</f>
        <v>1600000</v>
      </c>
      <c r="S583">
        <f>ventas[[#This Row],[Total_Productos]]*ventas[[#This Row],[descuento_pct]]</f>
        <v>80000</v>
      </c>
      <c r="T583">
        <f>ventas[[#This Row],[Total_Productos]]-ventas[[#This Row],[Valor_descuento]]</f>
        <v>1520000</v>
      </c>
    </row>
    <row r="584" spans="1:20" x14ac:dyDescent="0.3">
      <c r="A584">
        <v>567</v>
      </c>
      <c r="B584" s="1">
        <v>45494</v>
      </c>
      <c r="C584">
        <v>56</v>
      </c>
      <c r="D584">
        <v>2</v>
      </c>
      <c r="E584">
        <v>95</v>
      </c>
      <c r="F584" t="s">
        <v>217</v>
      </c>
      <c r="G584" t="s">
        <v>218</v>
      </c>
      <c r="H584" t="s">
        <v>42</v>
      </c>
      <c r="I584">
        <v>33</v>
      </c>
      <c r="J584" t="s">
        <v>27</v>
      </c>
      <c r="K584" t="str">
        <f>_xlfn.XLOOKUP( ventas[[#This Row],[ciudad_cliente]],  ciudades[Ciudad], ciudades[Region])</f>
        <v>Biobío</v>
      </c>
      <c r="L584" t="s">
        <v>38</v>
      </c>
      <c r="M584" t="s">
        <v>46</v>
      </c>
      <c r="N584" t="str">
        <f>_xlfn.XLOOKUP(ventas[[#This Row],[producto]], categ[Producto], categ[Categoria])</f>
        <v>Tecnología</v>
      </c>
      <c r="O584">
        <v>750000</v>
      </c>
      <c r="P584">
        <v>3</v>
      </c>
      <c r="Q584" s="11">
        <v>0</v>
      </c>
      <c r="R584">
        <f>(ventas[[#This Row],[precio_unitario]]*ventas[[#This Row],[cantidad]])</f>
        <v>2250000</v>
      </c>
      <c r="S584">
        <f>ventas[[#This Row],[Total_Productos]]*ventas[[#This Row],[descuento_pct]]</f>
        <v>0</v>
      </c>
      <c r="T584">
        <f>ventas[[#This Row],[Total_Productos]]-ventas[[#This Row],[Valor_descuento]]</f>
        <v>2250000</v>
      </c>
    </row>
    <row r="585" spans="1:20" x14ac:dyDescent="0.3">
      <c r="A585">
        <v>711</v>
      </c>
      <c r="B585" s="1">
        <v>45638</v>
      </c>
      <c r="C585">
        <v>36</v>
      </c>
      <c r="D585">
        <v>4</v>
      </c>
      <c r="E585">
        <v>95</v>
      </c>
      <c r="F585" t="s">
        <v>217</v>
      </c>
      <c r="G585" t="s">
        <v>218</v>
      </c>
      <c r="H585" t="s">
        <v>42</v>
      </c>
      <c r="I585">
        <v>33</v>
      </c>
      <c r="J585" t="s">
        <v>101</v>
      </c>
      <c r="K585" t="str">
        <f>_xlfn.XLOOKUP( ventas[[#This Row],[ciudad_cliente]],  ciudades[Ciudad], ciudades[Region])</f>
        <v>O'Higgins</v>
      </c>
      <c r="L585" t="s">
        <v>22</v>
      </c>
      <c r="M585" t="s">
        <v>39</v>
      </c>
      <c r="N585" t="str">
        <f>_xlfn.XLOOKUP(ventas[[#This Row],[producto]], categ[Producto], categ[Categoria])</f>
        <v>Belleza</v>
      </c>
      <c r="O585">
        <v>35000</v>
      </c>
      <c r="P585">
        <v>1</v>
      </c>
      <c r="Q585" s="11">
        <v>0.05</v>
      </c>
      <c r="R585">
        <f>(ventas[[#This Row],[precio_unitario]]*ventas[[#This Row],[cantidad]])</f>
        <v>35000</v>
      </c>
      <c r="S585">
        <f>ventas[[#This Row],[Total_Productos]]*ventas[[#This Row],[descuento_pct]]</f>
        <v>1750</v>
      </c>
      <c r="T585">
        <f>ventas[[#This Row],[Total_Productos]]-ventas[[#This Row],[Valor_descuento]]</f>
        <v>33250</v>
      </c>
    </row>
    <row r="586" spans="1:20" x14ac:dyDescent="0.3">
      <c r="A586">
        <v>206</v>
      </c>
      <c r="B586" s="1">
        <v>45133</v>
      </c>
      <c r="C586">
        <v>60</v>
      </c>
      <c r="D586">
        <v>1</v>
      </c>
      <c r="E586">
        <v>46</v>
      </c>
      <c r="F586" t="s">
        <v>358</v>
      </c>
      <c r="G586" t="s">
        <v>359</v>
      </c>
      <c r="H586" t="s">
        <v>42</v>
      </c>
      <c r="I586">
        <v>29</v>
      </c>
      <c r="J586" t="s">
        <v>37</v>
      </c>
      <c r="K586" t="str">
        <f>_xlfn.XLOOKUP( ventas[[#This Row],[ciudad_cliente]],  ciudades[Ciudad], ciudades[Region])</f>
        <v>Valparaíso</v>
      </c>
      <c r="L586" t="s">
        <v>38</v>
      </c>
      <c r="M586" t="s">
        <v>23</v>
      </c>
      <c r="N586" t="str">
        <f>_xlfn.XLOOKUP(ventas[[#This Row],[producto]], categ[Producto], categ[Categoria])</f>
        <v>Belleza</v>
      </c>
      <c r="O586">
        <v>15000</v>
      </c>
      <c r="P586">
        <v>2</v>
      </c>
      <c r="Q586" s="11">
        <v>0.1</v>
      </c>
      <c r="R586">
        <f>(ventas[[#This Row],[precio_unitario]]*ventas[[#This Row],[cantidad]])</f>
        <v>30000</v>
      </c>
      <c r="S586">
        <f>ventas[[#This Row],[Total_Productos]]*ventas[[#This Row],[descuento_pct]]</f>
        <v>3000</v>
      </c>
      <c r="T586">
        <f>ventas[[#This Row],[Total_Productos]]-ventas[[#This Row],[Valor_descuento]]</f>
        <v>27000</v>
      </c>
    </row>
    <row r="587" spans="1:20" x14ac:dyDescent="0.3">
      <c r="A587">
        <v>216</v>
      </c>
      <c r="B587" s="1">
        <v>45143</v>
      </c>
      <c r="C587">
        <v>64</v>
      </c>
      <c r="D587">
        <v>4</v>
      </c>
      <c r="E587">
        <v>46</v>
      </c>
      <c r="F587" t="s">
        <v>358</v>
      </c>
      <c r="G587" t="s">
        <v>359</v>
      </c>
      <c r="H587" t="s">
        <v>42</v>
      </c>
      <c r="I587">
        <v>29</v>
      </c>
      <c r="J587" t="s">
        <v>20</v>
      </c>
      <c r="K587" t="str">
        <f>_xlfn.XLOOKUP( ventas[[#This Row],[ciudad_cliente]],  ciudades[Ciudad], ciudades[Region])</f>
        <v>La Araucanía</v>
      </c>
      <c r="L587" t="s">
        <v>29</v>
      </c>
      <c r="M587" t="s">
        <v>56</v>
      </c>
      <c r="N587" t="str">
        <f>_xlfn.XLOOKUP(ventas[[#This Row],[producto]], categ[Producto], categ[Categoria])</f>
        <v>Vestuario</v>
      </c>
      <c r="O587">
        <v>25000</v>
      </c>
      <c r="P587">
        <v>2</v>
      </c>
      <c r="Q587" s="11">
        <v>0.05</v>
      </c>
      <c r="R587">
        <f>(ventas[[#This Row],[precio_unitario]]*ventas[[#This Row],[cantidad]])</f>
        <v>50000</v>
      </c>
      <c r="S587">
        <f>ventas[[#This Row],[Total_Productos]]*ventas[[#This Row],[descuento_pct]]</f>
        <v>2500</v>
      </c>
      <c r="T587">
        <f>ventas[[#This Row],[Total_Productos]]-ventas[[#This Row],[Valor_descuento]]</f>
        <v>47500</v>
      </c>
    </row>
    <row r="588" spans="1:20" x14ac:dyDescent="0.3">
      <c r="A588">
        <v>503</v>
      </c>
      <c r="B588" s="1">
        <v>45430</v>
      </c>
      <c r="C588">
        <v>11</v>
      </c>
      <c r="D588">
        <v>0</v>
      </c>
      <c r="E588">
        <v>46</v>
      </c>
      <c r="F588" t="s">
        <v>358</v>
      </c>
      <c r="G588" t="s">
        <v>359</v>
      </c>
      <c r="H588" t="s">
        <v>42</v>
      </c>
      <c r="I588">
        <v>29</v>
      </c>
      <c r="J588" t="s">
        <v>43</v>
      </c>
      <c r="K588" t="str">
        <f>_xlfn.XLOOKUP( ventas[[#This Row],[ciudad_cliente]],  ciudades[Ciudad], ciudades[Region])</f>
        <v>Antofagasta</v>
      </c>
      <c r="L588" t="s">
        <v>29</v>
      </c>
      <c r="M588" t="s">
        <v>98</v>
      </c>
      <c r="N588" t="str">
        <f>_xlfn.XLOOKUP(ventas[[#This Row],[producto]], categ[Producto], categ[Categoria])</f>
        <v>Calzado</v>
      </c>
      <c r="O588">
        <v>55000</v>
      </c>
      <c r="P588">
        <v>2</v>
      </c>
      <c r="Q588" s="11">
        <v>0</v>
      </c>
      <c r="R588">
        <f>(ventas[[#This Row],[precio_unitario]]*ventas[[#This Row],[cantidad]])</f>
        <v>110000</v>
      </c>
      <c r="S588">
        <f>ventas[[#This Row],[Total_Productos]]*ventas[[#This Row],[descuento_pct]]</f>
        <v>0</v>
      </c>
      <c r="T588">
        <f>ventas[[#This Row],[Total_Productos]]-ventas[[#This Row],[Valor_descuento]]</f>
        <v>110000</v>
      </c>
    </row>
    <row r="589" spans="1:20" x14ac:dyDescent="0.3">
      <c r="A589">
        <v>49</v>
      </c>
      <c r="B589" s="1">
        <v>44976</v>
      </c>
      <c r="C589">
        <v>51</v>
      </c>
      <c r="D589">
        <v>7</v>
      </c>
      <c r="E589">
        <v>239</v>
      </c>
      <c r="F589" t="s">
        <v>142</v>
      </c>
      <c r="G589" t="s">
        <v>143</v>
      </c>
      <c r="H589" t="s">
        <v>42</v>
      </c>
      <c r="I589">
        <v>30</v>
      </c>
      <c r="J589" t="s">
        <v>101</v>
      </c>
      <c r="K589" t="str">
        <f>_xlfn.XLOOKUP( ventas[[#This Row],[ciudad_cliente]],  ciudades[Ciudad], ciudades[Region])</f>
        <v>O'Higgins</v>
      </c>
      <c r="L589" t="s">
        <v>38</v>
      </c>
      <c r="M589" t="s">
        <v>102</v>
      </c>
      <c r="N589" t="str">
        <f>_xlfn.XLOOKUP(ventas[[#This Row],[producto]], categ[Producto], categ[Categoria])</f>
        <v>Vestuario</v>
      </c>
      <c r="O589">
        <v>12000</v>
      </c>
      <c r="P589">
        <v>2</v>
      </c>
      <c r="Q589" s="11">
        <v>0.1</v>
      </c>
      <c r="R589">
        <f>(ventas[[#This Row],[precio_unitario]]*ventas[[#This Row],[cantidad]])</f>
        <v>24000</v>
      </c>
      <c r="S589">
        <f>ventas[[#This Row],[Total_Productos]]*ventas[[#This Row],[descuento_pct]]</f>
        <v>2400</v>
      </c>
      <c r="T589">
        <f>ventas[[#This Row],[Total_Productos]]-ventas[[#This Row],[Valor_descuento]]</f>
        <v>21600</v>
      </c>
    </row>
    <row r="590" spans="1:20" x14ac:dyDescent="0.3">
      <c r="A590">
        <v>238</v>
      </c>
      <c r="B590" s="1">
        <v>45165</v>
      </c>
      <c r="C590">
        <v>1</v>
      </c>
      <c r="D590">
        <v>8</v>
      </c>
      <c r="E590">
        <v>239</v>
      </c>
      <c r="F590" t="s">
        <v>142</v>
      </c>
      <c r="G590" t="s">
        <v>143</v>
      </c>
      <c r="H590" t="s">
        <v>42</v>
      </c>
      <c r="I590">
        <v>30</v>
      </c>
      <c r="J590" t="s">
        <v>34</v>
      </c>
      <c r="K590" t="str">
        <f>_xlfn.XLOOKUP( ventas[[#This Row],[ciudad_cliente]],  ciudades[Ciudad], ciudades[Region])</f>
        <v>Metropolitana</v>
      </c>
      <c r="L590" t="s">
        <v>22</v>
      </c>
      <c r="M590" t="s">
        <v>30</v>
      </c>
      <c r="N590" t="str">
        <f>_xlfn.XLOOKUP(ventas[[#This Row],[producto]], categ[Producto], categ[Categoria])</f>
        <v>Electrohogar</v>
      </c>
      <c r="O590">
        <v>700000</v>
      </c>
      <c r="P590">
        <v>1</v>
      </c>
      <c r="Q590" s="11">
        <v>0</v>
      </c>
      <c r="R590">
        <f>(ventas[[#This Row],[precio_unitario]]*ventas[[#This Row],[cantidad]])</f>
        <v>700000</v>
      </c>
      <c r="S590">
        <f>ventas[[#This Row],[Total_Productos]]*ventas[[#This Row],[descuento_pct]]</f>
        <v>0</v>
      </c>
      <c r="T590">
        <f>ventas[[#This Row],[Total_Productos]]-ventas[[#This Row],[Valor_descuento]]</f>
        <v>700000</v>
      </c>
    </row>
    <row r="591" spans="1:20" x14ac:dyDescent="0.3">
      <c r="A591">
        <v>466</v>
      </c>
      <c r="B591" s="1">
        <v>45393</v>
      </c>
      <c r="C591">
        <v>60</v>
      </c>
      <c r="D591">
        <v>1</v>
      </c>
      <c r="E591">
        <v>239</v>
      </c>
      <c r="F591" t="s">
        <v>142</v>
      </c>
      <c r="G591" t="s">
        <v>143</v>
      </c>
      <c r="H591" t="s">
        <v>42</v>
      </c>
      <c r="I591">
        <v>30</v>
      </c>
      <c r="J591" t="s">
        <v>37</v>
      </c>
      <c r="K591" t="str">
        <f>_xlfn.XLOOKUP( ventas[[#This Row],[ciudad_cliente]],  ciudades[Ciudad], ciudades[Region])</f>
        <v>Valparaíso</v>
      </c>
      <c r="L591" t="s">
        <v>22</v>
      </c>
      <c r="M591" t="s">
        <v>23</v>
      </c>
      <c r="N591" t="str">
        <f>_xlfn.XLOOKUP(ventas[[#This Row],[producto]], categ[Producto], categ[Categoria])</f>
        <v>Belleza</v>
      </c>
      <c r="O591">
        <v>15000</v>
      </c>
      <c r="P591">
        <v>1</v>
      </c>
      <c r="Q591" s="11">
        <v>0.1</v>
      </c>
      <c r="R591">
        <f>(ventas[[#This Row],[precio_unitario]]*ventas[[#This Row],[cantidad]])</f>
        <v>15000</v>
      </c>
      <c r="S591">
        <f>ventas[[#This Row],[Total_Productos]]*ventas[[#This Row],[descuento_pct]]</f>
        <v>1500</v>
      </c>
      <c r="T591">
        <f>ventas[[#This Row],[Total_Productos]]-ventas[[#This Row],[Valor_descuento]]</f>
        <v>13500</v>
      </c>
    </row>
    <row r="592" spans="1:20" x14ac:dyDescent="0.3">
      <c r="A592">
        <v>215</v>
      </c>
      <c r="B592" s="1">
        <v>45142</v>
      </c>
      <c r="C592">
        <v>65</v>
      </c>
      <c r="D592">
        <v>0</v>
      </c>
      <c r="E592">
        <v>25</v>
      </c>
      <c r="F592" t="s">
        <v>368</v>
      </c>
      <c r="G592" t="s">
        <v>369</v>
      </c>
      <c r="H592" t="s">
        <v>42</v>
      </c>
      <c r="I592">
        <v>31</v>
      </c>
      <c r="J592" t="s">
        <v>101</v>
      </c>
      <c r="K592" t="str">
        <f>_xlfn.XLOOKUP( ventas[[#This Row],[ciudad_cliente]],  ciudades[Ciudad], ciudades[Region])</f>
        <v>O'Higgins</v>
      </c>
      <c r="L592" t="s">
        <v>38</v>
      </c>
      <c r="M592" t="s">
        <v>30</v>
      </c>
      <c r="N592" t="str">
        <f>_xlfn.XLOOKUP(ventas[[#This Row],[producto]], categ[Producto], categ[Categoria])</f>
        <v>Electrohogar</v>
      </c>
      <c r="O592">
        <v>700000</v>
      </c>
      <c r="P592">
        <v>3</v>
      </c>
      <c r="Q592" s="11">
        <v>0.1</v>
      </c>
      <c r="R592">
        <f>(ventas[[#This Row],[precio_unitario]]*ventas[[#This Row],[cantidad]])</f>
        <v>2100000</v>
      </c>
      <c r="S592">
        <f>ventas[[#This Row],[Total_Productos]]*ventas[[#This Row],[descuento_pct]]</f>
        <v>210000</v>
      </c>
      <c r="T592">
        <f>ventas[[#This Row],[Total_Productos]]-ventas[[#This Row],[Valor_descuento]]</f>
        <v>1890000</v>
      </c>
    </row>
    <row r="593" spans="1:20" x14ac:dyDescent="0.3">
      <c r="A593">
        <v>617</v>
      </c>
      <c r="B593" s="1">
        <v>45544</v>
      </c>
      <c r="C593">
        <v>51</v>
      </c>
      <c r="D593">
        <v>7</v>
      </c>
      <c r="E593">
        <v>25</v>
      </c>
      <c r="F593" t="s">
        <v>368</v>
      </c>
      <c r="G593" t="s">
        <v>369</v>
      </c>
      <c r="H593" t="s">
        <v>42</v>
      </c>
      <c r="I593">
        <v>31</v>
      </c>
      <c r="J593" t="s">
        <v>101</v>
      </c>
      <c r="K593" t="str">
        <f>_xlfn.XLOOKUP( ventas[[#This Row],[ciudad_cliente]],  ciudades[Ciudad], ciudades[Region])</f>
        <v>O'Higgins</v>
      </c>
      <c r="L593" t="s">
        <v>22</v>
      </c>
      <c r="M593" t="s">
        <v>39</v>
      </c>
      <c r="N593" t="str">
        <f>_xlfn.XLOOKUP(ventas[[#This Row],[producto]], categ[Producto], categ[Categoria])</f>
        <v>Belleza</v>
      </c>
      <c r="O593">
        <v>35000</v>
      </c>
      <c r="P593">
        <v>3</v>
      </c>
      <c r="Q593" s="11">
        <v>0.05</v>
      </c>
      <c r="R593">
        <f>(ventas[[#This Row],[precio_unitario]]*ventas[[#This Row],[cantidad]])</f>
        <v>105000</v>
      </c>
      <c r="S593">
        <f>ventas[[#This Row],[Total_Productos]]*ventas[[#This Row],[descuento_pct]]</f>
        <v>5250</v>
      </c>
      <c r="T593">
        <f>ventas[[#This Row],[Total_Productos]]-ventas[[#This Row],[Valor_descuento]]</f>
        <v>99750</v>
      </c>
    </row>
    <row r="594" spans="1:20" x14ac:dyDescent="0.3">
      <c r="A594">
        <v>624</v>
      </c>
      <c r="B594" s="1">
        <v>45551</v>
      </c>
      <c r="C594">
        <v>43</v>
      </c>
      <c r="D594">
        <v>0</v>
      </c>
      <c r="E594">
        <v>25</v>
      </c>
      <c r="F594" t="s">
        <v>368</v>
      </c>
      <c r="G594" t="s">
        <v>369</v>
      </c>
      <c r="H594" t="s">
        <v>42</v>
      </c>
      <c r="I594">
        <v>31</v>
      </c>
      <c r="J594" t="s">
        <v>34</v>
      </c>
      <c r="K594" t="str">
        <f>_xlfn.XLOOKUP( ventas[[#This Row],[ciudad_cliente]],  ciudades[Ciudad], ciudades[Region])</f>
        <v>Metropolitana</v>
      </c>
      <c r="L594" t="s">
        <v>38</v>
      </c>
      <c r="M594" t="s">
        <v>39</v>
      </c>
      <c r="N594" t="str">
        <f>_xlfn.XLOOKUP(ventas[[#This Row],[producto]], categ[Producto], categ[Categoria])</f>
        <v>Belleza</v>
      </c>
      <c r="O594">
        <v>35000</v>
      </c>
      <c r="P594">
        <v>2</v>
      </c>
      <c r="Q594" s="11">
        <v>0</v>
      </c>
      <c r="R594">
        <f>(ventas[[#This Row],[precio_unitario]]*ventas[[#This Row],[cantidad]])</f>
        <v>70000</v>
      </c>
      <c r="S594">
        <f>ventas[[#This Row],[Total_Productos]]*ventas[[#This Row],[descuento_pct]]</f>
        <v>0</v>
      </c>
      <c r="T594">
        <f>ventas[[#This Row],[Total_Productos]]-ventas[[#This Row],[Valor_descuento]]</f>
        <v>70000</v>
      </c>
    </row>
    <row r="595" spans="1:20" x14ac:dyDescent="0.3">
      <c r="A595">
        <v>699</v>
      </c>
      <c r="B595" s="1">
        <v>45626</v>
      </c>
      <c r="C595">
        <v>9</v>
      </c>
      <c r="D595">
        <v>9</v>
      </c>
      <c r="E595">
        <v>25</v>
      </c>
      <c r="F595" t="s">
        <v>368</v>
      </c>
      <c r="G595" t="s">
        <v>369</v>
      </c>
      <c r="H595" t="s">
        <v>42</v>
      </c>
      <c r="I595">
        <v>31</v>
      </c>
      <c r="J595" t="s">
        <v>37</v>
      </c>
      <c r="K595" t="str">
        <f>_xlfn.XLOOKUP( ventas[[#This Row],[ciudad_cliente]],  ciudades[Ciudad], ciudades[Region])</f>
        <v>Valparaíso</v>
      </c>
      <c r="L595" t="s">
        <v>38</v>
      </c>
      <c r="M595" t="s">
        <v>102</v>
      </c>
      <c r="N595" t="str">
        <f>_xlfn.XLOOKUP(ventas[[#This Row],[producto]], categ[Producto], categ[Categoria])</f>
        <v>Vestuario</v>
      </c>
      <c r="O595">
        <v>12000</v>
      </c>
      <c r="P595">
        <v>1</v>
      </c>
      <c r="Q595" s="11">
        <v>0.1</v>
      </c>
      <c r="R595">
        <f>(ventas[[#This Row],[precio_unitario]]*ventas[[#This Row],[cantidad]])</f>
        <v>12000</v>
      </c>
      <c r="S595">
        <f>ventas[[#This Row],[Total_Productos]]*ventas[[#This Row],[descuento_pct]]</f>
        <v>1200</v>
      </c>
      <c r="T595">
        <f>ventas[[#This Row],[Total_Productos]]-ventas[[#This Row],[Valor_descuento]]</f>
        <v>10800</v>
      </c>
    </row>
    <row r="596" spans="1:20" x14ac:dyDescent="0.3">
      <c r="A596">
        <v>20</v>
      </c>
      <c r="B596" s="1">
        <v>44947</v>
      </c>
      <c r="C596">
        <v>46</v>
      </c>
      <c r="D596">
        <v>5</v>
      </c>
      <c r="E596">
        <v>224</v>
      </c>
      <c r="F596" t="s">
        <v>82</v>
      </c>
      <c r="G596" t="s">
        <v>83</v>
      </c>
      <c r="H596" t="s">
        <v>19</v>
      </c>
      <c r="I596">
        <v>18</v>
      </c>
      <c r="J596" t="s">
        <v>84</v>
      </c>
      <c r="K596" t="str">
        <f>_xlfn.XLOOKUP( ventas[[#This Row],[ciudad_cliente]],  ciudades[Ciudad], ciudades[Region])</f>
        <v>Coquimbo</v>
      </c>
      <c r="L596" t="s">
        <v>38</v>
      </c>
      <c r="M596" t="s">
        <v>39</v>
      </c>
      <c r="N596" t="str">
        <f>_xlfn.XLOOKUP(ventas[[#This Row],[producto]], categ[Producto], categ[Categoria])</f>
        <v>Belleza</v>
      </c>
      <c r="O596">
        <v>35000</v>
      </c>
      <c r="P596">
        <v>3</v>
      </c>
      <c r="Q596" s="11">
        <v>0.1</v>
      </c>
      <c r="R596">
        <f>(ventas[[#This Row],[precio_unitario]]*ventas[[#This Row],[cantidad]])</f>
        <v>105000</v>
      </c>
      <c r="S596">
        <f>ventas[[#This Row],[Total_Productos]]*ventas[[#This Row],[descuento_pct]]</f>
        <v>10500</v>
      </c>
      <c r="T596">
        <f>ventas[[#This Row],[Total_Productos]]-ventas[[#This Row],[Valor_descuento]]</f>
        <v>94500</v>
      </c>
    </row>
    <row r="597" spans="1:20" x14ac:dyDescent="0.3">
      <c r="A597">
        <v>122</v>
      </c>
      <c r="B597" s="1">
        <v>45049</v>
      </c>
      <c r="C597">
        <v>22</v>
      </c>
      <c r="D597">
        <v>1</v>
      </c>
      <c r="E597">
        <v>224</v>
      </c>
      <c r="F597" t="s">
        <v>82</v>
      </c>
      <c r="G597" t="s">
        <v>83</v>
      </c>
      <c r="H597" t="s">
        <v>19</v>
      </c>
      <c r="I597">
        <v>18</v>
      </c>
      <c r="J597" t="s">
        <v>116</v>
      </c>
      <c r="K597" t="str">
        <f>_xlfn.XLOOKUP( ventas[[#This Row],[ciudad_cliente]],  ciudades[Ciudad], ciudades[Region])</f>
        <v>Valparaíso</v>
      </c>
      <c r="L597" t="s">
        <v>29</v>
      </c>
      <c r="M597" t="s">
        <v>23</v>
      </c>
      <c r="N597" t="str">
        <f>_xlfn.XLOOKUP(ventas[[#This Row],[producto]], categ[Producto], categ[Categoria])</f>
        <v>Belleza</v>
      </c>
      <c r="O597">
        <v>15000</v>
      </c>
      <c r="P597">
        <v>1</v>
      </c>
      <c r="Q597" s="11">
        <v>0.1</v>
      </c>
      <c r="R597">
        <f>(ventas[[#This Row],[precio_unitario]]*ventas[[#This Row],[cantidad]])</f>
        <v>15000</v>
      </c>
      <c r="S597">
        <f>ventas[[#This Row],[Total_Productos]]*ventas[[#This Row],[descuento_pct]]</f>
        <v>1500</v>
      </c>
      <c r="T597">
        <f>ventas[[#This Row],[Total_Productos]]-ventas[[#This Row],[Valor_descuento]]</f>
        <v>13500</v>
      </c>
    </row>
    <row r="598" spans="1:20" x14ac:dyDescent="0.3">
      <c r="A598">
        <v>334</v>
      </c>
      <c r="B598" s="1">
        <v>45261</v>
      </c>
      <c r="C598">
        <v>20</v>
      </c>
      <c r="D598">
        <v>0</v>
      </c>
      <c r="E598">
        <v>98</v>
      </c>
      <c r="F598" t="s">
        <v>464</v>
      </c>
      <c r="G598" t="s">
        <v>465</v>
      </c>
      <c r="H598" t="s">
        <v>19</v>
      </c>
      <c r="I598">
        <v>41</v>
      </c>
      <c r="J598" t="s">
        <v>20</v>
      </c>
      <c r="K598" t="str">
        <f>_xlfn.XLOOKUP( ventas[[#This Row],[ciudad_cliente]],  ciudades[Ciudad], ciudades[Region])</f>
        <v>La Araucanía</v>
      </c>
      <c r="L598" t="s">
        <v>38</v>
      </c>
      <c r="M598" t="s">
        <v>49</v>
      </c>
      <c r="N598" t="str">
        <f>_xlfn.XLOOKUP(ventas[[#This Row],[producto]], categ[Producto], categ[Categoria])</f>
        <v>Electrohogar</v>
      </c>
      <c r="O598">
        <v>800000</v>
      </c>
      <c r="P598">
        <v>3</v>
      </c>
      <c r="Q598" s="11">
        <v>0</v>
      </c>
      <c r="R598">
        <f>(ventas[[#This Row],[precio_unitario]]*ventas[[#This Row],[cantidad]])</f>
        <v>2400000</v>
      </c>
      <c r="S598">
        <f>ventas[[#This Row],[Total_Productos]]*ventas[[#This Row],[descuento_pct]]</f>
        <v>0</v>
      </c>
      <c r="T598">
        <f>ventas[[#This Row],[Total_Productos]]-ventas[[#This Row],[Valor_descuento]]</f>
        <v>2400000</v>
      </c>
    </row>
    <row r="599" spans="1:20" x14ac:dyDescent="0.3">
      <c r="A599">
        <v>362</v>
      </c>
      <c r="B599" s="1">
        <v>45289</v>
      </c>
      <c r="C599">
        <v>21</v>
      </c>
      <c r="D599">
        <v>5</v>
      </c>
      <c r="E599">
        <v>98</v>
      </c>
      <c r="F599" t="s">
        <v>464</v>
      </c>
      <c r="G599" t="s">
        <v>465</v>
      </c>
      <c r="H599" t="s">
        <v>19</v>
      </c>
      <c r="I599">
        <v>41</v>
      </c>
      <c r="J599" t="s">
        <v>76</v>
      </c>
      <c r="K599" t="str">
        <f>_xlfn.XLOOKUP( ventas[[#This Row],[ciudad_cliente]],  ciudades[Ciudad], ciudades[Region])</f>
        <v>Los Lagos</v>
      </c>
      <c r="L599" t="s">
        <v>22</v>
      </c>
      <c r="M599" t="s">
        <v>39</v>
      </c>
      <c r="N599" t="str">
        <f>_xlfn.XLOOKUP(ventas[[#This Row],[producto]], categ[Producto], categ[Categoria])</f>
        <v>Belleza</v>
      </c>
      <c r="O599">
        <v>35000</v>
      </c>
      <c r="P599">
        <v>2</v>
      </c>
      <c r="Q599" s="11">
        <v>0</v>
      </c>
      <c r="R599">
        <f>(ventas[[#This Row],[precio_unitario]]*ventas[[#This Row],[cantidad]])</f>
        <v>70000</v>
      </c>
      <c r="S599">
        <f>ventas[[#This Row],[Total_Productos]]*ventas[[#This Row],[descuento_pct]]</f>
        <v>0</v>
      </c>
      <c r="T599">
        <f>ventas[[#This Row],[Total_Productos]]-ventas[[#This Row],[Valor_descuento]]</f>
        <v>70000</v>
      </c>
    </row>
    <row r="600" spans="1:20" x14ac:dyDescent="0.3">
      <c r="A600">
        <v>778</v>
      </c>
      <c r="B600" s="1">
        <v>45705</v>
      </c>
      <c r="C600">
        <v>53</v>
      </c>
      <c r="D600">
        <v>1</v>
      </c>
      <c r="E600">
        <v>98</v>
      </c>
      <c r="F600" t="s">
        <v>464</v>
      </c>
      <c r="G600" t="s">
        <v>465</v>
      </c>
      <c r="H600" t="s">
        <v>19</v>
      </c>
      <c r="I600">
        <v>41</v>
      </c>
      <c r="J600" t="s">
        <v>76</v>
      </c>
      <c r="K600" t="str">
        <f>_xlfn.XLOOKUP( ventas[[#This Row],[ciudad_cliente]],  ciudades[Ciudad], ciudades[Region])</f>
        <v>Los Lagos</v>
      </c>
      <c r="L600" t="s">
        <v>38</v>
      </c>
      <c r="M600" t="s">
        <v>23</v>
      </c>
      <c r="N600" t="str">
        <f>_xlfn.XLOOKUP(ventas[[#This Row],[producto]], categ[Producto], categ[Categoria])</f>
        <v>Belleza</v>
      </c>
      <c r="O600">
        <v>15000</v>
      </c>
      <c r="P600">
        <v>1</v>
      </c>
      <c r="Q600" s="11">
        <v>0.1</v>
      </c>
      <c r="R600">
        <f>(ventas[[#This Row],[precio_unitario]]*ventas[[#This Row],[cantidad]])</f>
        <v>15000</v>
      </c>
      <c r="S600">
        <f>ventas[[#This Row],[Total_Productos]]*ventas[[#This Row],[descuento_pct]]</f>
        <v>1500</v>
      </c>
      <c r="T600">
        <f>ventas[[#This Row],[Total_Productos]]-ventas[[#This Row],[Valor_descuento]]</f>
        <v>13500</v>
      </c>
    </row>
    <row r="601" spans="1:20" x14ac:dyDescent="0.3">
      <c r="A601">
        <v>888</v>
      </c>
      <c r="B601" s="1">
        <v>45815</v>
      </c>
      <c r="C601">
        <v>70</v>
      </c>
      <c r="D601">
        <v>6</v>
      </c>
      <c r="E601">
        <v>98</v>
      </c>
      <c r="F601" t="s">
        <v>464</v>
      </c>
      <c r="G601" t="s">
        <v>465</v>
      </c>
      <c r="H601" t="s">
        <v>19</v>
      </c>
      <c r="I601">
        <v>41</v>
      </c>
      <c r="J601" t="s">
        <v>27</v>
      </c>
      <c r="K601" t="str">
        <f>_xlfn.XLOOKUP( ventas[[#This Row],[ciudad_cliente]],  ciudades[Ciudad], ciudades[Region])</f>
        <v>Biobío</v>
      </c>
      <c r="L601" t="s">
        <v>38</v>
      </c>
      <c r="M601" t="s">
        <v>39</v>
      </c>
      <c r="N601" t="str">
        <f>_xlfn.XLOOKUP(ventas[[#This Row],[producto]], categ[Producto], categ[Categoria])</f>
        <v>Belleza</v>
      </c>
      <c r="O601">
        <v>35000</v>
      </c>
      <c r="P601">
        <v>3</v>
      </c>
      <c r="Q601" s="11">
        <v>0.1</v>
      </c>
      <c r="R601">
        <f>(ventas[[#This Row],[precio_unitario]]*ventas[[#This Row],[cantidad]])</f>
        <v>105000</v>
      </c>
      <c r="S601">
        <f>ventas[[#This Row],[Total_Productos]]*ventas[[#This Row],[descuento_pct]]</f>
        <v>10500</v>
      </c>
      <c r="T601">
        <f>ventas[[#This Row],[Total_Productos]]-ventas[[#This Row],[Valor_descuento]]</f>
        <v>94500</v>
      </c>
    </row>
    <row r="602" spans="1:20" x14ac:dyDescent="0.3">
      <c r="A602">
        <v>109</v>
      </c>
      <c r="B602" s="1">
        <v>45036</v>
      </c>
      <c r="C602">
        <v>47</v>
      </c>
      <c r="D602">
        <v>1</v>
      </c>
      <c r="E602">
        <v>109</v>
      </c>
      <c r="F602" t="s">
        <v>243</v>
      </c>
      <c r="G602" t="s">
        <v>244</v>
      </c>
      <c r="H602" t="s">
        <v>19</v>
      </c>
      <c r="I602">
        <v>41</v>
      </c>
      <c r="J602" t="s">
        <v>116</v>
      </c>
      <c r="K602" t="str">
        <f>_xlfn.XLOOKUP( ventas[[#This Row],[ciudad_cliente]],  ciudades[Ciudad], ciudades[Region])</f>
        <v>Valparaíso</v>
      </c>
      <c r="L602" t="s">
        <v>22</v>
      </c>
      <c r="M602" t="s">
        <v>39</v>
      </c>
      <c r="N602" t="str">
        <f>_xlfn.XLOOKUP(ventas[[#This Row],[producto]], categ[Producto], categ[Categoria])</f>
        <v>Belleza</v>
      </c>
      <c r="O602">
        <v>35000</v>
      </c>
      <c r="P602">
        <v>3</v>
      </c>
      <c r="Q602" s="11">
        <v>0</v>
      </c>
      <c r="R602">
        <f>(ventas[[#This Row],[precio_unitario]]*ventas[[#This Row],[cantidad]])</f>
        <v>105000</v>
      </c>
      <c r="S602">
        <f>ventas[[#This Row],[Total_Productos]]*ventas[[#This Row],[descuento_pct]]</f>
        <v>0</v>
      </c>
      <c r="T602">
        <f>ventas[[#This Row],[Total_Productos]]-ventas[[#This Row],[Valor_descuento]]</f>
        <v>105000</v>
      </c>
    </row>
    <row r="603" spans="1:20" x14ac:dyDescent="0.3">
      <c r="A603">
        <v>298</v>
      </c>
      <c r="B603" s="1">
        <v>45225</v>
      </c>
      <c r="C603">
        <v>4</v>
      </c>
      <c r="D603">
        <v>3</v>
      </c>
      <c r="E603">
        <v>109</v>
      </c>
      <c r="F603" t="s">
        <v>243</v>
      </c>
      <c r="G603" t="s">
        <v>244</v>
      </c>
      <c r="H603" t="s">
        <v>19</v>
      </c>
      <c r="I603">
        <v>41</v>
      </c>
      <c r="J603" t="s">
        <v>52</v>
      </c>
      <c r="K603" t="str">
        <f>_xlfn.XLOOKUP( ventas[[#This Row],[ciudad_cliente]],  ciudades[Ciudad], ciudades[Region])</f>
        <v>Biobío</v>
      </c>
      <c r="L603" t="s">
        <v>38</v>
      </c>
      <c r="M603" t="s">
        <v>98</v>
      </c>
      <c r="N603" t="str">
        <f>_xlfn.XLOOKUP(ventas[[#This Row],[producto]], categ[Producto], categ[Categoria])</f>
        <v>Calzado</v>
      </c>
      <c r="O603">
        <v>55000</v>
      </c>
      <c r="P603">
        <v>1</v>
      </c>
      <c r="Q603" s="11">
        <v>0.05</v>
      </c>
      <c r="R603">
        <f>(ventas[[#This Row],[precio_unitario]]*ventas[[#This Row],[cantidad]])</f>
        <v>55000</v>
      </c>
      <c r="S603">
        <f>ventas[[#This Row],[Total_Productos]]*ventas[[#This Row],[descuento_pct]]</f>
        <v>2750</v>
      </c>
      <c r="T603">
        <f>ventas[[#This Row],[Total_Productos]]-ventas[[#This Row],[Valor_descuento]]</f>
        <v>52250</v>
      </c>
    </row>
    <row r="604" spans="1:20" x14ac:dyDescent="0.3">
      <c r="A604">
        <v>392</v>
      </c>
      <c r="B604" s="1">
        <v>45319</v>
      </c>
      <c r="C604">
        <v>50</v>
      </c>
      <c r="D604">
        <v>0</v>
      </c>
      <c r="E604">
        <v>109</v>
      </c>
      <c r="F604" t="s">
        <v>243</v>
      </c>
      <c r="G604" t="s">
        <v>244</v>
      </c>
      <c r="H604" t="s">
        <v>19</v>
      </c>
      <c r="I604">
        <v>41</v>
      </c>
      <c r="J604" t="s">
        <v>20</v>
      </c>
      <c r="K604" t="str">
        <f>_xlfn.XLOOKUP( ventas[[#This Row],[ciudad_cliente]],  ciudades[Ciudad], ciudades[Region])</f>
        <v>La Araucanía</v>
      </c>
      <c r="L604" t="s">
        <v>29</v>
      </c>
      <c r="M604" t="s">
        <v>23</v>
      </c>
      <c r="N604" t="str">
        <f>_xlfn.XLOOKUP(ventas[[#This Row],[producto]], categ[Producto], categ[Categoria])</f>
        <v>Belleza</v>
      </c>
      <c r="O604">
        <v>15000</v>
      </c>
      <c r="P604">
        <v>1</v>
      </c>
      <c r="Q604" s="11">
        <v>0</v>
      </c>
      <c r="R604">
        <f>(ventas[[#This Row],[precio_unitario]]*ventas[[#This Row],[cantidad]])</f>
        <v>15000</v>
      </c>
      <c r="S604">
        <f>ventas[[#This Row],[Total_Productos]]*ventas[[#This Row],[descuento_pct]]</f>
        <v>0</v>
      </c>
      <c r="T604">
        <f>ventas[[#This Row],[Total_Productos]]-ventas[[#This Row],[Valor_descuento]]</f>
        <v>15000</v>
      </c>
    </row>
    <row r="605" spans="1:20" x14ac:dyDescent="0.3">
      <c r="A605">
        <v>421</v>
      </c>
      <c r="B605" s="1">
        <v>45348</v>
      </c>
      <c r="C605">
        <v>55</v>
      </c>
      <c r="D605">
        <v>9</v>
      </c>
      <c r="E605">
        <v>109</v>
      </c>
      <c r="F605" t="s">
        <v>243</v>
      </c>
      <c r="G605" t="s">
        <v>244</v>
      </c>
      <c r="H605" t="s">
        <v>19</v>
      </c>
      <c r="I605">
        <v>41</v>
      </c>
      <c r="J605" t="s">
        <v>43</v>
      </c>
      <c r="K605" t="str">
        <f>_xlfn.XLOOKUP( ventas[[#This Row],[ciudad_cliente]],  ciudades[Ciudad], ciudades[Region])</f>
        <v>Antofagasta</v>
      </c>
      <c r="L605" t="s">
        <v>38</v>
      </c>
      <c r="M605" t="s">
        <v>98</v>
      </c>
      <c r="N605" t="str">
        <f>_xlfn.XLOOKUP(ventas[[#This Row],[producto]], categ[Producto], categ[Categoria])</f>
        <v>Calzado</v>
      </c>
      <c r="O605">
        <v>55000</v>
      </c>
      <c r="P605">
        <v>1</v>
      </c>
      <c r="Q605" s="11">
        <v>0.05</v>
      </c>
      <c r="R605">
        <f>(ventas[[#This Row],[precio_unitario]]*ventas[[#This Row],[cantidad]])</f>
        <v>55000</v>
      </c>
      <c r="S605">
        <f>ventas[[#This Row],[Total_Productos]]*ventas[[#This Row],[descuento_pct]]</f>
        <v>2750</v>
      </c>
      <c r="T605">
        <f>ventas[[#This Row],[Total_Productos]]-ventas[[#This Row],[Valor_descuento]]</f>
        <v>52250</v>
      </c>
    </row>
    <row r="606" spans="1:20" x14ac:dyDescent="0.3">
      <c r="A606">
        <v>873</v>
      </c>
      <c r="B606" s="1">
        <v>45800</v>
      </c>
      <c r="C606">
        <v>9</v>
      </c>
      <c r="D606">
        <v>9</v>
      </c>
      <c r="E606">
        <v>109</v>
      </c>
      <c r="F606" t="s">
        <v>243</v>
      </c>
      <c r="G606" t="s">
        <v>244</v>
      </c>
      <c r="H606" t="s">
        <v>19</v>
      </c>
      <c r="I606">
        <v>41</v>
      </c>
      <c r="J606" t="s">
        <v>37</v>
      </c>
      <c r="K606" t="str">
        <f>_xlfn.XLOOKUP( ventas[[#This Row],[ciudad_cliente]],  ciudades[Ciudad], ciudades[Region])</f>
        <v>Valparaíso</v>
      </c>
      <c r="L606" t="s">
        <v>22</v>
      </c>
      <c r="M606" t="s">
        <v>62</v>
      </c>
      <c r="N606" t="str">
        <f>_xlfn.XLOOKUP(ventas[[#This Row],[producto]], categ[Producto], categ[Categoria])</f>
        <v>Electrohogar</v>
      </c>
      <c r="O606">
        <v>650000</v>
      </c>
      <c r="P606">
        <v>2</v>
      </c>
      <c r="Q606" s="11">
        <v>0</v>
      </c>
      <c r="R606">
        <f>(ventas[[#This Row],[precio_unitario]]*ventas[[#This Row],[cantidad]])</f>
        <v>1300000</v>
      </c>
      <c r="S606">
        <f>ventas[[#This Row],[Total_Productos]]*ventas[[#This Row],[descuento_pct]]</f>
        <v>0</v>
      </c>
      <c r="T606">
        <f>ventas[[#This Row],[Total_Productos]]-ventas[[#This Row],[Valor_descuento]]</f>
        <v>1300000</v>
      </c>
    </row>
    <row r="607" spans="1:20" x14ac:dyDescent="0.3">
      <c r="A607">
        <v>550</v>
      </c>
      <c r="B607" s="1">
        <v>45477</v>
      </c>
      <c r="C607">
        <v>19</v>
      </c>
      <c r="D607">
        <v>5</v>
      </c>
      <c r="E607">
        <v>161</v>
      </c>
      <c r="F607" t="s">
        <v>550</v>
      </c>
      <c r="G607" t="s">
        <v>551</v>
      </c>
      <c r="H607" t="s">
        <v>19</v>
      </c>
      <c r="I607">
        <v>26</v>
      </c>
      <c r="J607" t="s">
        <v>20</v>
      </c>
      <c r="K607" t="str">
        <f>_xlfn.XLOOKUP( ventas[[#This Row],[ciudad_cliente]],  ciudades[Ciudad], ciudades[Region])</f>
        <v>La Araucanía</v>
      </c>
      <c r="L607" t="s">
        <v>22</v>
      </c>
      <c r="M607" t="s">
        <v>98</v>
      </c>
      <c r="N607" t="str">
        <f>_xlfn.XLOOKUP(ventas[[#This Row],[producto]], categ[Producto], categ[Categoria])</f>
        <v>Calzado</v>
      </c>
      <c r="O607">
        <v>55000</v>
      </c>
      <c r="P607">
        <v>2</v>
      </c>
      <c r="Q607" s="11">
        <v>0</v>
      </c>
      <c r="R607">
        <f>(ventas[[#This Row],[precio_unitario]]*ventas[[#This Row],[cantidad]])</f>
        <v>110000</v>
      </c>
      <c r="S607">
        <f>ventas[[#This Row],[Total_Productos]]*ventas[[#This Row],[descuento_pct]]</f>
        <v>0</v>
      </c>
      <c r="T607">
        <f>ventas[[#This Row],[Total_Productos]]-ventas[[#This Row],[Valor_descuento]]</f>
        <v>110000</v>
      </c>
    </row>
    <row r="608" spans="1:20" x14ac:dyDescent="0.3">
      <c r="A608">
        <v>814</v>
      </c>
      <c r="B608" s="1">
        <v>45741</v>
      </c>
      <c r="C608">
        <v>38</v>
      </c>
      <c r="D608">
        <v>8</v>
      </c>
      <c r="E608">
        <v>161</v>
      </c>
      <c r="F608" t="s">
        <v>550</v>
      </c>
      <c r="G608" t="s">
        <v>551</v>
      </c>
      <c r="H608" t="s">
        <v>19</v>
      </c>
      <c r="I608">
        <v>26</v>
      </c>
      <c r="J608" t="s">
        <v>52</v>
      </c>
      <c r="K608" t="str">
        <f>_xlfn.XLOOKUP( ventas[[#This Row],[ciudad_cliente]],  ciudades[Ciudad], ciudades[Region])</f>
        <v>Biobío</v>
      </c>
      <c r="L608" t="s">
        <v>22</v>
      </c>
      <c r="M608" t="s">
        <v>98</v>
      </c>
      <c r="N608" t="str">
        <f>_xlfn.XLOOKUP(ventas[[#This Row],[producto]], categ[Producto], categ[Categoria])</f>
        <v>Calzado</v>
      </c>
      <c r="O608">
        <v>55000</v>
      </c>
      <c r="P608">
        <v>1</v>
      </c>
      <c r="Q608" s="11">
        <v>0.1</v>
      </c>
      <c r="R608">
        <f>(ventas[[#This Row],[precio_unitario]]*ventas[[#This Row],[cantidad]])</f>
        <v>55000</v>
      </c>
      <c r="S608">
        <f>ventas[[#This Row],[Total_Productos]]*ventas[[#This Row],[descuento_pct]]</f>
        <v>5500</v>
      </c>
      <c r="T608">
        <f>ventas[[#This Row],[Total_Productos]]-ventas[[#This Row],[Valor_descuento]]</f>
        <v>49500</v>
      </c>
    </row>
    <row r="609" spans="1:20" x14ac:dyDescent="0.3">
      <c r="A609">
        <v>685</v>
      </c>
      <c r="B609" s="1">
        <v>45612</v>
      </c>
      <c r="C609">
        <v>60</v>
      </c>
      <c r="D609">
        <v>1</v>
      </c>
      <c r="E609">
        <v>233</v>
      </c>
      <c r="F609" t="s">
        <v>570</v>
      </c>
      <c r="G609" t="s">
        <v>571</v>
      </c>
      <c r="H609" t="s">
        <v>42</v>
      </c>
      <c r="I609">
        <v>38</v>
      </c>
      <c r="J609" t="s">
        <v>37</v>
      </c>
      <c r="K609" t="str">
        <f>_xlfn.XLOOKUP( ventas[[#This Row],[ciudad_cliente]],  ciudades[Ciudad], ciudades[Region])</f>
        <v>Valparaíso</v>
      </c>
      <c r="L609" t="s">
        <v>29</v>
      </c>
      <c r="M609" t="s">
        <v>30</v>
      </c>
      <c r="N609" t="str">
        <f>_xlfn.XLOOKUP(ventas[[#This Row],[producto]], categ[Producto], categ[Categoria])</f>
        <v>Electrohogar</v>
      </c>
      <c r="O609">
        <v>700000</v>
      </c>
      <c r="P609">
        <v>1</v>
      </c>
      <c r="Q609" s="11">
        <v>0</v>
      </c>
      <c r="R609">
        <f>(ventas[[#This Row],[precio_unitario]]*ventas[[#This Row],[cantidad]])</f>
        <v>700000</v>
      </c>
      <c r="S609">
        <f>ventas[[#This Row],[Total_Productos]]*ventas[[#This Row],[descuento_pct]]</f>
        <v>0</v>
      </c>
      <c r="T609">
        <f>ventas[[#This Row],[Total_Productos]]-ventas[[#This Row],[Valor_descuento]]</f>
        <v>700000</v>
      </c>
    </row>
    <row r="610" spans="1:20" x14ac:dyDescent="0.3">
      <c r="A610">
        <v>758</v>
      </c>
      <c r="B610" s="1">
        <v>45685</v>
      </c>
      <c r="C610">
        <v>7</v>
      </c>
      <c r="D610">
        <v>8</v>
      </c>
      <c r="E610">
        <v>233</v>
      </c>
      <c r="F610" t="s">
        <v>570</v>
      </c>
      <c r="G610" t="s">
        <v>571</v>
      </c>
      <c r="H610" t="s">
        <v>42</v>
      </c>
      <c r="I610">
        <v>38</v>
      </c>
      <c r="J610" t="s">
        <v>37</v>
      </c>
      <c r="K610" t="str">
        <f>_xlfn.XLOOKUP( ventas[[#This Row],[ciudad_cliente]],  ciudades[Ciudad], ciudades[Region])</f>
        <v>Valparaíso</v>
      </c>
      <c r="L610" t="s">
        <v>22</v>
      </c>
      <c r="M610" t="s">
        <v>69</v>
      </c>
      <c r="N610" t="str">
        <f>_xlfn.XLOOKUP(ventas[[#This Row],[producto]], categ[Producto], categ[Categoria])</f>
        <v>Tecnología</v>
      </c>
      <c r="O610">
        <v>450000</v>
      </c>
      <c r="P610">
        <v>1</v>
      </c>
      <c r="Q610" s="11">
        <v>0.05</v>
      </c>
      <c r="R610">
        <f>(ventas[[#This Row],[precio_unitario]]*ventas[[#This Row],[cantidad]])</f>
        <v>450000</v>
      </c>
      <c r="S610">
        <f>ventas[[#This Row],[Total_Productos]]*ventas[[#This Row],[descuento_pct]]</f>
        <v>22500</v>
      </c>
      <c r="T610">
        <f>ventas[[#This Row],[Total_Productos]]-ventas[[#This Row],[Valor_descuento]]</f>
        <v>427500</v>
      </c>
    </row>
    <row r="611" spans="1:20" x14ac:dyDescent="0.3">
      <c r="A611">
        <v>295</v>
      </c>
      <c r="B611" s="1">
        <v>45222</v>
      </c>
      <c r="C611">
        <v>1</v>
      </c>
      <c r="D611">
        <v>8</v>
      </c>
      <c r="E611">
        <v>251</v>
      </c>
      <c r="F611" t="s">
        <v>432</v>
      </c>
      <c r="G611" t="s">
        <v>433</v>
      </c>
      <c r="H611" t="s">
        <v>19</v>
      </c>
      <c r="I611">
        <v>22</v>
      </c>
      <c r="J611" t="s">
        <v>34</v>
      </c>
      <c r="K611" t="str">
        <f>_xlfn.XLOOKUP( ventas[[#This Row],[ciudad_cliente]],  ciudades[Ciudad], ciudades[Region])</f>
        <v>Metropolitana</v>
      </c>
      <c r="L611" t="s">
        <v>29</v>
      </c>
      <c r="M611" t="s">
        <v>39</v>
      </c>
      <c r="N611" t="str">
        <f>_xlfn.XLOOKUP(ventas[[#This Row],[producto]], categ[Producto], categ[Categoria])</f>
        <v>Belleza</v>
      </c>
      <c r="O611">
        <v>35000</v>
      </c>
      <c r="P611">
        <v>2</v>
      </c>
      <c r="Q611" s="11">
        <v>0</v>
      </c>
      <c r="R611">
        <f>(ventas[[#This Row],[precio_unitario]]*ventas[[#This Row],[cantidad]])</f>
        <v>70000</v>
      </c>
      <c r="S611">
        <f>ventas[[#This Row],[Total_Productos]]*ventas[[#This Row],[descuento_pct]]</f>
        <v>0</v>
      </c>
      <c r="T611">
        <f>ventas[[#This Row],[Total_Productos]]-ventas[[#This Row],[Valor_descuento]]</f>
        <v>70000</v>
      </c>
    </row>
    <row r="612" spans="1:20" x14ac:dyDescent="0.3">
      <c r="A612">
        <v>507</v>
      </c>
      <c r="B612" s="1">
        <v>45434</v>
      </c>
      <c r="C612">
        <v>3</v>
      </c>
      <c r="D612">
        <v>1</v>
      </c>
      <c r="E612">
        <v>251</v>
      </c>
      <c r="F612" t="s">
        <v>432</v>
      </c>
      <c r="G612" t="s">
        <v>433</v>
      </c>
      <c r="H612" t="s">
        <v>19</v>
      </c>
      <c r="I612">
        <v>22</v>
      </c>
      <c r="J612" t="s">
        <v>37</v>
      </c>
      <c r="K612" t="str">
        <f>_xlfn.XLOOKUP( ventas[[#This Row],[ciudad_cliente]],  ciudades[Ciudad], ciudades[Region])</f>
        <v>Valparaíso</v>
      </c>
      <c r="L612" t="s">
        <v>38</v>
      </c>
      <c r="M612" t="s">
        <v>56</v>
      </c>
      <c r="N612" t="str">
        <f>_xlfn.XLOOKUP(ventas[[#This Row],[producto]], categ[Producto], categ[Categoria])</f>
        <v>Vestuario</v>
      </c>
      <c r="O612">
        <v>25000</v>
      </c>
      <c r="P612">
        <v>2</v>
      </c>
      <c r="Q612" s="11">
        <v>0</v>
      </c>
      <c r="R612">
        <f>(ventas[[#This Row],[precio_unitario]]*ventas[[#This Row],[cantidad]])</f>
        <v>50000</v>
      </c>
      <c r="S612">
        <f>ventas[[#This Row],[Total_Productos]]*ventas[[#This Row],[descuento_pct]]</f>
        <v>0</v>
      </c>
      <c r="T612">
        <f>ventas[[#This Row],[Total_Productos]]-ventas[[#This Row],[Valor_descuento]]</f>
        <v>50000</v>
      </c>
    </row>
    <row r="613" spans="1:20" x14ac:dyDescent="0.3">
      <c r="A613">
        <v>651</v>
      </c>
      <c r="B613" s="1">
        <v>45578</v>
      </c>
      <c r="C613">
        <v>46</v>
      </c>
      <c r="D613">
        <v>5</v>
      </c>
      <c r="E613">
        <v>251</v>
      </c>
      <c r="F613" t="s">
        <v>432</v>
      </c>
      <c r="G613" t="s">
        <v>433</v>
      </c>
      <c r="H613" t="s">
        <v>19</v>
      </c>
      <c r="I613">
        <v>22</v>
      </c>
      <c r="J613" t="s">
        <v>84</v>
      </c>
      <c r="K613" t="str">
        <f>_xlfn.XLOOKUP( ventas[[#This Row],[ciudad_cliente]],  ciudades[Ciudad], ciudades[Region])</f>
        <v>Coquimbo</v>
      </c>
      <c r="L613" t="s">
        <v>38</v>
      </c>
      <c r="M613" t="s">
        <v>30</v>
      </c>
      <c r="N613" t="str">
        <f>_xlfn.XLOOKUP(ventas[[#This Row],[producto]], categ[Producto], categ[Categoria])</f>
        <v>Electrohogar</v>
      </c>
      <c r="O613">
        <v>700000</v>
      </c>
      <c r="P613">
        <v>1</v>
      </c>
      <c r="Q613" s="11">
        <v>0</v>
      </c>
      <c r="R613">
        <f>(ventas[[#This Row],[precio_unitario]]*ventas[[#This Row],[cantidad]])</f>
        <v>700000</v>
      </c>
      <c r="S613">
        <f>ventas[[#This Row],[Total_Productos]]*ventas[[#This Row],[descuento_pct]]</f>
        <v>0</v>
      </c>
      <c r="T613">
        <f>ventas[[#This Row],[Total_Productos]]-ventas[[#This Row],[Valor_descuento]]</f>
        <v>700000</v>
      </c>
    </row>
    <row r="614" spans="1:20" x14ac:dyDescent="0.3">
      <c r="A614">
        <v>981</v>
      </c>
      <c r="B614" s="1">
        <v>45908</v>
      </c>
      <c r="C614">
        <v>20</v>
      </c>
      <c r="D614">
        <v>0</v>
      </c>
      <c r="E614">
        <v>251</v>
      </c>
      <c r="F614" t="s">
        <v>432</v>
      </c>
      <c r="G614" t="s">
        <v>433</v>
      </c>
      <c r="H614" t="s">
        <v>19</v>
      </c>
      <c r="I614">
        <v>22</v>
      </c>
      <c r="J614" t="s">
        <v>20</v>
      </c>
      <c r="K614" t="str">
        <f>_xlfn.XLOOKUP( ventas[[#This Row],[ciudad_cliente]],  ciudades[Ciudad], ciudades[Region])</f>
        <v>La Araucanía</v>
      </c>
      <c r="L614" t="s">
        <v>38</v>
      </c>
      <c r="M614" t="s">
        <v>56</v>
      </c>
      <c r="N614" t="str">
        <f>_xlfn.XLOOKUP(ventas[[#This Row],[producto]], categ[Producto], categ[Categoria])</f>
        <v>Vestuario</v>
      </c>
      <c r="O614">
        <v>25000</v>
      </c>
      <c r="P614">
        <v>1</v>
      </c>
      <c r="Q614" s="11">
        <v>0.1</v>
      </c>
      <c r="R614">
        <f>(ventas[[#This Row],[precio_unitario]]*ventas[[#This Row],[cantidad]])</f>
        <v>25000</v>
      </c>
      <c r="S614">
        <f>ventas[[#This Row],[Total_Productos]]*ventas[[#This Row],[descuento_pct]]</f>
        <v>2500</v>
      </c>
      <c r="T614">
        <f>ventas[[#This Row],[Total_Productos]]-ventas[[#This Row],[Valor_descuento]]</f>
        <v>22500</v>
      </c>
    </row>
    <row r="615" spans="1:20" x14ac:dyDescent="0.3">
      <c r="A615">
        <v>197</v>
      </c>
      <c r="B615" s="1">
        <v>45124</v>
      </c>
      <c r="C615">
        <v>35</v>
      </c>
      <c r="D615">
        <v>1</v>
      </c>
      <c r="E615">
        <v>253</v>
      </c>
      <c r="F615" t="s">
        <v>352</v>
      </c>
      <c r="G615" t="s">
        <v>353</v>
      </c>
      <c r="H615" t="s">
        <v>19</v>
      </c>
      <c r="I615">
        <v>18</v>
      </c>
      <c r="J615" t="s">
        <v>43</v>
      </c>
      <c r="K615" t="str">
        <f>_xlfn.XLOOKUP( ventas[[#This Row],[ciudad_cliente]],  ciudades[Ciudad], ciudades[Region])</f>
        <v>Antofagasta</v>
      </c>
      <c r="L615" t="s">
        <v>22</v>
      </c>
      <c r="M615" t="s">
        <v>102</v>
      </c>
      <c r="N615" t="str">
        <f>_xlfn.XLOOKUP(ventas[[#This Row],[producto]], categ[Producto], categ[Categoria])</f>
        <v>Vestuario</v>
      </c>
      <c r="O615">
        <v>12000</v>
      </c>
      <c r="P615">
        <v>1</v>
      </c>
      <c r="Q615" s="11">
        <v>0.05</v>
      </c>
      <c r="R615">
        <f>(ventas[[#This Row],[precio_unitario]]*ventas[[#This Row],[cantidad]])</f>
        <v>12000</v>
      </c>
      <c r="S615">
        <f>ventas[[#This Row],[Total_Productos]]*ventas[[#This Row],[descuento_pct]]</f>
        <v>600</v>
      </c>
      <c r="T615">
        <f>ventas[[#This Row],[Total_Productos]]-ventas[[#This Row],[Valor_descuento]]</f>
        <v>11400</v>
      </c>
    </row>
    <row r="616" spans="1:20" x14ac:dyDescent="0.3">
      <c r="A616">
        <v>587</v>
      </c>
      <c r="B616" s="1">
        <v>45514</v>
      </c>
      <c r="C616">
        <v>52</v>
      </c>
      <c r="D616">
        <v>0</v>
      </c>
      <c r="E616">
        <v>253</v>
      </c>
      <c r="F616" t="s">
        <v>352</v>
      </c>
      <c r="G616" t="s">
        <v>353</v>
      </c>
      <c r="H616" t="s">
        <v>19</v>
      </c>
      <c r="I616">
        <v>18</v>
      </c>
      <c r="J616" t="s">
        <v>27</v>
      </c>
      <c r="K616" t="str">
        <f>_xlfn.XLOOKUP( ventas[[#This Row],[ciudad_cliente]],  ciudades[Ciudad], ciudades[Region])</f>
        <v>Biobío</v>
      </c>
      <c r="L616" t="s">
        <v>29</v>
      </c>
      <c r="M616" t="s">
        <v>62</v>
      </c>
      <c r="N616" t="str">
        <f>_xlfn.XLOOKUP(ventas[[#This Row],[producto]], categ[Producto], categ[Categoria])</f>
        <v>Electrohogar</v>
      </c>
      <c r="O616">
        <v>650000</v>
      </c>
      <c r="P616">
        <v>3</v>
      </c>
      <c r="Q616" s="11">
        <v>0</v>
      </c>
      <c r="R616">
        <f>(ventas[[#This Row],[precio_unitario]]*ventas[[#This Row],[cantidad]])</f>
        <v>1950000</v>
      </c>
      <c r="S616">
        <f>ventas[[#This Row],[Total_Productos]]*ventas[[#This Row],[descuento_pct]]</f>
        <v>0</v>
      </c>
      <c r="T616">
        <f>ventas[[#This Row],[Total_Productos]]-ventas[[#This Row],[Valor_descuento]]</f>
        <v>1950000</v>
      </c>
    </row>
    <row r="617" spans="1:20" x14ac:dyDescent="0.3">
      <c r="A617">
        <v>996</v>
      </c>
      <c r="B617" s="1">
        <v>45923</v>
      </c>
      <c r="C617">
        <v>8</v>
      </c>
      <c r="D617">
        <v>1</v>
      </c>
      <c r="E617">
        <v>253</v>
      </c>
      <c r="F617" t="s">
        <v>352</v>
      </c>
      <c r="G617" t="s">
        <v>353</v>
      </c>
      <c r="H617" t="s">
        <v>19</v>
      </c>
      <c r="I617">
        <v>18</v>
      </c>
      <c r="J617" t="s">
        <v>76</v>
      </c>
      <c r="K617" t="str">
        <f>_xlfn.XLOOKUP( ventas[[#This Row],[ciudad_cliente]],  ciudades[Ciudad], ciudades[Region])</f>
        <v>Los Lagos</v>
      </c>
      <c r="L617" t="s">
        <v>22</v>
      </c>
      <c r="M617" t="s">
        <v>39</v>
      </c>
      <c r="N617" t="str">
        <f>_xlfn.XLOOKUP(ventas[[#This Row],[producto]], categ[Producto], categ[Categoria])</f>
        <v>Belleza</v>
      </c>
      <c r="O617">
        <v>35000</v>
      </c>
      <c r="P617">
        <v>2</v>
      </c>
      <c r="Q617" s="11">
        <v>0</v>
      </c>
      <c r="R617">
        <f>(ventas[[#This Row],[precio_unitario]]*ventas[[#This Row],[cantidad]])</f>
        <v>70000</v>
      </c>
      <c r="S617">
        <f>ventas[[#This Row],[Total_Productos]]*ventas[[#This Row],[descuento_pct]]</f>
        <v>0</v>
      </c>
      <c r="T617">
        <f>ventas[[#This Row],[Total_Productos]]-ventas[[#This Row],[Valor_descuento]]</f>
        <v>70000</v>
      </c>
    </row>
    <row r="618" spans="1:20" x14ac:dyDescent="0.3">
      <c r="A618">
        <v>126</v>
      </c>
      <c r="B618" s="1">
        <v>45053</v>
      </c>
      <c r="C618">
        <v>31</v>
      </c>
      <c r="D618">
        <v>4</v>
      </c>
      <c r="E618">
        <v>72</v>
      </c>
      <c r="F618" t="s">
        <v>263</v>
      </c>
      <c r="G618" t="s">
        <v>264</v>
      </c>
      <c r="H618" t="s">
        <v>19</v>
      </c>
      <c r="I618">
        <v>56</v>
      </c>
      <c r="J618" t="s">
        <v>101</v>
      </c>
      <c r="K618" t="str">
        <f>_xlfn.XLOOKUP( ventas[[#This Row],[ciudad_cliente]],  ciudades[Ciudad], ciudades[Region])</f>
        <v>O'Higgins</v>
      </c>
      <c r="L618" t="s">
        <v>22</v>
      </c>
      <c r="M618" t="s">
        <v>49</v>
      </c>
      <c r="N618" t="str">
        <f>_xlfn.XLOOKUP(ventas[[#This Row],[producto]], categ[Producto], categ[Categoria])</f>
        <v>Electrohogar</v>
      </c>
      <c r="O618">
        <v>800000</v>
      </c>
      <c r="P618">
        <v>2</v>
      </c>
      <c r="Q618" s="11">
        <v>0.1</v>
      </c>
      <c r="R618">
        <f>(ventas[[#This Row],[precio_unitario]]*ventas[[#This Row],[cantidad]])</f>
        <v>1600000</v>
      </c>
      <c r="S618">
        <f>ventas[[#This Row],[Total_Productos]]*ventas[[#This Row],[descuento_pct]]</f>
        <v>160000</v>
      </c>
      <c r="T618">
        <f>ventas[[#This Row],[Total_Productos]]-ventas[[#This Row],[Valor_descuento]]</f>
        <v>1440000</v>
      </c>
    </row>
    <row r="619" spans="1:20" x14ac:dyDescent="0.3">
      <c r="A619">
        <v>228</v>
      </c>
      <c r="B619" s="1">
        <v>45155</v>
      </c>
      <c r="C619">
        <v>4</v>
      </c>
      <c r="D619">
        <v>3</v>
      </c>
      <c r="E619">
        <v>72</v>
      </c>
      <c r="F619" t="s">
        <v>263</v>
      </c>
      <c r="G619" t="s">
        <v>264</v>
      </c>
      <c r="H619" t="s">
        <v>19</v>
      </c>
      <c r="I619">
        <v>56</v>
      </c>
      <c r="J619" t="s">
        <v>52</v>
      </c>
      <c r="K619" t="str">
        <f>_xlfn.XLOOKUP( ventas[[#This Row],[ciudad_cliente]],  ciudades[Ciudad], ciudades[Region])</f>
        <v>Biobío</v>
      </c>
      <c r="L619" t="s">
        <v>29</v>
      </c>
      <c r="M619" t="s">
        <v>69</v>
      </c>
      <c r="N619" t="str">
        <f>_xlfn.XLOOKUP(ventas[[#This Row],[producto]], categ[Producto], categ[Categoria])</f>
        <v>Tecnología</v>
      </c>
      <c r="O619">
        <v>450000</v>
      </c>
      <c r="P619">
        <v>1</v>
      </c>
      <c r="Q619" s="11">
        <v>0</v>
      </c>
      <c r="R619">
        <f>(ventas[[#This Row],[precio_unitario]]*ventas[[#This Row],[cantidad]])</f>
        <v>450000</v>
      </c>
      <c r="S619">
        <f>ventas[[#This Row],[Total_Productos]]*ventas[[#This Row],[descuento_pct]]</f>
        <v>0</v>
      </c>
      <c r="T619">
        <f>ventas[[#This Row],[Total_Productos]]-ventas[[#This Row],[Valor_descuento]]</f>
        <v>450000</v>
      </c>
    </row>
    <row r="620" spans="1:20" x14ac:dyDescent="0.3">
      <c r="A620">
        <v>402</v>
      </c>
      <c r="B620" s="1">
        <v>45329</v>
      </c>
      <c r="C620">
        <v>4</v>
      </c>
      <c r="D620">
        <v>3</v>
      </c>
      <c r="E620">
        <v>72</v>
      </c>
      <c r="F620" t="s">
        <v>263</v>
      </c>
      <c r="G620" t="s">
        <v>264</v>
      </c>
      <c r="H620" t="s">
        <v>19</v>
      </c>
      <c r="I620">
        <v>56</v>
      </c>
      <c r="J620" t="s">
        <v>52</v>
      </c>
      <c r="K620" t="str">
        <f>_xlfn.XLOOKUP( ventas[[#This Row],[ciudad_cliente]],  ciudades[Ciudad], ciudades[Region])</f>
        <v>Biobío</v>
      </c>
      <c r="L620" t="s">
        <v>38</v>
      </c>
      <c r="M620" t="s">
        <v>56</v>
      </c>
      <c r="N620" t="str">
        <f>_xlfn.XLOOKUP(ventas[[#This Row],[producto]], categ[Producto], categ[Categoria])</f>
        <v>Vestuario</v>
      </c>
      <c r="O620">
        <v>25000</v>
      </c>
      <c r="P620">
        <v>3</v>
      </c>
      <c r="Q620" s="11">
        <v>0.1</v>
      </c>
      <c r="R620">
        <f>(ventas[[#This Row],[precio_unitario]]*ventas[[#This Row],[cantidad]])</f>
        <v>75000</v>
      </c>
      <c r="S620">
        <f>ventas[[#This Row],[Total_Productos]]*ventas[[#This Row],[descuento_pct]]</f>
        <v>7500</v>
      </c>
      <c r="T620">
        <f>ventas[[#This Row],[Total_Productos]]-ventas[[#This Row],[Valor_descuento]]</f>
        <v>67500</v>
      </c>
    </row>
    <row r="621" spans="1:20" x14ac:dyDescent="0.3">
      <c r="A621">
        <v>698</v>
      </c>
      <c r="B621" s="1">
        <v>45625</v>
      </c>
      <c r="C621">
        <v>8</v>
      </c>
      <c r="D621">
        <v>1</v>
      </c>
      <c r="E621">
        <v>72</v>
      </c>
      <c r="F621" t="s">
        <v>263</v>
      </c>
      <c r="G621" t="s">
        <v>264</v>
      </c>
      <c r="H621" t="s">
        <v>19</v>
      </c>
      <c r="I621">
        <v>56</v>
      </c>
      <c r="J621" t="s">
        <v>76</v>
      </c>
      <c r="K621" t="str">
        <f>_xlfn.XLOOKUP( ventas[[#This Row],[ciudad_cliente]],  ciudades[Ciudad], ciudades[Region])</f>
        <v>Los Lagos</v>
      </c>
      <c r="L621" t="s">
        <v>29</v>
      </c>
      <c r="M621" t="s">
        <v>69</v>
      </c>
      <c r="N621" t="str">
        <f>_xlfn.XLOOKUP(ventas[[#This Row],[producto]], categ[Producto], categ[Categoria])</f>
        <v>Tecnología</v>
      </c>
      <c r="O621">
        <v>450000</v>
      </c>
      <c r="P621">
        <v>3</v>
      </c>
      <c r="Q621" s="11">
        <v>0</v>
      </c>
      <c r="R621">
        <f>(ventas[[#This Row],[precio_unitario]]*ventas[[#This Row],[cantidad]])</f>
        <v>1350000</v>
      </c>
      <c r="S621">
        <f>ventas[[#This Row],[Total_Productos]]*ventas[[#This Row],[descuento_pct]]</f>
        <v>0</v>
      </c>
      <c r="T621">
        <f>ventas[[#This Row],[Total_Productos]]-ventas[[#This Row],[Valor_descuento]]</f>
        <v>1350000</v>
      </c>
    </row>
    <row r="622" spans="1:20" x14ac:dyDescent="0.3">
      <c r="A622">
        <v>227</v>
      </c>
      <c r="B622" s="1">
        <v>45154</v>
      </c>
      <c r="C622">
        <v>49</v>
      </c>
      <c r="D622">
        <v>1</v>
      </c>
      <c r="E622">
        <v>187</v>
      </c>
      <c r="F622" t="s">
        <v>378</v>
      </c>
      <c r="G622" t="s">
        <v>379</v>
      </c>
      <c r="H622" t="s">
        <v>42</v>
      </c>
      <c r="I622">
        <v>43</v>
      </c>
      <c r="J622" t="s">
        <v>43</v>
      </c>
      <c r="K622" t="str">
        <f>_xlfn.XLOOKUP( ventas[[#This Row],[ciudad_cliente]],  ciudades[Ciudad], ciudades[Region])</f>
        <v>Antofagasta</v>
      </c>
      <c r="L622" t="s">
        <v>38</v>
      </c>
      <c r="M622" t="s">
        <v>49</v>
      </c>
      <c r="N622" t="str">
        <f>_xlfn.XLOOKUP(ventas[[#This Row],[producto]], categ[Producto], categ[Categoria])</f>
        <v>Electrohogar</v>
      </c>
      <c r="O622">
        <v>800000</v>
      </c>
      <c r="P622">
        <v>3</v>
      </c>
      <c r="Q622" s="11">
        <v>0</v>
      </c>
      <c r="R622">
        <f>(ventas[[#This Row],[precio_unitario]]*ventas[[#This Row],[cantidad]])</f>
        <v>2400000</v>
      </c>
      <c r="S622">
        <f>ventas[[#This Row],[Total_Productos]]*ventas[[#This Row],[descuento_pct]]</f>
        <v>0</v>
      </c>
      <c r="T622">
        <f>ventas[[#This Row],[Total_Productos]]-ventas[[#This Row],[Valor_descuento]]</f>
        <v>2400000</v>
      </c>
    </row>
    <row r="623" spans="1:20" x14ac:dyDescent="0.3">
      <c r="A623">
        <v>275</v>
      </c>
      <c r="B623" s="1">
        <v>45202</v>
      </c>
      <c r="C623">
        <v>24</v>
      </c>
      <c r="D623">
        <v>3</v>
      </c>
      <c r="E623">
        <v>119</v>
      </c>
      <c r="F623" t="s">
        <v>418</v>
      </c>
      <c r="G623" t="s">
        <v>419</v>
      </c>
      <c r="H623" t="s">
        <v>19</v>
      </c>
      <c r="I623">
        <v>51</v>
      </c>
      <c r="J623" t="s">
        <v>84</v>
      </c>
      <c r="K623" t="str">
        <f>_xlfn.XLOOKUP( ventas[[#This Row],[ciudad_cliente]],  ciudades[Ciudad], ciudades[Region])</f>
        <v>Coquimbo</v>
      </c>
      <c r="L623" t="s">
        <v>38</v>
      </c>
      <c r="M623" t="s">
        <v>62</v>
      </c>
      <c r="N623" t="str">
        <f>_xlfn.XLOOKUP(ventas[[#This Row],[producto]], categ[Producto], categ[Categoria])</f>
        <v>Electrohogar</v>
      </c>
      <c r="O623">
        <v>650000</v>
      </c>
      <c r="P623">
        <v>1</v>
      </c>
      <c r="Q623" s="11">
        <v>0.1</v>
      </c>
      <c r="R623">
        <f>(ventas[[#This Row],[precio_unitario]]*ventas[[#This Row],[cantidad]])</f>
        <v>650000</v>
      </c>
      <c r="S623">
        <f>ventas[[#This Row],[Total_Productos]]*ventas[[#This Row],[descuento_pct]]</f>
        <v>65000</v>
      </c>
      <c r="T623">
        <f>ventas[[#This Row],[Total_Productos]]-ventas[[#This Row],[Valor_descuento]]</f>
        <v>585000</v>
      </c>
    </row>
    <row r="624" spans="1:20" x14ac:dyDescent="0.3">
      <c r="A624">
        <v>416</v>
      </c>
      <c r="B624" s="1">
        <v>45343</v>
      </c>
      <c r="C624">
        <v>50</v>
      </c>
      <c r="D624">
        <v>0</v>
      </c>
      <c r="E624">
        <v>119</v>
      </c>
      <c r="F624" t="s">
        <v>418</v>
      </c>
      <c r="G624" t="s">
        <v>419</v>
      </c>
      <c r="H624" t="s">
        <v>19</v>
      </c>
      <c r="I624">
        <v>51</v>
      </c>
      <c r="J624" t="s">
        <v>20</v>
      </c>
      <c r="K624" t="str">
        <f>_xlfn.XLOOKUP( ventas[[#This Row],[ciudad_cliente]],  ciudades[Ciudad], ciudades[Region])</f>
        <v>La Araucanía</v>
      </c>
      <c r="L624" t="s">
        <v>38</v>
      </c>
      <c r="M624" t="s">
        <v>69</v>
      </c>
      <c r="N624" t="str">
        <f>_xlfn.XLOOKUP(ventas[[#This Row],[producto]], categ[Producto], categ[Categoria])</f>
        <v>Tecnología</v>
      </c>
      <c r="O624">
        <v>450000</v>
      </c>
      <c r="P624">
        <v>2</v>
      </c>
      <c r="Q624" s="11">
        <v>0.1</v>
      </c>
      <c r="R624">
        <f>(ventas[[#This Row],[precio_unitario]]*ventas[[#This Row],[cantidad]])</f>
        <v>900000</v>
      </c>
      <c r="S624">
        <f>ventas[[#This Row],[Total_Productos]]*ventas[[#This Row],[descuento_pct]]</f>
        <v>90000</v>
      </c>
      <c r="T624">
        <f>ventas[[#This Row],[Total_Productos]]-ventas[[#This Row],[Valor_descuento]]</f>
        <v>810000</v>
      </c>
    </row>
    <row r="625" spans="1:20" x14ac:dyDescent="0.3">
      <c r="A625">
        <v>725</v>
      </c>
      <c r="B625" s="1">
        <v>45652</v>
      </c>
      <c r="C625">
        <v>30</v>
      </c>
      <c r="D625">
        <v>0</v>
      </c>
      <c r="E625">
        <v>119</v>
      </c>
      <c r="F625" t="s">
        <v>418</v>
      </c>
      <c r="G625" t="s">
        <v>419</v>
      </c>
      <c r="H625" t="s">
        <v>19</v>
      </c>
      <c r="I625">
        <v>51</v>
      </c>
      <c r="J625" t="s">
        <v>37</v>
      </c>
      <c r="K625" t="str">
        <f>_xlfn.XLOOKUP( ventas[[#This Row],[ciudad_cliente]],  ciudades[Ciudad], ciudades[Region])</f>
        <v>Valparaíso</v>
      </c>
      <c r="L625" t="s">
        <v>38</v>
      </c>
      <c r="M625" t="s">
        <v>46</v>
      </c>
      <c r="N625" t="str">
        <f>_xlfn.XLOOKUP(ventas[[#This Row],[producto]], categ[Producto], categ[Categoria])</f>
        <v>Tecnología</v>
      </c>
      <c r="O625">
        <v>750000</v>
      </c>
      <c r="P625">
        <v>1</v>
      </c>
      <c r="Q625" s="11">
        <v>0</v>
      </c>
      <c r="R625">
        <f>(ventas[[#This Row],[precio_unitario]]*ventas[[#This Row],[cantidad]])</f>
        <v>750000</v>
      </c>
      <c r="S625">
        <f>ventas[[#This Row],[Total_Productos]]*ventas[[#This Row],[descuento_pct]]</f>
        <v>0</v>
      </c>
      <c r="T625">
        <f>ventas[[#This Row],[Total_Productos]]-ventas[[#This Row],[Valor_descuento]]</f>
        <v>750000</v>
      </c>
    </row>
    <row r="626" spans="1:20" x14ac:dyDescent="0.3">
      <c r="A626">
        <v>751</v>
      </c>
      <c r="B626" s="1">
        <v>45678</v>
      </c>
      <c r="C626">
        <v>19</v>
      </c>
      <c r="D626">
        <v>5</v>
      </c>
      <c r="E626">
        <v>24</v>
      </c>
      <c r="F626" t="s">
        <v>580</v>
      </c>
      <c r="G626" t="s">
        <v>581</v>
      </c>
      <c r="H626" t="s">
        <v>42</v>
      </c>
      <c r="I626">
        <v>20</v>
      </c>
      <c r="J626" t="s">
        <v>20</v>
      </c>
      <c r="K626" t="str">
        <f>_xlfn.XLOOKUP( ventas[[#This Row],[ciudad_cliente]],  ciudades[Ciudad], ciudades[Region])</f>
        <v>La Araucanía</v>
      </c>
      <c r="L626" t="s">
        <v>38</v>
      </c>
      <c r="M626" t="s">
        <v>56</v>
      </c>
      <c r="N626" t="str">
        <f>_xlfn.XLOOKUP(ventas[[#This Row],[producto]], categ[Producto], categ[Categoria])</f>
        <v>Vestuario</v>
      </c>
      <c r="O626">
        <v>25000</v>
      </c>
      <c r="P626">
        <v>3</v>
      </c>
      <c r="Q626" s="11">
        <v>0.05</v>
      </c>
      <c r="R626">
        <f>(ventas[[#This Row],[precio_unitario]]*ventas[[#This Row],[cantidad]])</f>
        <v>75000</v>
      </c>
      <c r="S626">
        <f>ventas[[#This Row],[Total_Productos]]*ventas[[#This Row],[descuento_pct]]</f>
        <v>3750</v>
      </c>
      <c r="T626">
        <f>ventas[[#This Row],[Total_Productos]]-ventas[[#This Row],[Valor_descuento]]</f>
        <v>71250</v>
      </c>
    </row>
    <row r="627" spans="1:20" x14ac:dyDescent="0.3">
      <c r="A627">
        <v>927</v>
      </c>
      <c r="B627" s="1">
        <v>45854</v>
      </c>
      <c r="C627">
        <v>20</v>
      </c>
      <c r="D627">
        <v>0</v>
      </c>
      <c r="E627">
        <v>24</v>
      </c>
      <c r="F627" t="s">
        <v>580</v>
      </c>
      <c r="G627" t="s">
        <v>581</v>
      </c>
      <c r="H627" t="s">
        <v>42</v>
      </c>
      <c r="I627">
        <v>20</v>
      </c>
      <c r="J627" t="s">
        <v>20</v>
      </c>
      <c r="K627" t="str">
        <f>_xlfn.XLOOKUP( ventas[[#This Row],[ciudad_cliente]],  ciudades[Ciudad], ciudades[Region])</f>
        <v>La Araucanía</v>
      </c>
      <c r="L627" t="s">
        <v>22</v>
      </c>
      <c r="M627" t="s">
        <v>56</v>
      </c>
      <c r="N627" t="str">
        <f>_xlfn.XLOOKUP(ventas[[#This Row],[producto]], categ[Producto], categ[Categoria])</f>
        <v>Vestuario</v>
      </c>
      <c r="O627">
        <v>25000</v>
      </c>
      <c r="P627">
        <v>2</v>
      </c>
      <c r="Q627" s="11">
        <v>0.05</v>
      </c>
      <c r="R627">
        <f>(ventas[[#This Row],[precio_unitario]]*ventas[[#This Row],[cantidad]])</f>
        <v>50000</v>
      </c>
      <c r="S627">
        <f>ventas[[#This Row],[Total_Productos]]*ventas[[#This Row],[descuento_pct]]</f>
        <v>2500</v>
      </c>
      <c r="T627">
        <f>ventas[[#This Row],[Total_Productos]]-ventas[[#This Row],[Valor_descuento]]</f>
        <v>47500</v>
      </c>
    </row>
    <row r="628" spans="1:20" x14ac:dyDescent="0.3">
      <c r="A628">
        <v>883</v>
      </c>
      <c r="B628" s="1">
        <v>45810</v>
      </c>
      <c r="C628">
        <v>13</v>
      </c>
      <c r="D628">
        <v>0</v>
      </c>
      <c r="E628">
        <v>154</v>
      </c>
      <c r="F628" t="s">
        <v>596</v>
      </c>
      <c r="G628" t="s">
        <v>597</v>
      </c>
      <c r="H628" t="s">
        <v>19</v>
      </c>
      <c r="I628">
        <v>40</v>
      </c>
      <c r="J628" t="s">
        <v>27</v>
      </c>
      <c r="K628" t="str">
        <f>_xlfn.XLOOKUP( ventas[[#This Row],[ciudad_cliente]],  ciudades[Ciudad], ciudades[Region])</f>
        <v>Biobío</v>
      </c>
      <c r="L628" t="s">
        <v>22</v>
      </c>
      <c r="M628" t="s">
        <v>102</v>
      </c>
      <c r="N628" t="str">
        <f>_xlfn.XLOOKUP(ventas[[#This Row],[producto]], categ[Producto], categ[Categoria])</f>
        <v>Vestuario</v>
      </c>
      <c r="O628">
        <v>12000</v>
      </c>
      <c r="P628">
        <v>2</v>
      </c>
      <c r="Q628" s="11">
        <v>0.1</v>
      </c>
      <c r="R628">
        <f>(ventas[[#This Row],[precio_unitario]]*ventas[[#This Row],[cantidad]])</f>
        <v>24000</v>
      </c>
      <c r="S628">
        <f>ventas[[#This Row],[Total_Productos]]*ventas[[#This Row],[descuento_pct]]</f>
        <v>2400</v>
      </c>
      <c r="T628">
        <f>ventas[[#This Row],[Total_Productos]]-ventas[[#This Row],[Valor_descuento]]</f>
        <v>21600</v>
      </c>
    </row>
    <row r="629" spans="1:20" x14ac:dyDescent="0.3">
      <c r="A629">
        <v>993</v>
      </c>
      <c r="B629" s="1">
        <v>45920</v>
      </c>
      <c r="C629">
        <v>30</v>
      </c>
      <c r="D629">
        <v>0</v>
      </c>
      <c r="E629">
        <v>154</v>
      </c>
      <c r="F629" t="s">
        <v>596</v>
      </c>
      <c r="G629" t="s">
        <v>597</v>
      </c>
      <c r="H629" t="s">
        <v>19</v>
      </c>
      <c r="I629">
        <v>40</v>
      </c>
      <c r="J629" t="s">
        <v>37</v>
      </c>
      <c r="K629" t="str">
        <f>_xlfn.XLOOKUP( ventas[[#This Row],[ciudad_cliente]],  ciudades[Ciudad], ciudades[Region])</f>
        <v>Valparaíso</v>
      </c>
      <c r="L629" t="s">
        <v>29</v>
      </c>
      <c r="M629" t="s">
        <v>56</v>
      </c>
      <c r="N629" t="str">
        <f>_xlfn.XLOOKUP(ventas[[#This Row],[producto]], categ[Producto], categ[Categoria])</f>
        <v>Vestuario</v>
      </c>
      <c r="O629">
        <v>25000</v>
      </c>
      <c r="P629">
        <v>1</v>
      </c>
      <c r="Q629" s="11">
        <v>0</v>
      </c>
      <c r="R629">
        <f>(ventas[[#This Row],[precio_unitario]]*ventas[[#This Row],[cantidad]])</f>
        <v>25000</v>
      </c>
      <c r="S629">
        <f>ventas[[#This Row],[Total_Productos]]*ventas[[#This Row],[descuento_pct]]</f>
        <v>0</v>
      </c>
      <c r="T629">
        <f>ventas[[#This Row],[Total_Productos]]-ventas[[#This Row],[Valor_descuento]]</f>
        <v>25000</v>
      </c>
    </row>
    <row r="630" spans="1:20" x14ac:dyDescent="0.3">
      <c r="A630">
        <v>342</v>
      </c>
      <c r="B630" s="1">
        <v>45269</v>
      </c>
      <c r="C630">
        <v>53</v>
      </c>
      <c r="D630">
        <v>1</v>
      </c>
      <c r="E630">
        <v>270</v>
      </c>
      <c r="F630" t="s">
        <v>468</v>
      </c>
      <c r="G630" t="s">
        <v>469</v>
      </c>
      <c r="H630" t="s">
        <v>19</v>
      </c>
      <c r="I630">
        <v>39</v>
      </c>
      <c r="J630" t="s">
        <v>76</v>
      </c>
      <c r="K630" t="str">
        <f>_xlfn.XLOOKUP( ventas[[#This Row],[ciudad_cliente]],  ciudades[Ciudad], ciudades[Region])</f>
        <v>Los Lagos</v>
      </c>
      <c r="L630" t="s">
        <v>38</v>
      </c>
      <c r="M630" t="s">
        <v>30</v>
      </c>
      <c r="N630" t="str">
        <f>_xlfn.XLOOKUP(ventas[[#This Row],[producto]], categ[Producto], categ[Categoria])</f>
        <v>Electrohogar</v>
      </c>
      <c r="O630">
        <v>700000</v>
      </c>
      <c r="P630">
        <v>3</v>
      </c>
      <c r="Q630" s="11">
        <v>0</v>
      </c>
      <c r="R630">
        <f>(ventas[[#This Row],[precio_unitario]]*ventas[[#This Row],[cantidad]])</f>
        <v>2100000</v>
      </c>
      <c r="S630">
        <f>ventas[[#This Row],[Total_Productos]]*ventas[[#This Row],[descuento_pct]]</f>
        <v>0</v>
      </c>
      <c r="T630">
        <f>ventas[[#This Row],[Total_Productos]]-ventas[[#This Row],[Valor_descuento]]</f>
        <v>2100000</v>
      </c>
    </row>
    <row r="631" spans="1:20" x14ac:dyDescent="0.3">
      <c r="A631">
        <v>380</v>
      </c>
      <c r="B631" s="1">
        <v>45307</v>
      </c>
      <c r="C631">
        <v>68</v>
      </c>
      <c r="D631">
        <v>2</v>
      </c>
      <c r="E631">
        <v>270</v>
      </c>
      <c r="F631" t="s">
        <v>468</v>
      </c>
      <c r="G631" t="s">
        <v>469</v>
      </c>
      <c r="H631" t="s">
        <v>19</v>
      </c>
      <c r="I631">
        <v>39</v>
      </c>
      <c r="J631" t="s">
        <v>34</v>
      </c>
      <c r="K631" t="str">
        <f>_xlfn.XLOOKUP( ventas[[#This Row],[ciudad_cliente]],  ciudades[Ciudad], ciudades[Region])</f>
        <v>Metropolitana</v>
      </c>
      <c r="L631" t="s">
        <v>38</v>
      </c>
      <c r="M631" t="s">
        <v>23</v>
      </c>
      <c r="N631" t="str">
        <f>_xlfn.XLOOKUP(ventas[[#This Row],[producto]], categ[Producto], categ[Categoria])</f>
        <v>Belleza</v>
      </c>
      <c r="O631">
        <v>15000</v>
      </c>
      <c r="P631">
        <v>2</v>
      </c>
      <c r="Q631" s="11">
        <v>0</v>
      </c>
      <c r="R631">
        <f>(ventas[[#This Row],[precio_unitario]]*ventas[[#This Row],[cantidad]])</f>
        <v>30000</v>
      </c>
      <c r="S631">
        <f>ventas[[#This Row],[Total_Productos]]*ventas[[#This Row],[descuento_pct]]</f>
        <v>0</v>
      </c>
      <c r="T631">
        <f>ventas[[#This Row],[Total_Productos]]-ventas[[#This Row],[Valor_descuento]]</f>
        <v>30000</v>
      </c>
    </row>
    <row r="632" spans="1:20" x14ac:dyDescent="0.3">
      <c r="A632">
        <v>417</v>
      </c>
      <c r="B632" s="1">
        <v>45344</v>
      </c>
      <c r="C632">
        <v>27</v>
      </c>
      <c r="D632">
        <v>4</v>
      </c>
      <c r="E632">
        <v>270</v>
      </c>
      <c r="F632" t="s">
        <v>468</v>
      </c>
      <c r="G632" t="s">
        <v>469</v>
      </c>
      <c r="H632" t="s">
        <v>19</v>
      </c>
      <c r="I632">
        <v>39</v>
      </c>
      <c r="J632" t="s">
        <v>116</v>
      </c>
      <c r="K632" t="str">
        <f>_xlfn.XLOOKUP( ventas[[#This Row],[ciudad_cliente]],  ciudades[Ciudad], ciudades[Region])</f>
        <v>Valparaíso</v>
      </c>
      <c r="L632" t="s">
        <v>29</v>
      </c>
      <c r="M632" t="s">
        <v>46</v>
      </c>
      <c r="N632" t="str">
        <f>_xlfn.XLOOKUP(ventas[[#This Row],[producto]], categ[Producto], categ[Categoria])</f>
        <v>Tecnología</v>
      </c>
      <c r="O632">
        <v>750000</v>
      </c>
      <c r="P632">
        <v>3</v>
      </c>
      <c r="Q632" s="11">
        <v>0.1</v>
      </c>
      <c r="R632">
        <f>(ventas[[#This Row],[precio_unitario]]*ventas[[#This Row],[cantidad]])</f>
        <v>2250000</v>
      </c>
      <c r="S632">
        <f>ventas[[#This Row],[Total_Productos]]*ventas[[#This Row],[descuento_pct]]</f>
        <v>225000</v>
      </c>
      <c r="T632">
        <f>ventas[[#This Row],[Total_Productos]]-ventas[[#This Row],[Valor_descuento]]</f>
        <v>2025000</v>
      </c>
    </row>
    <row r="633" spans="1:20" x14ac:dyDescent="0.3">
      <c r="A633">
        <v>542</v>
      </c>
      <c r="B633" s="1">
        <v>45469</v>
      </c>
      <c r="C633">
        <v>36</v>
      </c>
      <c r="D633">
        <v>4</v>
      </c>
      <c r="E633">
        <v>270</v>
      </c>
      <c r="F633" t="s">
        <v>468</v>
      </c>
      <c r="G633" t="s">
        <v>469</v>
      </c>
      <c r="H633" t="s">
        <v>19</v>
      </c>
      <c r="I633">
        <v>39</v>
      </c>
      <c r="J633" t="s">
        <v>101</v>
      </c>
      <c r="K633" t="str">
        <f>_xlfn.XLOOKUP( ventas[[#This Row],[ciudad_cliente]],  ciudades[Ciudad], ciudades[Region])</f>
        <v>O'Higgins</v>
      </c>
      <c r="L633" t="s">
        <v>22</v>
      </c>
      <c r="M633" t="s">
        <v>30</v>
      </c>
      <c r="N633" t="str">
        <f>_xlfn.XLOOKUP(ventas[[#This Row],[producto]], categ[Producto], categ[Categoria])</f>
        <v>Electrohogar</v>
      </c>
      <c r="O633">
        <v>700000</v>
      </c>
      <c r="P633">
        <v>3</v>
      </c>
      <c r="Q633" s="11">
        <v>0</v>
      </c>
      <c r="R633">
        <f>(ventas[[#This Row],[precio_unitario]]*ventas[[#This Row],[cantidad]])</f>
        <v>2100000</v>
      </c>
      <c r="S633">
        <f>ventas[[#This Row],[Total_Productos]]*ventas[[#This Row],[descuento_pct]]</f>
        <v>0</v>
      </c>
      <c r="T633">
        <f>ventas[[#This Row],[Total_Productos]]-ventas[[#This Row],[Valor_descuento]]</f>
        <v>2100000</v>
      </c>
    </row>
    <row r="634" spans="1:20" x14ac:dyDescent="0.3">
      <c r="A634">
        <v>756</v>
      </c>
      <c r="B634" s="1">
        <v>45683</v>
      </c>
      <c r="C634">
        <v>48</v>
      </c>
      <c r="D634">
        <v>6</v>
      </c>
      <c r="E634">
        <v>270</v>
      </c>
      <c r="F634" t="s">
        <v>468</v>
      </c>
      <c r="G634" t="s">
        <v>469</v>
      </c>
      <c r="H634" t="s">
        <v>19</v>
      </c>
      <c r="I634">
        <v>39</v>
      </c>
      <c r="J634" t="s">
        <v>37</v>
      </c>
      <c r="K634" t="str">
        <f>_xlfn.XLOOKUP( ventas[[#This Row],[ciudad_cliente]],  ciudades[Ciudad], ciudades[Region])</f>
        <v>Valparaíso</v>
      </c>
      <c r="L634" t="s">
        <v>22</v>
      </c>
      <c r="M634" t="s">
        <v>49</v>
      </c>
      <c r="N634" t="str">
        <f>_xlfn.XLOOKUP(ventas[[#This Row],[producto]], categ[Producto], categ[Categoria])</f>
        <v>Electrohogar</v>
      </c>
      <c r="O634">
        <v>800000</v>
      </c>
      <c r="P634">
        <v>2</v>
      </c>
      <c r="Q634" s="11">
        <v>0</v>
      </c>
      <c r="R634">
        <f>(ventas[[#This Row],[precio_unitario]]*ventas[[#This Row],[cantidad]])</f>
        <v>1600000</v>
      </c>
      <c r="S634">
        <f>ventas[[#This Row],[Total_Productos]]*ventas[[#This Row],[descuento_pct]]</f>
        <v>0</v>
      </c>
      <c r="T634">
        <f>ventas[[#This Row],[Total_Productos]]-ventas[[#This Row],[Valor_descuento]]</f>
        <v>1600000</v>
      </c>
    </row>
    <row r="635" spans="1:20" x14ac:dyDescent="0.3">
      <c r="A635">
        <v>863</v>
      </c>
      <c r="B635" s="1">
        <v>45790</v>
      </c>
      <c r="C635">
        <v>2</v>
      </c>
      <c r="D635">
        <v>2</v>
      </c>
      <c r="E635">
        <v>270</v>
      </c>
      <c r="F635" t="s">
        <v>468</v>
      </c>
      <c r="G635" t="s">
        <v>469</v>
      </c>
      <c r="H635" t="s">
        <v>19</v>
      </c>
      <c r="I635">
        <v>39</v>
      </c>
      <c r="J635" t="s">
        <v>101</v>
      </c>
      <c r="K635" t="str">
        <f>_xlfn.XLOOKUP( ventas[[#This Row],[ciudad_cliente]],  ciudades[Ciudad], ciudades[Region])</f>
        <v>O'Higgins</v>
      </c>
      <c r="L635" t="s">
        <v>22</v>
      </c>
      <c r="M635" t="s">
        <v>62</v>
      </c>
      <c r="N635" t="str">
        <f>_xlfn.XLOOKUP(ventas[[#This Row],[producto]], categ[Producto], categ[Categoria])</f>
        <v>Electrohogar</v>
      </c>
      <c r="O635">
        <v>650000</v>
      </c>
      <c r="P635">
        <v>2</v>
      </c>
      <c r="Q635" s="11">
        <v>0.1</v>
      </c>
      <c r="R635">
        <f>(ventas[[#This Row],[precio_unitario]]*ventas[[#This Row],[cantidad]])</f>
        <v>1300000</v>
      </c>
      <c r="S635">
        <f>ventas[[#This Row],[Total_Productos]]*ventas[[#This Row],[descuento_pct]]</f>
        <v>130000</v>
      </c>
      <c r="T635">
        <f>ventas[[#This Row],[Total_Productos]]-ventas[[#This Row],[Valor_descuento]]</f>
        <v>1170000</v>
      </c>
    </row>
    <row r="636" spans="1:20" x14ac:dyDescent="0.3">
      <c r="A636">
        <v>954</v>
      </c>
      <c r="B636" s="1">
        <v>45881</v>
      </c>
      <c r="C636">
        <v>59</v>
      </c>
      <c r="D636">
        <v>1</v>
      </c>
      <c r="E636">
        <v>270</v>
      </c>
      <c r="F636" t="s">
        <v>468</v>
      </c>
      <c r="G636" t="s">
        <v>469</v>
      </c>
      <c r="H636" t="s">
        <v>19</v>
      </c>
      <c r="I636">
        <v>39</v>
      </c>
      <c r="J636" t="s">
        <v>43</v>
      </c>
      <c r="K636" t="str">
        <f>_xlfn.XLOOKUP( ventas[[#This Row],[ciudad_cliente]],  ciudades[Ciudad], ciudades[Region])</f>
        <v>Antofagasta</v>
      </c>
      <c r="L636" t="s">
        <v>38</v>
      </c>
      <c r="M636" t="s">
        <v>23</v>
      </c>
      <c r="N636" t="str">
        <f>_xlfn.XLOOKUP(ventas[[#This Row],[producto]], categ[Producto], categ[Categoria])</f>
        <v>Belleza</v>
      </c>
      <c r="O636">
        <v>15000</v>
      </c>
      <c r="P636">
        <v>2</v>
      </c>
      <c r="Q636" s="11">
        <v>0</v>
      </c>
      <c r="R636">
        <f>(ventas[[#This Row],[precio_unitario]]*ventas[[#This Row],[cantidad]])</f>
        <v>30000</v>
      </c>
      <c r="S636">
        <f>ventas[[#This Row],[Total_Productos]]*ventas[[#This Row],[descuento_pct]]</f>
        <v>0</v>
      </c>
      <c r="T636">
        <f>ventas[[#This Row],[Total_Productos]]-ventas[[#This Row],[Valor_descuento]]</f>
        <v>30000</v>
      </c>
    </row>
    <row r="637" spans="1:20" x14ac:dyDescent="0.3">
      <c r="A637">
        <v>823</v>
      </c>
      <c r="B637" s="1">
        <v>45750</v>
      </c>
      <c r="C637">
        <v>7</v>
      </c>
      <c r="D637">
        <v>8</v>
      </c>
      <c r="E637">
        <v>140</v>
      </c>
      <c r="F637" t="s">
        <v>586</v>
      </c>
      <c r="G637" t="s">
        <v>587</v>
      </c>
      <c r="H637" t="s">
        <v>19</v>
      </c>
      <c r="I637">
        <v>23</v>
      </c>
      <c r="J637" t="s">
        <v>37</v>
      </c>
      <c r="K637" t="str">
        <f>_xlfn.XLOOKUP( ventas[[#This Row],[ciudad_cliente]],  ciudades[Ciudad], ciudades[Region])</f>
        <v>Valparaíso</v>
      </c>
      <c r="L637" t="s">
        <v>38</v>
      </c>
      <c r="M637" t="s">
        <v>69</v>
      </c>
      <c r="N637" t="str">
        <f>_xlfn.XLOOKUP(ventas[[#This Row],[producto]], categ[Producto], categ[Categoria])</f>
        <v>Tecnología</v>
      </c>
      <c r="O637">
        <v>450000</v>
      </c>
      <c r="P637">
        <v>2</v>
      </c>
      <c r="Q637" s="11">
        <v>0.05</v>
      </c>
      <c r="R637">
        <f>(ventas[[#This Row],[precio_unitario]]*ventas[[#This Row],[cantidad]])</f>
        <v>900000</v>
      </c>
      <c r="S637">
        <f>ventas[[#This Row],[Total_Productos]]*ventas[[#This Row],[descuento_pct]]</f>
        <v>45000</v>
      </c>
      <c r="T637">
        <f>ventas[[#This Row],[Total_Productos]]-ventas[[#This Row],[Valor_descuento]]</f>
        <v>855000</v>
      </c>
    </row>
    <row r="638" spans="1:20" x14ac:dyDescent="0.3">
      <c r="A638">
        <v>21</v>
      </c>
      <c r="B638" s="1">
        <v>44948</v>
      </c>
      <c r="C638">
        <v>18</v>
      </c>
      <c r="D638">
        <v>1</v>
      </c>
      <c r="E638">
        <v>172</v>
      </c>
      <c r="F638" t="s">
        <v>86</v>
      </c>
      <c r="G638" t="s">
        <v>87</v>
      </c>
      <c r="H638" t="s">
        <v>19</v>
      </c>
      <c r="I638">
        <v>28</v>
      </c>
      <c r="J638" t="s">
        <v>27</v>
      </c>
      <c r="K638" t="str">
        <f>_xlfn.XLOOKUP( ventas[[#This Row],[ciudad_cliente]],  ciudades[Ciudad], ciudades[Region])</f>
        <v>Biobío</v>
      </c>
      <c r="L638" t="s">
        <v>22</v>
      </c>
      <c r="M638" t="s">
        <v>23</v>
      </c>
      <c r="N638" t="str">
        <f>_xlfn.XLOOKUP(ventas[[#This Row],[producto]], categ[Producto], categ[Categoria])</f>
        <v>Belleza</v>
      </c>
      <c r="O638">
        <v>15000</v>
      </c>
      <c r="P638">
        <v>1</v>
      </c>
      <c r="Q638" s="11">
        <v>0</v>
      </c>
      <c r="R638">
        <f>(ventas[[#This Row],[precio_unitario]]*ventas[[#This Row],[cantidad]])</f>
        <v>15000</v>
      </c>
      <c r="S638">
        <f>ventas[[#This Row],[Total_Productos]]*ventas[[#This Row],[descuento_pct]]</f>
        <v>0</v>
      </c>
      <c r="T638">
        <f>ventas[[#This Row],[Total_Productos]]-ventas[[#This Row],[Valor_descuento]]</f>
        <v>15000</v>
      </c>
    </row>
    <row r="639" spans="1:20" x14ac:dyDescent="0.3">
      <c r="A639">
        <v>621</v>
      </c>
      <c r="B639" s="1">
        <v>45548</v>
      </c>
      <c r="C639">
        <v>47</v>
      </c>
      <c r="D639">
        <v>1</v>
      </c>
      <c r="E639">
        <v>172</v>
      </c>
      <c r="F639" t="s">
        <v>86</v>
      </c>
      <c r="G639" t="s">
        <v>87</v>
      </c>
      <c r="H639" t="s">
        <v>19</v>
      </c>
      <c r="I639">
        <v>28</v>
      </c>
      <c r="J639" t="s">
        <v>116</v>
      </c>
      <c r="K639" t="str">
        <f>_xlfn.XLOOKUP( ventas[[#This Row],[ciudad_cliente]],  ciudades[Ciudad], ciudades[Region])</f>
        <v>Valparaíso</v>
      </c>
      <c r="L639" t="s">
        <v>29</v>
      </c>
      <c r="M639" t="s">
        <v>56</v>
      </c>
      <c r="N639" t="str">
        <f>_xlfn.XLOOKUP(ventas[[#This Row],[producto]], categ[Producto], categ[Categoria])</f>
        <v>Vestuario</v>
      </c>
      <c r="O639">
        <v>25000</v>
      </c>
      <c r="P639">
        <v>1</v>
      </c>
      <c r="Q639" s="11">
        <v>0.05</v>
      </c>
      <c r="R639">
        <f>(ventas[[#This Row],[precio_unitario]]*ventas[[#This Row],[cantidad]])</f>
        <v>25000</v>
      </c>
      <c r="S639">
        <f>ventas[[#This Row],[Total_Productos]]*ventas[[#This Row],[descuento_pct]]</f>
        <v>1250</v>
      </c>
      <c r="T639">
        <f>ventas[[#This Row],[Total_Productos]]-ventas[[#This Row],[Valor_descuento]]</f>
        <v>23750</v>
      </c>
    </row>
    <row r="640" spans="1:20" x14ac:dyDescent="0.3">
      <c r="A640">
        <v>675</v>
      </c>
      <c r="B640" s="1">
        <v>45602</v>
      </c>
      <c r="C640">
        <v>37</v>
      </c>
      <c r="D640">
        <v>1</v>
      </c>
      <c r="E640">
        <v>172</v>
      </c>
      <c r="F640" t="s">
        <v>86</v>
      </c>
      <c r="G640" t="s">
        <v>87</v>
      </c>
      <c r="H640" t="s">
        <v>19</v>
      </c>
      <c r="I640">
        <v>28</v>
      </c>
      <c r="J640" t="s">
        <v>116</v>
      </c>
      <c r="K640" t="str">
        <f>_xlfn.XLOOKUP( ventas[[#This Row],[ciudad_cliente]],  ciudades[Ciudad], ciudades[Region])</f>
        <v>Valparaíso</v>
      </c>
      <c r="L640" t="s">
        <v>38</v>
      </c>
      <c r="M640" t="s">
        <v>30</v>
      </c>
      <c r="N640" t="str">
        <f>_xlfn.XLOOKUP(ventas[[#This Row],[producto]], categ[Producto], categ[Categoria])</f>
        <v>Electrohogar</v>
      </c>
      <c r="O640">
        <v>700000</v>
      </c>
      <c r="P640">
        <v>3</v>
      </c>
      <c r="Q640" s="11">
        <v>0.1</v>
      </c>
      <c r="R640">
        <f>(ventas[[#This Row],[precio_unitario]]*ventas[[#This Row],[cantidad]])</f>
        <v>2100000</v>
      </c>
      <c r="S640">
        <f>ventas[[#This Row],[Total_Productos]]*ventas[[#This Row],[descuento_pct]]</f>
        <v>210000</v>
      </c>
      <c r="T640">
        <f>ventas[[#This Row],[Total_Productos]]-ventas[[#This Row],[Valor_descuento]]</f>
        <v>1890000</v>
      </c>
    </row>
    <row r="641" spans="1:20" x14ac:dyDescent="0.3">
      <c r="A641">
        <v>375</v>
      </c>
      <c r="B641" s="1">
        <v>45302</v>
      </c>
      <c r="C641">
        <v>40</v>
      </c>
      <c r="D641">
        <v>1</v>
      </c>
      <c r="E641">
        <v>20</v>
      </c>
      <c r="F641" t="s">
        <v>490</v>
      </c>
      <c r="G641" t="s">
        <v>491</v>
      </c>
      <c r="H641" t="s">
        <v>19</v>
      </c>
      <c r="I641">
        <v>21</v>
      </c>
      <c r="J641" t="s">
        <v>27</v>
      </c>
      <c r="K641" t="str">
        <f>_xlfn.XLOOKUP( ventas[[#This Row],[ciudad_cliente]],  ciudades[Ciudad], ciudades[Region])</f>
        <v>Biobío</v>
      </c>
      <c r="L641" t="s">
        <v>22</v>
      </c>
      <c r="M641" t="s">
        <v>39</v>
      </c>
      <c r="N641" t="str">
        <f>_xlfn.XLOOKUP(ventas[[#This Row],[producto]], categ[Producto], categ[Categoria])</f>
        <v>Belleza</v>
      </c>
      <c r="O641">
        <v>35000</v>
      </c>
      <c r="P641">
        <v>1</v>
      </c>
      <c r="Q641" s="11">
        <v>0</v>
      </c>
      <c r="R641">
        <f>(ventas[[#This Row],[precio_unitario]]*ventas[[#This Row],[cantidad]])</f>
        <v>35000</v>
      </c>
      <c r="S641">
        <f>ventas[[#This Row],[Total_Productos]]*ventas[[#This Row],[descuento_pct]]</f>
        <v>0</v>
      </c>
      <c r="T641">
        <f>ventas[[#This Row],[Total_Productos]]-ventas[[#This Row],[Valor_descuento]]</f>
        <v>35000</v>
      </c>
    </row>
    <row r="642" spans="1:20" x14ac:dyDescent="0.3">
      <c r="A642">
        <v>481</v>
      </c>
      <c r="B642" s="1">
        <v>45408</v>
      </c>
      <c r="C642">
        <v>68</v>
      </c>
      <c r="D642">
        <v>2</v>
      </c>
      <c r="E642">
        <v>20</v>
      </c>
      <c r="F642" t="s">
        <v>490</v>
      </c>
      <c r="G642" t="s">
        <v>491</v>
      </c>
      <c r="H642" t="s">
        <v>19</v>
      </c>
      <c r="I642">
        <v>21</v>
      </c>
      <c r="J642" t="s">
        <v>34</v>
      </c>
      <c r="K642" t="str">
        <f>_xlfn.XLOOKUP( ventas[[#This Row],[ciudad_cliente]],  ciudades[Ciudad], ciudades[Region])</f>
        <v>Metropolitana</v>
      </c>
      <c r="L642" t="s">
        <v>38</v>
      </c>
      <c r="M642" t="s">
        <v>49</v>
      </c>
      <c r="N642" t="str">
        <f>_xlfn.XLOOKUP(ventas[[#This Row],[producto]], categ[Producto], categ[Categoria])</f>
        <v>Electrohogar</v>
      </c>
      <c r="O642">
        <v>800000</v>
      </c>
      <c r="P642">
        <v>3</v>
      </c>
      <c r="Q642" s="11">
        <v>0</v>
      </c>
      <c r="R642">
        <f>(ventas[[#This Row],[precio_unitario]]*ventas[[#This Row],[cantidad]])</f>
        <v>2400000</v>
      </c>
      <c r="S642">
        <f>ventas[[#This Row],[Total_Productos]]*ventas[[#This Row],[descuento_pct]]</f>
        <v>0</v>
      </c>
      <c r="T642">
        <f>ventas[[#This Row],[Total_Productos]]-ventas[[#This Row],[Valor_descuento]]</f>
        <v>2400000</v>
      </c>
    </row>
    <row r="643" spans="1:20" x14ac:dyDescent="0.3">
      <c r="A643">
        <v>620</v>
      </c>
      <c r="B643" s="1">
        <v>45547</v>
      </c>
      <c r="C643">
        <v>63</v>
      </c>
      <c r="D643">
        <v>5</v>
      </c>
      <c r="E643">
        <v>20</v>
      </c>
      <c r="F643" t="s">
        <v>490</v>
      </c>
      <c r="G643" t="s">
        <v>491</v>
      </c>
      <c r="H643" t="s">
        <v>19</v>
      </c>
      <c r="I643">
        <v>21</v>
      </c>
      <c r="J643" t="s">
        <v>101</v>
      </c>
      <c r="K643" t="str">
        <f>_xlfn.XLOOKUP( ventas[[#This Row],[ciudad_cliente]],  ciudades[Ciudad], ciudades[Region])</f>
        <v>O'Higgins</v>
      </c>
      <c r="L643" t="s">
        <v>29</v>
      </c>
      <c r="M643" t="s">
        <v>49</v>
      </c>
      <c r="N643" t="str">
        <f>_xlfn.XLOOKUP(ventas[[#This Row],[producto]], categ[Producto], categ[Categoria])</f>
        <v>Electrohogar</v>
      </c>
      <c r="O643">
        <v>800000</v>
      </c>
      <c r="P643">
        <v>1</v>
      </c>
      <c r="Q643" s="11">
        <v>0.1</v>
      </c>
      <c r="R643">
        <f>(ventas[[#This Row],[precio_unitario]]*ventas[[#This Row],[cantidad]])</f>
        <v>800000</v>
      </c>
      <c r="S643">
        <f>ventas[[#This Row],[Total_Productos]]*ventas[[#This Row],[descuento_pct]]</f>
        <v>80000</v>
      </c>
      <c r="T643">
        <f>ventas[[#This Row],[Total_Productos]]-ventas[[#This Row],[Valor_descuento]]</f>
        <v>720000</v>
      </c>
    </row>
    <row r="644" spans="1:20" x14ac:dyDescent="0.3">
      <c r="A644">
        <v>691</v>
      </c>
      <c r="B644" s="1">
        <v>45618</v>
      </c>
      <c r="C644">
        <v>15</v>
      </c>
      <c r="D644">
        <v>0</v>
      </c>
      <c r="E644">
        <v>20</v>
      </c>
      <c r="F644" t="s">
        <v>490</v>
      </c>
      <c r="G644" t="s">
        <v>491</v>
      </c>
      <c r="H644" t="s">
        <v>19</v>
      </c>
      <c r="I644">
        <v>21</v>
      </c>
      <c r="J644" t="s">
        <v>34</v>
      </c>
      <c r="K644" t="str">
        <f>_xlfn.XLOOKUP( ventas[[#This Row],[ciudad_cliente]],  ciudades[Ciudad], ciudades[Region])</f>
        <v>Metropolitana</v>
      </c>
      <c r="L644" t="s">
        <v>29</v>
      </c>
      <c r="M644" t="s">
        <v>46</v>
      </c>
      <c r="N644" t="str">
        <f>_xlfn.XLOOKUP(ventas[[#This Row],[producto]], categ[Producto], categ[Categoria])</f>
        <v>Tecnología</v>
      </c>
      <c r="O644">
        <v>750000</v>
      </c>
      <c r="P644">
        <v>3</v>
      </c>
      <c r="Q644" s="11">
        <v>0.1</v>
      </c>
      <c r="R644">
        <f>(ventas[[#This Row],[precio_unitario]]*ventas[[#This Row],[cantidad]])</f>
        <v>2250000</v>
      </c>
      <c r="S644">
        <f>ventas[[#This Row],[Total_Productos]]*ventas[[#This Row],[descuento_pct]]</f>
        <v>225000</v>
      </c>
      <c r="T644">
        <f>ventas[[#This Row],[Total_Productos]]-ventas[[#This Row],[Valor_descuento]]</f>
        <v>2025000</v>
      </c>
    </row>
    <row r="645" spans="1:20" x14ac:dyDescent="0.3">
      <c r="A645">
        <v>4</v>
      </c>
      <c r="B645" s="1">
        <v>44931</v>
      </c>
      <c r="C645">
        <v>60</v>
      </c>
      <c r="D645">
        <v>1</v>
      </c>
      <c r="E645">
        <v>65</v>
      </c>
      <c r="F645" t="s">
        <v>35</v>
      </c>
      <c r="G645" t="s">
        <v>36</v>
      </c>
      <c r="H645" t="s">
        <v>19</v>
      </c>
      <c r="I645">
        <v>47</v>
      </c>
      <c r="J645" t="s">
        <v>37</v>
      </c>
      <c r="K645" t="str">
        <f>_xlfn.XLOOKUP( ventas[[#This Row],[ciudad_cliente]],  ciudades[Ciudad], ciudades[Region])</f>
        <v>Valparaíso</v>
      </c>
      <c r="L645" t="s">
        <v>38</v>
      </c>
      <c r="M645" t="s">
        <v>39</v>
      </c>
      <c r="N645" t="str">
        <f>_xlfn.XLOOKUP(ventas[[#This Row],[producto]], categ[Producto], categ[Categoria])</f>
        <v>Belleza</v>
      </c>
      <c r="O645">
        <v>35000</v>
      </c>
      <c r="P645">
        <v>2</v>
      </c>
      <c r="Q645" s="11">
        <v>0</v>
      </c>
      <c r="R645">
        <f>(ventas[[#This Row],[precio_unitario]]*ventas[[#This Row],[cantidad]])</f>
        <v>70000</v>
      </c>
      <c r="S645">
        <f>ventas[[#This Row],[Total_Productos]]*ventas[[#This Row],[descuento_pct]]</f>
        <v>0</v>
      </c>
      <c r="T645">
        <f>ventas[[#This Row],[Total_Productos]]-ventas[[#This Row],[Valor_descuento]]</f>
        <v>70000</v>
      </c>
    </row>
    <row r="646" spans="1:20" x14ac:dyDescent="0.3">
      <c r="A646">
        <v>280</v>
      </c>
      <c r="B646" s="1">
        <v>45207</v>
      </c>
      <c r="C646">
        <v>28</v>
      </c>
      <c r="D646">
        <v>5</v>
      </c>
      <c r="E646">
        <v>65</v>
      </c>
      <c r="F646" t="s">
        <v>35</v>
      </c>
      <c r="G646" t="s">
        <v>36</v>
      </c>
      <c r="H646" t="s">
        <v>19</v>
      </c>
      <c r="I646">
        <v>47</v>
      </c>
      <c r="J646" t="s">
        <v>116</v>
      </c>
      <c r="K646" t="str">
        <f>_xlfn.XLOOKUP( ventas[[#This Row],[ciudad_cliente]],  ciudades[Ciudad], ciudades[Region])</f>
        <v>Valparaíso</v>
      </c>
      <c r="L646" t="s">
        <v>38</v>
      </c>
      <c r="M646" t="s">
        <v>56</v>
      </c>
      <c r="N646" t="str">
        <f>_xlfn.XLOOKUP(ventas[[#This Row],[producto]], categ[Producto], categ[Categoria])</f>
        <v>Vestuario</v>
      </c>
      <c r="O646">
        <v>25000</v>
      </c>
      <c r="P646">
        <v>3</v>
      </c>
      <c r="Q646" s="11">
        <v>0</v>
      </c>
      <c r="R646">
        <f>(ventas[[#This Row],[precio_unitario]]*ventas[[#This Row],[cantidad]])</f>
        <v>75000</v>
      </c>
      <c r="S646">
        <f>ventas[[#This Row],[Total_Productos]]*ventas[[#This Row],[descuento_pct]]</f>
        <v>0</v>
      </c>
      <c r="T646">
        <f>ventas[[#This Row],[Total_Productos]]-ventas[[#This Row],[Valor_descuento]]</f>
        <v>75000</v>
      </c>
    </row>
    <row r="647" spans="1:20" x14ac:dyDescent="0.3">
      <c r="A647">
        <v>397</v>
      </c>
      <c r="B647" s="1">
        <v>45324</v>
      </c>
      <c r="C647">
        <v>44</v>
      </c>
      <c r="D647">
        <v>7</v>
      </c>
      <c r="E647">
        <v>65</v>
      </c>
      <c r="F647" t="s">
        <v>35</v>
      </c>
      <c r="G647" t="s">
        <v>36</v>
      </c>
      <c r="H647" t="s">
        <v>19</v>
      </c>
      <c r="I647">
        <v>47</v>
      </c>
      <c r="J647" t="s">
        <v>43</v>
      </c>
      <c r="K647" t="str">
        <f>_xlfn.XLOOKUP( ventas[[#This Row],[ciudad_cliente]],  ciudades[Ciudad], ciudades[Region])</f>
        <v>Antofagasta</v>
      </c>
      <c r="L647" t="s">
        <v>22</v>
      </c>
      <c r="M647" t="s">
        <v>62</v>
      </c>
      <c r="N647" t="str">
        <f>_xlfn.XLOOKUP(ventas[[#This Row],[producto]], categ[Producto], categ[Categoria])</f>
        <v>Electrohogar</v>
      </c>
      <c r="O647">
        <v>650000</v>
      </c>
      <c r="P647">
        <v>3</v>
      </c>
      <c r="Q647" s="11">
        <v>0.05</v>
      </c>
      <c r="R647">
        <f>(ventas[[#This Row],[precio_unitario]]*ventas[[#This Row],[cantidad]])</f>
        <v>1950000</v>
      </c>
      <c r="S647">
        <f>ventas[[#This Row],[Total_Productos]]*ventas[[#This Row],[descuento_pct]]</f>
        <v>97500</v>
      </c>
      <c r="T647">
        <f>ventas[[#This Row],[Total_Productos]]-ventas[[#This Row],[Valor_descuento]]</f>
        <v>1852500</v>
      </c>
    </row>
    <row r="648" spans="1:20" x14ac:dyDescent="0.3">
      <c r="A648">
        <v>664</v>
      </c>
      <c r="B648" s="1">
        <v>45591</v>
      </c>
      <c r="C648">
        <v>7</v>
      </c>
      <c r="D648">
        <v>8</v>
      </c>
      <c r="E648">
        <v>65</v>
      </c>
      <c r="F648" t="s">
        <v>35</v>
      </c>
      <c r="G648" t="s">
        <v>36</v>
      </c>
      <c r="H648" t="s">
        <v>19</v>
      </c>
      <c r="I648">
        <v>47</v>
      </c>
      <c r="J648" t="s">
        <v>37</v>
      </c>
      <c r="K648" t="str">
        <f>_xlfn.XLOOKUP( ventas[[#This Row],[ciudad_cliente]],  ciudades[Ciudad], ciudades[Region])</f>
        <v>Valparaíso</v>
      </c>
      <c r="L648" t="s">
        <v>29</v>
      </c>
      <c r="M648" t="s">
        <v>62</v>
      </c>
      <c r="N648" t="str">
        <f>_xlfn.XLOOKUP(ventas[[#This Row],[producto]], categ[Producto], categ[Categoria])</f>
        <v>Electrohogar</v>
      </c>
      <c r="O648">
        <v>650000</v>
      </c>
      <c r="P648">
        <v>1</v>
      </c>
      <c r="Q648" s="11">
        <v>0</v>
      </c>
      <c r="R648">
        <f>(ventas[[#This Row],[precio_unitario]]*ventas[[#This Row],[cantidad]])</f>
        <v>650000</v>
      </c>
      <c r="S648">
        <f>ventas[[#This Row],[Total_Productos]]*ventas[[#This Row],[descuento_pct]]</f>
        <v>0</v>
      </c>
      <c r="T648">
        <f>ventas[[#This Row],[Total_Productos]]-ventas[[#This Row],[Valor_descuento]]</f>
        <v>650000</v>
      </c>
    </row>
    <row r="649" spans="1:20" x14ac:dyDescent="0.3">
      <c r="A649">
        <v>683</v>
      </c>
      <c r="B649" s="1">
        <v>45610</v>
      </c>
      <c r="C649">
        <v>53</v>
      </c>
      <c r="D649">
        <v>1</v>
      </c>
      <c r="E649">
        <v>65</v>
      </c>
      <c r="F649" t="s">
        <v>35</v>
      </c>
      <c r="G649" t="s">
        <v>36</v>
      </c>
      <c r="H649" t="s">
        <v>19</v>
      </c>
      <c r="I649">
        <v>47</v>
      </c>
      <c r="J649" t="s">
        <v>76</v>
      </c>
      <c r="K649" t="str">
        <f>_xlfn.XLOOKUP( ventas[[#This Row],[ciudad_cliente]],  ciudades[Ciudad], ciudades[Region])</f>
        <v>Los Lagos</v>
      </c>
      <c r="L649" t="s">
        <v>22</v>
      </c>
      <c r="M649" t="s">
        <v>30</v>
      </c>
      <c r="N649" t="str">
        <f>_xlfn.XLOOKUP(ventas[[#This Row],[producto]], categ[Producto], categ[Categoria])</f>
        <v>Electrohogar</v>
      </c>
      <c r="O649">
        <v>700000</v>
      </c>
      <c r="P649">
        <v>3</v>
      </c>
      <c r="Q649" s="11">
        <v>0</v>
      </c>
      <c r="R649">
        <f>(ventas[[#This Row],[precio_unitario]]*ventas[[#This Row],[cantidad]])</f>
        <v>2100000</v>
      </c>
      <c r="S649">
        <f>ventas[[#This Row],[Total_Productos]]*ventas[[#This Row],[descuento_pct]]</f>
        <v>0</v>
      </c>
      <c r="T649">
        <f>ventas[[#This Row],[Total_Productos]]-ventas[[#This Row],[Valor_descuento]]</f>
        <v>2100000</v>
      </c>
    </row>
    <row r="650" spans="1:20" x14ac:dyDescent="0.3">
      <c r="A650">
        <v>41</v>
      </c>
      <c r="B650" s="1">
        <v>44968</v>
      </c>
      <c r="C650">
        <v>25</v>
      </c>
      <c r="D650">
        <v>3</v>
      </c>
      <c r="E650">
        <v>238</v>
      </c>
      <c r="F650" t="s">
        <v>130</v>
      </c>
      <c r="G650" t="s">
        <v>131</v>
      </c>
      <c r="H650" t="s">
        <v>19</v>
      </c>
      <c r="I650">
        <v>40</v>
      </c>
      <c r="J650" t="s">
        <v>76</v>
      </c>
      <c r="K650" t="str">
        <f>_xlfn.XLOOKUP( ventas[[#This Row],[ciudad_cliente]],  ciudades[Ciudad], ciudades[Region])</f>
        <v>Los Lagos</v>
      </c>
      <c r="L650" t="s">
        <v>38</v>
      </c>
      <c r="M650" t="s">
        <v>39</v>
      </c>
      <c r="N650" t="str">
        <f>_xlfn.XLOOKUP(ventas[[#This Row],[producto]], categ[Producto], categ[Categoria])</f>
        <v>Belleza</v>
      </c>
      <c r="O650">
        <v>35000</v>
      </c>
      <c r="P650">
        <v>1</v>
      </c>
      <c r="Q650" s="11">
        <v>0</v>
      </c>
      <c r="R650">
        <f>(ventas[[#This Row],[precio_unitario]]*ventas[[#This Row],[cantidad]])</f>
        <v>35000</v>
      </c>
      <c r="S650">
        <f>ventas[[#This Row],[Total_Productos]]*ventas[[#This Row],[descuento_pct]]</f>
        <v>0</v>
      </c>
      <c r="T650">
        <f>ventas[[#This Row],[Total_Productos]]-ventas[[#This Row],[Valor_descuento]]</f>
        <v>35000</v>
      </c>
    </row>
    <row r="651" spans="1:20" x14ac:dyDescent="0.3">
      <c r="A651">
        <v>369</v>
      </c>
      <c r="B651" s="1">
        <v>45296</v>
      </c>
      <c r="C651">
        <v>22</v>
      </c>
      <c r="D651">
        <v>1</v>
      </c>
      <c r="E651">
        <v>238</v>
      </c>
      <c r="F651" t="s">
        <v>130</v>
      </c>
      <c r="G651" t="s">
        <v>131</v>
      </c>
      <c r="H651" t="s">
        <v>19</v>
      </c>
      <c r="I651">
        <v>40</v>
      </c>
      <c r="J651" t="s">
        <v>116</v>
      </c>
      <c r="K651" t="str">
        <f>_xlfn.XLOOKUP( ventas[[#This Row],[ciudad_cliente]],  ciudades[Ciudad], ciudades[Region])</f>
        <v>Valparaíso</v>
      </c>
      <c r="L651" t="s">
        <v>38</v>
      </c>
      <c r="M651" t="s">
        <v>23</v>
      </c>
      <c r="N651" t="str">
        <f>_xlfn.XLOOKUP(ventas[[#This Row],[producto]], categ[Producto], categ[Categoria])</f>
        <v>Belleza</v>
      </c>
      <c r="O651">
        <v>15000</v>
      </c>
      <c r="P651">
        <v>1</v>
      </c>
      <c r="Q651" s="11">
        <v>0</v>
      </c>
      <c r="R651">
        <f>(ventas[[#This Row],[precio_unitario]]*ventas[[#This Row],[cantidad]])</f>
        <v>15000</v>
      </c>
      <c r="S651">
        <f>ventas[[#This Row],[Total_Productos]]*ventas[[#This Row],[descuento_pct]]</f>
        <v>0</v>
      </c>
      <c r="T651">
        <f>ventas[[#This Row],[Total_Productos]]-ventas[[#This Row],[Valor_descuento]]</f>
        <v>15000</v>
      </c>
    </row>
    <row r="652" spans="1:20" x14ac:dyDescent="0.3">
      <c r="A652">
        <v>369</v>
      </c>
      <c r="B652" s="1">
        <v>45296</v>
      </c>
      <c r="C652">
        <v>22</v>
      </c>
      <c r="D652">
        <v>1</v>
      </c>
      <c r="E652">
        <v>238</v>
      </c>
      <c r="F652" t="s">
        <v>130</v>
      </c>
      <c r="G652" t="s">
        <v>131</v>
      </c>
      <c r="H652" t="s">
        <v>19</v>
      </c>
      <c r="I652">
        <v>40</v>
      </c>
      <c r="J652" t="s">
        <v>116</v>
      </c>
      <c r="K652" t="str">
        <f>_xlfn.XLOOKUP( ventas[[#This Row],[ciudad_cliente]],  ciudades[Ciudad], ciudades[Region])</f>
        <v>Valparaíso</v>
      </c>
      <c r="L652" t="s">
        <v>38</v>
      </c>
      <c r="M652" t="s">
        <v>23</v>
      </c>
      <c r="N652" t="str">
        <f>_xlfn.XLOOKUP(ventas[[#This Row],[producto]], categ[Producto], categ[Categoria])</f>
        <v>Belleza</v>
      </c>
      <c r="O652">
        <v>15000</v>
      </c>
      <c r="P652">
        <v>1</v>
      </c>
      <c r="Q652" s="11">
        <v>0</v>
      </c>
      <c r="R652">
        <f>(ventas[[#This Row],[precio_unitario]]*ventas[[#This Row],[cantidad]])</f>
        <v>15000</v>
      </c>
      <c r="S652">
        <f>ventas[[#This Row],[Total_Productos]]*ventas[[#This Row],[descuento_pct]]</f>
        <v>0</v>
      </c>
      <c r="T652">
        <f>ventas[[#This Row],[Total_Productos]]-ventas[[#This Row],[Valor_descuento]]</f>
        <v>15000</v>
      </c>
    </row>
    <row r="653" spans="1:20" x14ac:dyDescent="0.3">
      <c r="A653">
        <v>396</v>
      </c>
      <c r="B653" s="1">
        <v>45323</v>
      </c>
      <c r="C653">
        <v>21</v>
      </c>
      <c r="D653">
        <v>5</v>
      </c>
      <c r="E653">
        <v>238</v>
      </c>
      <c r="F653" t="s">
        <v>130</v>
      </c>
      <c r="G653" t="s">
        <v>131</v>
      </c>
      <c r="H653" t="s">
        <v>19</v>
      </c>
      <c r="I653">
        <v>40</v>
      </c>
      <c r="J653" t="s">
        <v>76</v>
      </c>
      <c r="K653" t="str">
        <f>_xlfn.XLOOKUP( ventas[[#This Row],[ciudad_cliente]],  ciudades[Ciudad], ciudades[Region])</f>
        <v>Los Lagos</v>
      </c>
      <c r="L653" t="s">
        <v>38</v>
      </c>
      <c r="M653" t="s">
        <v>98</v>
      </c>
      <c r="N653" t="str">
        <f>_xlfn.XLOOKUP(ventas[[#This Row],[producto]], categ[Producto], categ[Categoria])</f>
        <v>Calzado</v>
      </c>
      <c r="O653">
        <v>55000</v>
      </c>
      <c r="P653">
        <v>1</v>
      </c>
      <c r="Q653" s="11">
        <v>0</v>
      </c>
      <c r="R653">
        <f>(ventas[[#This Row],[precio_unitario]]*ventas[[#This Row],[cantidad]])</f>
        <v>55000</v>
      </c>
      <c r="S653">
        <f>ventas[[#This Row],[Total_Productos]]*ventas[[#This Row],[descuento_pct]]</f>
        <v>0</v>
      </c>
      <c r="T653">
        <f>ventas[[#This Row],[Total_Productos]]-ventas[[#This Row],[Valor_descuento]]</f>
        <v>55000</v>
      </c>
    </row>
    <row r="654" spans="1:20" x14ac:dyDescent="0.3">
      <c r="A654">
        <v>595</v>
      </c>
      <c r="B654" s="1">
        <v>45522</v>
      </c>
      <c r="C654">
        <v>39</v>
      </c>
      <c r="D654">
        <v>6</v>
      </c>
      <c r="E654">
        <v>238</v>
      </c>
      <c r="F654" t="s">
        <v>130</v>
      </c>
      <c r="G654" t="s">
        <v>131</v>
      </c>
      <c r="H654" t="s">
        <v>19</v>
      </c>
      <c r="I654">
        <v>40</v>
      </c>
      <c r="J654" t="s">
        <v>43</v>
      </c>
      <c r="K654" t="str">
        <f>_xlfn.XLOOKUP( ventas[[#This Row],[ciudad_cliente]],  ciudades[Ciudad], ciudades[Region])</f>
        <v>Antofagasta</v>
      </c>
      <c r="L654" t="s">
        <v>38</v>
      </c>
      <c r="M654" t="s">
        <v>102</v>
      </c>
      <c r="N654" t="str">
        <f>_xlfn.XLOOKUP(ventas[[#This Row],[producto]], categ[Producto], categ[Categoria])</f>
        <v>Vestuario</v>
      </c>
      <c r="O654">
        <v>12000</v>
      </c>
      <c r="P654">
        <v>1</v>
      </c>
      <c r="Q654" s="11">
        <v>0.1</v>
      </c>
      <c r="R654">
        <f>(ventas[[#This Row],[precio_unitario]]*ventas[[#This Row],[cantidad]])</f>
        <v>12000</v>
      </c>
      <c r="S654">
        <f>ventas[[#This Row],[Total_Productos]]*ventas[[#This Row],[descuento_pct]]</f>
        <v>1200</v>
      </c>
      <c r="T654">
        <f>ventas[[#This Row],[Total_Productos]]-ventas[[#This Row],[Valor_descuento]]</f>
        <v>10800</v>
      </c>
    </row>
    <row r="655" spans="1:20" x14ac:dyDescent="0.3">
      <c r="A655">
        <v>748</v>
      </c>
      <c r="B655" s="1">
        <v>45675</v>
      </c>
      <c r="C655">
        <v>52</v>
      </c>
      <c r="D655">
        <v>0</v>
      </c>
      <c r="E655">
        <v>238</v>
      </c>
      <c r="F655" t="s">
        <v>130</v>
      </c>
      <c r="G655" t="s">
        <v>131</v>
      </c>
      <c r="H655" t="s">
        <v>19</v>
      </c>
      <c r="I655">
        <v>40</v>
      </c>
      <c r="J655" t="s">
        <v>27</v>
      </c>
      <c r="K655" t="str">
        <f>_xlfn.XLOOKUP( ventas[[#This Row],[ciudad_cliente]],  ciudades[Ciudad], ciudades[Region])</f>
        <v>Biobío</v>
      </c>
      <c r="L655" t="s">
        <v>29</v>
      </c>
      <c r="M655" t="s">
        <v>39</v>
      </c>
      <c r="N655" t="str">
        <f>_xlfn.XLOOKUP(ventas[[#This Row],[producto]], categ[Producto], categ[Categoria])</f>
        <v>Belleza</v>
      </c>
      <c r="O655">
        <v>35000</v>
      </c>
      <c r="P655">
        <v>2</v>
      </c>
      <c r="Q655" s="11">
        <v>0</v>
      </c>
      <c r="R655">
        <f>(ventas[[#This Row],[precio_unitario]]*ventas[[#This Row],[cantidad]])</f>
        <v>70000</v>
      </c>
      <c r="S655">
        <f>ventas[[#This Row],[Total_Productos]]*ventas[[#This Row],[descuento_pct]]</f>
        <v>0</v>
      </c>
      <c r="T655">
        <f>ventas[[#This Row],[Total_Productos]]-ventas[[#This Row],[Valor_descuento]]</f>
        <v>70000</v>
      </c>
    </row>
    <row r="656" spans="1:20" x14ac:dyDescent="0.3">
      <c r="A656">
        <v>774</v>
      </c>
      <c r="B656" s="1">
        <v>45701</v>
      </c>
      <c r="C656">
        <v>45</v>
      </c>
      <c r="D656">
        <v>2</v>
      </c>
      <c r="E656">
        <v>238</v>
      </c>
      <c r="F656" t="s">
        <v>130</v>
      </c>
      <c r="G656" t="s">
        <v>131</v>
      </c>
      <c r="H656" t="s">
        <v>19</v>
      </c>
      <c r="I656">
        <v>40</v>
      </c>
      <c r="J656" t="s">
        <v>27</v>
      </c>
      <c r="K656" t="str">
        <f>_xlfn.XLOOKUP( ventas[[#This Row],[ciudad_cliente]],  ciudades[Ciudad], ciudades[Region])</f>
        <v>Biobío</v>
      </c>
      <c r="L656" t="s">
        <v>29</v>
      </c>
      <c r="M656" t="s">
        <v>69</v>
      </c>
      <c r="N656" t="str">
        <f>_xlfn.XLOOKUP(ventas[[#This Row],[producto]], categ[Producto], categ[Categoria])</f>
        <v>Tecnología</v>
      </c>
      <c r="O656">
        <v>450000</v>
      </c>
      <c r="P656">
        <v>3</v>
      </c>
      <c r="Q656" s="11">
        <v>0.05</v>
      </c>
      <c r="R656">
        <f>(ventas[[#This Row],[precio_unitario]]*ventas[[#This Row],[cantidad]])</f>
        <v>1350000</v>
      </c>
      <c r="S656">
        <f>ventas[[#This Row],[Total_Productos]]*ventas[[#This Row],[descuento_pct]]</f>
        <v>67500</v>
      </c>
      <c r="T656">
        <f>ventas[[#This Row],[Total_Productos]]-ventas[[#This Row],[Valor_descuento]]</f>
        <v>1282500</v>
      </c>
    </row>
    <row r="657" spans="1:20" x14ac:dyDescent="0.3">
      <c r="A657">
        <v>869</v>
      </c>
      <c r="B657" s="1">
        <v>45796</v>
      </c>
      <c r="C657">
        <v>16</v>
      </c>
      <c r="D657">
        <v>3</v>
      </c>
      <c r="E657">
        <v>56</v>
      </c>
      <c r="F657" t="s">
        <v>590</v>
      </c>
      <c r="G657" t="s">
        <v>591</v>
      </c>
      <c r="H657" t="s">
        <v>42</v>
      </c>
      <c r="I657">
        <v>49</v>
      </c>
      <c r="J657" t="s">
        <v>20</v>
      </c>
      <c r="K657" t="str">
        <f>_xlfn.XLOOKUP( ventas[[#This Row],[ciudad_cliente]],  ciudades[Ciudad], ciudades[Region])</f>
        <v>La Araucanía</v>
      </c>
      <c r="L657" t="s">
        <v>22</v>
      </c>
      <c r="M657" t="s">
        <v>46</v>
      </c>
      <c r="N657" t="str">
        <f>_xlfn.XLOOKUP(ventas[[#This Row],[producto]], categ[Producto], categ[Categoria])</f>
        <v>Tecnología</v>
      </c>
      <c r="O657">
        <v>750000</v>
      </c>
      <c r="P657">
        <v>3</v>
      </c>
      <c r="Q657" s="11">
        <v>0</v>
      </c>
      <c r="R657">
        <f>(ventas[[#This Row],[precio_unitario]]*ventas[[#This Row],[cantidad]])</f>
        <v>2250000</v>
      </c>
      <c r="S657">
        <f>ventas[[#This Row],[Total_Productos]]*ventas[[#This Row],[descuento_pct]]</f>
        <v>0</v>
      </c>
      <c r="T657">
        <f>ventas[[#This Row],[Total_Productos]]-ventas[[#This Row],[Valor_descuento]]</f>
        <v>2250000</v>
      </c>
    </row>
    <row r="658" spans="1:20" x14ac:dyDescent="0.3">
      <c r="A658">
        <v>428</v>
      </c>
      <c r="B658" s="1">
        <v>45355</v>
      </c>
      <c r="C658">
        <v>39</v>
      </c>
      <c r="D658">
        <v>6</v>
      </c>
      <c r="E658">
        <v>143</v>
      </c>
      <c r="F658" t="s">
        <v>510</v>
      </c>
      <c r="G658" t="s">
        <v>511</v>
      </c>
      <c r="H658" t="s">
        <v>42</v>
      </c>
      <c r="I658">
        <v>18</v>
      </c>
      <c r="J658" t="s">
        <v>43</v>
      </c>
      <c r="K658" t="str">
        <f>_xlfn.XLOOKUP( ventas[[#This Row],[ciudad_cliente]],  ciudades[Ciudad], ciudades[Region])</f>
        <v>Antofagasta</v>
      </c>
      <c r="L658" t="s">
        <v>22</v>
      </c>
      <c r="M658" t="s">
        <v>56</v>
      </c>
      <c r="N658" t="str">
        <f>_xlfn.XLOOKUP(ventas[[#This Row],[producto]], categ[Producto], categ[Categoria])</f>
        <v>Vestuario</v>
      </c>
      <c r="O658">
        <v>25000</v>
      </c>
      <c r="P658">
        <v>3</v>
      </c>
      <c r="Q658" s="11">
        <v>0</v>
      </c>
      <c r="R658">
        <f>(ventas[[#This Row],[precio_unitario]]*ventas[[#This Row],[cantidad]])</f>
        <v>75000</v>
      </c>
      <c r="S658">
        <f>ventas[[#This Row],[Total_Productos]]*ventas[[#This Row],[descuento_pct]]</f>
        <v>0</v>
      </c>
      <c r="T658">
        <f>ventas[[#This Row],[Total_Productos]]-ventas[[#This Row],[Valor_descuento]]</f>
        <v>75000</v>
      </c>
    </row>
    <row r="659" spans="1:20" x14ac:dyDescent="0.3">
      <c r="A659">
        <v>613</v>
      </c>
      <c r="B659" s="1">
        <v>45540</v>
      </c>
      <c r="C659">
        <v>34</v>
      </c>
      <c r="D659">
        <v>1</v>
      </c>
      <c r="E659">
        <v>143</v>
      </c>
      <c r="F659" t="s">
        <v>510</v>
      </c>
      <c r="G659" t="s">
        <v>511</v>
      </c>
      <c r="H659" t="s">
        <v>42</v>
      </c>
      <c r="I659">
        <v>18</v>
      </c>
      <c r="J659" t="s">
        <v>52</v>
      </c>
      <c r="K659" t="str">
        <f>_xlfn.XLOOKUP( ventas[[#This Row],[ciudad_cliente]],  ciudades[Ciudad], ciudades[Region])</f>
        <v>Biobío</v>
      </c>
      <c r="L659" t="s">
        <v>29</v>
      </c>
      <c r="M659" t="s">
        <v>49</v>
      </c>
      <c r="N659" t="str">
        <f>_xlfn.XLOOKUP(ventas[[#This Row],[producto]], categ[Producto], categ[Categoria])</f>
        <v>Electrohogar</v>
      </c>
      <c r="O659">
        <v>800000</v>
      </c>
      <c r="P659">
        <v>1</v>
      </c>
      <c r="Q659" s="11">
        <v>0.05</v>
      </c>
      <c r="R659">
        <f>(ventas[[#This Row],[precio_unitario]]*ventas[[#This Row],[cantidad]])</f>
        <v>800000</v>
      </c>
      <c r="S659">
        <f>ventas[[#This Row],[Total_Productos]]*ventas[[#This Row],[descuento_pct]]</f>
        <v>40000</v>
      </c>
      <c r="T659">
        <f>ventas[[#This Row],[Total_Productos]]-ventas[[#This Row],[Valor_descuento]]</f>
        <v>760000</v>
      </c>
    </row>
    <row r="660" spans="1:20" x14ac:dyDescent="0.3">
      <c r="A660">
        <v>583</v>
      </c>
      <c r="B660" s="1">
        <v>45510</v>
      </c>
      <c r="C660">
        <v>3</v>
      </c>
      <c r="D660">
        <v>1</v>
      </c>
      <c r="E660">
        <v>77</v>
      </c>
      <c r="F660" t="s">
        <v>558</v>
      </c>
      <c r="G660" t="s">
        <v>559</v>
      </c>
      <c r="H660" t="s">
        <v>19</v>
      </c>
      <c r="I660">
        <v>39</v>
      </c>
      <c r="J660" t="s">
        <v>37</v>
      </c>
      <c r="K660" t="str">
        <f>_xlfn.XLOOKUP( ventas[[#This Row],[ciudad_cliente]],  ciudades[Ciudad], ciudades[Region])</f>
        <v>Valparaíso</v>
      </c>
      <c r="L660" t="s">
        <v>29</v>
      </c>
      <c r="M660" t="s">
        <v>39</v>
      </c>
      <c r="N660" t="str">
        <f>_xlfn.XLOOKUP(ventas[[#This Row],[producto]], categ[Producto], categ[Categoria])</f>
        <v>Belleza</v>
      </c>
      <c r="O660">
        <v>35000</v>
      </c>
      <c r="P660">
        <v>1</v>
      </c>
      <c r="Q660" s="11">
        <v>0</v>
      </c>
      <c r="R660">
        <f>(ventas[[#This Row],[precio_unitario]]*ventas[[#This Row],[cantidad]])</f>
        <v>35000</v>
      </c>
      <c r="S660">
        <f>ventas[[#This Row],[Total_Productos]]*ventas[[#This Row],[descuento_pct]]</f>
        <v>0</v>
      </c>
      <c r="T660">
        <f>ventas[[#This Row],[Total_Productos]]-ventas[[#This Row],[Valor_descuento]]</f>
        <v>35000</v>
      </c>
    </row>
    <row r="661" spans="1:20" x14ac:dyDescent="0.3">
      <c r="A661">
        <v>89</v>
      </c>
      <c r="B661" s="1">
        <v>45016</v>
      </c>
      <c r="C661">
        <v>70</v>
      </c>
      <c r="D661">
        <v>6</v>
      </c>
      <c r="E661">
        <v>104</v>
      </c>
      <c r="F661" t="s">
        <v>209</v>
      </c>
      <c r="G661" t="s">
        <v>210</v>
      </c>
      <c r="H661" t="s">
        <v>42</v>
      </c>
      <c r="I661">
        <v>28</v>
      </c>
      <c r="J661" t="s">
        <v>27</v>
      </c>
      <c r="K661" t="str">
        <f>_xlfn.XLOOKUP( ventas[[#This Row],[ciudad_cliente]],  ciudades[Ciudad], ciudades[Region])</f>
        <v>Biobío</v>
      </c>
      <c r="L661" t="s">
        <v>29</v>
      </c>
      <c r="M661" t="s">
        <v>98</v>
      </c>
      <c r="N661" t="str">
        <f>_xlfn.XLOOKUP(ventas[[#This Row],[producto]], categ[Producto], categ[Categoria])</f>
        <v>Calzado</v>
      </c>
      <c r="O661">
        <v>55000</v>
      </c>
      <c r="P661">
        <v>3</v>
      </c>
      <c r="Q661" s="11">
        <v>0</v>
      </c>
      <c r="R661">
        <f>(ventas[[#This Row],[precio_unitario]]*ventas[[#This Row],[cantidad]])</f>
        <v>165000</v>
      </c>
      <c r="S661">
        <f>ventas[[#This Row],[Total_Productos]]*ventas[[#This Row],[descuento_pct]]</f>
        <v>0</v>
      </c>
      <c r="T661">
        <f>ventas[[#This Row],[Total_Productos]]-ventas[[#This Row],[Valor_descuento]]</f>
        <v>165000</v>
      </c>
    </row>
    <row r="662" spans="1:20" x14ac:dyDescent="0.3">
      <c r="A662">
        <v>133</v>
      </c>
      <c r="B662" s="1">
        <v>45060</v>
      </c>
      <c r="C662">
        <v>49</v>
      </c>
      <c r="D662">
        <v>1</v>
      </c>
      <c r="E662">
        <v>104</v>
      </c>
      <c r="F662" t="s">
        <v>209</v>
      </c>
      <c r="G662" t="s">
        <v>210</v>
      </c>
      <c r="H662" t="s">
        <v>42</v>
      </c>
      <c r="I662">
        <v>28</v>
      </c>
      <c r="J662" t="s">
        <v>43</v>
      </c>
      <c r="K662" t="str">
        <f>_xlfn.XLOOKUP( ventas[[#This Row],[ciudad_cliente]],  ciudades[Ciudad], ciudades[Region])</f>
        <v>Antofagasta</v>
      </c>
      <c r="L662" t="s">
        <v>22</v>
      </c>
      <c r="M662" t="s">
        <v>69</v>
      </c>
      <c r="N662" t="str">
        <f>_xlfn.XLOOKUP(ventas[[#This Row],[producto]], categ[Producto], categ[Categoria])</f>
        <v>Tecnología</v>
      </c>
      <c r="O662">
        <v>450000</v>
      </c>
      <c r="P662">
        <v>1</v>
      </c>
      <c r="Q662" s="11">
        <v>0</v>
      </c>
      <c r="R662">
        <f>(ventas[[#This Row],[precio_unitario]]*ventas[[#This Row],[cantidad]])</f>
        <v>450000</v>
      </c>
      <c r="S662">
        <f>ventas[[#This Row],[Total_Productos]]*ventas[[#This Row],[descuento_pct]]</f>
        <v>0</v>
      </c>
      <c r="T662">
        <f>ventas[[#This Row],[Total_Productos]]-ventas[[#This Row],[Valor_descuento]]</f>
        <v>450000</v>
      </c>
    </row>
    <row r="663" spans="1:20" x14ac:dyDescent="0.3">
      <c r="A663">
        <v>188</v>
      </c>
      <c r="B663" s="1">
        <v>45115</v>
      </c>
      <c r="C663">
        <v>5</v>
      </c>
      <c r="D663">
        <v>1</v>
      </c>
      <c r="E663">
        <v>104</v>
      </c>
      <c r="F663" t="s">
        <v>209</v>
      </c>
      <c r="G663" t="s">
        <v>210</v>
      </c>
      <c r="H663" t="s">
        <v>42</v>
      </c>
      <c r="I663">
        <v>28</v>
      </c>
      <c r="J663" t="s">
        <v>27</v>
      </c>
      <c r="K663" t="str">
        <f>_xlfn.XLOOKUP( ventas[[#This Row],[ciudad_cliente]],  ciudades[Ciudad], ciudades[Region])</f>
        <v>Biobío</v>
      </c>
      <c r="L663" t="s">
        <v>22</v>
      </c>
      <c r="M663" t="s">
        <v>49</v>
      </c>
      <c r="N663" t="str">
        <f>_xlfn.XLOOKUP(ventas[[#This Row],[producto]], categ[Producto], categ[Categoria])</f>
        <v>Electrohogar</v>
      </c>
      <c r="O663">
        <v>800000</v>
      </c>
      <c r="P663">
        <v>2</v>
      </c>
      <c r="Q663" s="11">
        <v>0.1</v>
      </c>
      <c r="R663">
        <f>(ventas[[#This Row],[precio_unitario]]*ventas[[#This Row],[cantidad]])</f>
        <v>1600000</v>
      </c>
      <c r="S663">
        <f>ventas[[#This Row],[Total_Productos]]*ventas[[#This Row],[descuento_pct]]</f>
        <v>160000</v>
      </c>
      <c r="T663">
        <f>ventas[[#This Row],[Total_Productos]]-ventas[[#This Row],[Valor_descuento]]</f>
        <v>1440000</v>
      </c>
    </row>
    <row r="664" spans="1:20" x14ac:dyDescent="0.3">
      <c r="A664">
        <v>817</v>
      </c>
      <c r="B664" s="1">
        <v>45744</v>
      </c>
      <c r="C664">
        <v>55</v>
      </c>
      <c r="D664">
        <v>9</v>
      </c>
      <c r="E664">
        <v>104</v>
      </c>
      <c r="F664" t="s">
        <v>209</v>
      </c>
      <c r="G664" t="s">
        <v>210</v>
      </c>
      <c r="H664" t="s">
        <v>42</v>
      </c>
      <c r="I664">
        <v>28</v>
      </c>
      <c r="J664" t="s">
        <v>43</v>
      </c>
      <c r="K664" t="str">
        <f>_xlfn.XLOOKUP( ventas[[#This Row],[ciudad_cliente]],  ciudades[Ciudad], ciudades[Region])</f>
        <v>Antofagasta</v>
      </c>
      <c r="L664" t="s">
        <v>38</v>
      </c>
      <c r="M664" t="s">
        <v>46</v>
      </c>
      <c r="N664" t="str">
        <f>_xlfn.XLOOKUP(ventas[[#This Row],[producto]], categ[Producto], categ[Categoria])</f>
        <v>Tecnología</v>
      </c>
      <c r="O664">
        <v>750000</v>
      </c>
      <c r="P664">
        <v>2</v>
      </c>
      <c r="Q664" s="11">
        <v>0.1</v>
      </c>
      <c r="R664">
        <f>(ventas[[#This Row],[precio_unitario]]*ventas[[#This Row],[cantidad]])</f>
        <v>1500000</v>
      </c>
      <c r="S664">
        <f>ventas[[#This Row],[Total_Productos]]*ventas[[#This Row],[descuento_pct]]</f>
        <v>150000</v>
      </c>
      <c r="T664">
        <f>ventas[[#This Row],[Total_Productos]]-ventas[[#This Row],[Valor_descuento]]</f>
        <v>1350000</v>
      </c>
    </row>
    <row r="665" spans="1:20" x14ac:dyDescent="0.3">
      <c r="A665">
        <v>916</v>
      </c>
      <c r="B665" s="1">
        <v>45843</v>
      </c>
      <c r="C665">
        <v>48</v>
      </c>
      <c r="D665">
        <v>6</v>
      </c>
      <c r="E665">
        <v>104</v>
      </c>
      <c r="F665" t="s">
        <v>209</v>
      </c>
      <c r="G665" t="s">
        <v>210</v>
      </c>
      <c r="H665" t="s">
        <v>42</v>
      </c>
      <c r="I665">
        <v>28</v>
      </c>
      <c r="J665" t="s">
        <v>37</v>
      </c>
      <c r="K665" t="str">
        <f>_xlfn.XLOOKUP( ventas[[#This Row],[ciudad_cliente]],  ciudades[Ciudad], ciudades[Region])</f>
        <v>Valparaíso</v>
      </c>
      <c r="L665" t="s">
        <v>22</v>
      </c>
      <c r="M665" t="s">
        <v>56</v>
      </c>
      <c r="N665" t="str">
        <f>_xlfn.XLOOKUP(ventas[[#This Row],[producto]], categ[Producto], categ[Categoria])</f>
        <v>Vestuario</v>
      </c>
      <c r="O665">
        <v>25000</v>
      </c>
      <c r="P665">
        <v>2</v>
      </c>
      <c r="Q665" s="11">
        <v>0.05</v>
      </c>
      <c r="R665">
        <f>(ventas[[#This Row],[precio_unitario]]*ventas[[#This Row],[cantidad]])</f>
        <v>50000</v>
      </c>
      <c r="S665">
        <f>ventas[[#This Row],[Total_Productos]]*ventas[[#This Row],[descuento_pct]]</f>
        <v>2500</v>
      </c>
      <c r="T665">
        <f>ventas[[#This Row],[Total_Productos]]-ventas[[#This Row],[Valor_descuento]]</f>
        <v>47500</v>
      </c>
    </row>
    <row r="666" spans="1:20" x14ac:dyDescent="0.3">
      <c r="A666">
        <v>937</v>
      </c>
      <c r="B666" s="1">
        <v>45864</v>
      </c>
      <c r="C666">
        <v>50</v>
      </c>
      <c r="D666">
        <v>0</v>
      </c>
      <c r="E666">
        <v>104</v>
      </c>
      <c r="F666" t="s">
        <v>209</v>
      </c>
      <c r="G666" t="s">
        <v>210</v>
      </c>
      <c r="H666" t="s">
        <v>42</v>
      </c>
      <c r="I666">
        <v>28</v>
      </c>
      <c r="J666" t="s">
        <v>20</v>
      </c>
      <c r="K666" t="str">
        <f>_xlfn.XLOOKUP( ventas[[#This Row],[ciudad_cliente]],  ciudades[Ciudad], ciudades[Region])</f>
        <v>La Araucanía</v>
      </c>
      <c r="L666" t="s">
        <v>29</v>
      </c>
      <c r="M666" t="s">
        <v>46</v>
      </c>
      <c r="N666" t="str">
        <f>_xlfn.XLOOKUP(ventas[[#This Row],[producto]], categ[Producto], categ[Categoria])</f>
        <v>Tecnología</v>
      </c>
      <c r="O666">
        <v>750000</v>
      </c>
      <c r="P666">
        <v>2</v>
      </c>
      <c r="Q666" s="11">
        <v>0</v>
      </c>
      <c r="R666">
        <f>(ventas[[#This Row],[precio_unitario]]*ventas[[#This Row],[cantidad]])</f>
        <v>1500000</v>
      </c>
      <c r="S666">
        <f>ventas[[#This Row],[Total_Productos]]*ventas[[#This Row],[descuento_pct]]</f>
        <v>0</v>
      </c>
      <c r="T666">
        <f>ventas[[#This Row],[Total_Productos]]-ventas[[#This Row],[Valor_descuento]]</f>
        <v>1500000</v>
      </c>
    </row>
    <row r="667" spans="1:20" x14ac:dyDescent="0.3">
      <c r="A667">
        <v>983</v>
      </c>
      <c r="B667" s="1">
        <v>45910</v>
      </c>
      <c r="C667">
        <v>9</v>
      </c>
      <c r="D667">
        <v>9</v>
      </c>
      <c r="E667">
        <v>104</v>
      </c>
      <c r="F667" t="s">
        <v>209</v>
      </c>
      <c r="G667" t="s">
        <v>210</v>
      </c>
      <c r="H667" t="s">
        <v>42</v>
      </c>
      <c r="I667">
        <v>28</v>
      </c>
      <c r="J667" t="s">
        <v>37</v>
      </c>
      <c r="K667" t="str">
        <f>_xlfn.XLOOKUP( ventas[[#This Row],[ciudad_cliente]],  ciudades[Ciudad], ciudades[Region])</f>
        <v>Valparaíso</v>
      </c>
      <c r="L667" t="s">
        <v>22</v>
      </c>
      <c r="M667" t="s">
        <v>62</v>
      </c>
      <c r="N667" t="str">
        <f>_xlfn.XLOOKUP(ventas[[#This Row],[producto]], categ[Producto], categ[Categoria])</f>
        <v>Electrohogar</v>
      </c>
      <c r="O667">
        <v>650000</v>
      </c>
      <c r="P667">
        <v>3</v>
      </c>
      <c r="Q667" s="11">
        <v>0.05</v>
      </c>
      <c r="R667">
        <f>(ventas[[#This Row],[precio_unitario]]*ventas[[#This Row],[cantidad]])</f>
        <v>1950000</v>
      </c>
      <c r="S667">
        <f>ventas[[#This Row],[Total_Productos]]*ventas[[#This Row],[descuento_pct]]</f>
        <v>97500</v>
      </c>
      <c r="T667">
        <f>ventas[[#This Row],[Total_Productos]]-ventas[[#This Row],[Valor_descuento]]</f>
        <v>1852500</v>
      </c>
    </row>
    <row r="668" spans="1:20" x14ac:dyDescent="0.3">
      <c r="A668">
        <v>260</v>
      </c>
      <c r="B668" s="1">
        <v>45187</v>
      </c>
      <c r="C668">
        <v>28</v>
      </c>
      <c r="D668">
        <v>5</v>
      </c>
      <c r="E668">
        <v>91</v>
      </c>
      <c r="F668" t="s">
        <v>408</v>
      </c>
      <c r="G668" t="s">
        <v>409</v>
      </c>
      <c r="H668" t="s">
        <v>19</v>
      </c>
      <c r="I668">
        <v>39</v>
      </c>
      <c r="J668" t="s">
        <v>116</v>
      </c>
      <c r="K668" t="str">
        <f>_xlfn.XLOOKUP( ventas[[#This Row],[ciudad_cliente]],  ciudades[Ciudad], ciudades[Region])</f>
        <v>Valparaíso</v>
      </c>
      <c r="L668" t="s">
        <v>22</v>
      </c>
      <c r="M668" t="s">
        <v>49</v>
      </c>
      <c r="N668" t="str">
        <f>_xlfn.XLOOKUP(ventas[[#This Row],[producto]], categ[Producto], categ[Categoria])</f>
        <v>Electrohogar</v>
      </c>
      <c r="O668">
        <v>800000</v>
      </c>
      <c r="P668">
        <v>2</v>
      </c>
      <c r="Q668" s="11">
        <v>0.1</v>
      </c>
      <c r="R668">
        <f>(ventas[[#This Row],[precio_unitario]]*ventas[[#This Row],[cantidad]])</f>
        <v>1600000</v>
      </c>
      <c r="S668">
        <f>ventas[[#This Row],[Total_Productos]]*ventas[[#This Row],[descuento_pct]]</f>
        <v>160000</v>
      </c>
      <c r="T668">
        <f>ventas[[#This Row],[Total_Productos]]-ventas[[#This Row],[Valor_descuento]]</f>
        <v>1440000</v>
      </c>
    </row>
    <row r="669" spans="1:20" x14ac:dyDescent="0.3">
      <c r="A669">
        <v>356</v>
      </c>
      <c r="B669" s="1">
        <v>45283</v>
      </c>
      <c r="C669">
        <v>23</v>
      </c>
      <c r="D669">
        <v>0</v>
      </c>
      <c r="E669">
        <v>91</v>
      </c>
      <c r="F669" t="s">
        <v>408</v>
      </c>
      <c r="G669" t="s">
        <v>409</v>
      </c>
      <c r="H669" t="s">
        <v>19</v>
      </c>
      <c r="I669">
        <v>39</v>
      </c>
      <c r="J669" t="s">
        <v>52</v>
      </c>
      <c r="K669" t="str">
        <f>_xlfn.XLOOKUP( ventas[[#This Row],[ciudad_cliente]],  ciudades[Ciudad], ciudades[Region])</f>
        <v>Biobío</v>
      </c>
      <c r="L669" t="s">
        <v>22</v>
      </c>
      <c r="M669" t="s">
        <v>49</v>
      </c>
      <c r="N669" t="str">
        <f>_xlfn.XLOOKUP(ventas[[#This Row],[producto]], categ[Producto], categ[Categoria])</f>
        <v>Electrohogar</v>
      </c>
      <c r="O669">
        <v>800000</v>
      </c>
      <c r="P669">
        <v>2</v>
      </c>
      <c r="Q669" s="11">
        <v>0</v>
      </c>
      <c r="R669">
        <f>(ventas[[#This Row],[precio_unitario]]*ventas[[#This Row],[cantidad]])</f>
        <v>1600000</v>
      </c>
      <c r="S669">
        <f>ventas[[#This Row],[Total_Productos]]*ventas[[#This Row],[descuento_pct]]</f>
        <v>0</v>
      </c>
      <c r="T669">
        <f>ventas[[#This Row],[Total_Productos]]-ventas[[#This Row],[Valor_descuento]]</f>
        <v>1600000</v>
      </c>
    </row>
    <row r="670" spans="1:20" x14ac:dyDescent="0.3">
      <c r="A670">
        <v>592</v>
      </c>
      <c r="B670" s="1">
        <v>45519</v>
      </c>
      <c r="C670">
        <v>16</v>
      </c>
      <c r="D670">
        <v>3</v>
      </c>
      <c r="E670">
        <v>91</v>
      </c>
      <c r="F670" t="s">
        <v>408</v>
      </c>
      <c r="G670" t="s">
        <v>409</v>
      </c>
      <c r="H670" t="s">
        <v>19</v>
      </c>
      <c r="I670">
        <v>39</v>
      </c>
      <c r="J670" t="s">
        <v>20</v>
      </c>
      <c r="K670" t="str">
        <f>_xlfn.XLOOKUP( ventas[[#This Row],[ciudad_cliente]],  ciudades[Ciudad], ciudades[Region])</f>
        <v>La Araucanía</v>
      </c>
      <c r="L670" t="s">
        <v>29</v>
      </c>
      <c r="M670" t="s">
        <v>102</v>
      </c>
      <c r="N670" t="str">
        <f>_xlfn.XLOOKUP(ventas[[#This Row],[producto]], categ[Producto], categ[Categoria])</f>
        <v>Vestuario</v>
      </c>
      <c r="O670">
        <v>12000</v>
      </c>
      <c r="P670">
        <v>3</v>
      </c>
      <c r="Q670" s="11">
        <v>0.1</v>
      </c>
      <c r="R670">
        <f>(ventas[[#This Row],[precio_unitario]]*ventas[[#This Row],[cantidad]])</f>
        <v>36000</v>
      </c>
      <c r="S670">
        <f>ventas[[#This Row],[Total_Productos]]*ventas[[#This Row],[descuento_pct]]</f>
        <v>3600</v>
      </c>
      <c r="T670">
        <f>ventas[[#This Row],[Total_Productos]]-ventas[[#This Row],[Valor_descuento]]</f>
        <v>32400</v>
      </c>
    </row>
    <row r="671" spans="1:20" x14ac:dyDescent="0.3">
      <c r="A671">
        <v>797</v>
      </c>
      <c r="B671" s="1">
        <v>45724</v>
      </c>
      <c r="C671">
        <v>41</v>
      </c>
      <c r="D671">
        <v>4</v>
      </c>
      <c r="E671">
        <v>91</v>
      </c>
      <c r="F671" t="s">
        <v>408</v>
      </c>
      <c r="G671" t="s">
        <v>409</v>
      </c>
      <c r="H671" t="s">
        <v>19</v>
      </c>
      <c r="I671">
        <v>39</v>
      </c>
      <c r="J671" t="s">
        <v>43</v>
      </c>
      <c r="K671" t="str">
        <f>_xlfn.XLOOKUP( ventas[[#This Row],[ciudad_cliente]],  ciudades[Ciudad], ciudades[Region])</f>
        <v>Antofagasta</v>
      </c>
      <c r="L671" t="s">
        <v>22</v>
      </c>
      <c r="M671" t="s">
        <v>23</v>
      </c>
      <c r="N671" t="str">
        <f>_xlfn.XLOOKUP(ventas[[#This Row],[producto]], categ[Producto], categ[Categoria])</f>
        <v>Belleza</v>
      </c>
      <c r="O671">
        <v>15000</v>
      </c>
      <c r="P671">
        <v>1</v>
      </c>
      <c r="Q671" s="11">
        <v>0</v>
      </c>
      <c r="R671">
        <f>(ventas[[#This Row],[precio_unitario]]*ventas[[#This Row],[cantidad]])</f>
        <v>15000</v>
      </c>
      <c r="S671">
        <f>ventas[[#This Row],[Total_Productos]]*ventas[[#This Row],[descuento_pct]]</f>
        <v>0</v>
      </c>
      <c r="T671">
        <f>ventas[[#This Row],[Total_Productos]]-ventas[[#This Row],[Valor_descuento]]</f>
        <v>15000</v>
      </c>
    </row>
    <row r="672" spans="1:20" x14ac:dyDescent="0.3">
      <c r="A672">
        <v>834</v>
      </c>
      <c r="B672" s="1">
        <v>45761</v>
      </c>
      <c r="C672">
        <v>42</v>
      </c>
      <c r="D672">
        <v>4</v>
      </c>
      <c r="E672">
        <v>91</v>
      </c>
      <c r="F672" t="s">
        <v>408</v>
      </c>
      <c r="G672" t="s">
        <v>409</v>
      </c>
      <c r="H672" t="s">
        <v>19</v>
      </c>
      <c r="I672">
        <v>39</v>
      </c>
      <c r="J672" t="s">
        <v>27</v>
      </c>
      <c r="K672" t="str">
        <f>_xlfn.XLOOKUP( ventas[[#This Row],[ciudad_cliente]],  ciudades[Ciudad], ciudades[Region])</f>
        <v>Biobío</v>
      </c>
      <c r="L672" t="s">
        <v>22</v>
      </c>
      <c r="M672" t="s">
        <v>46</v>
      </c>
      <c r="N672" t="str">
        <f>_xlfn.XLOOKUP(ventas[[#This Row],[producto]], categ[Producto], categ[Categoria])</f>
        <v>Tecnología</v>
      </c>
      <c r="O672">
        <v>750000</v>
      </c>
      <c r="P672">
        <v>1</v>
      </c>
      <c r="Q672" s="11">
        <v>0</v>
      </c>
      <c r="R672">
        <f>(ventas[[#This Row],[precio_unitario]]*ventas[[#This Row],[cantidad]])</f>
        <v>750000</v>
      </c>
      <c r="S672">
        <f>ventas[[#This Row],[Total_Productos]]*ventas[[#This Row],[descuento_pct]]</f>
        <v>0</v>
      </c>
      <c r="T672">
        <f>ventas[[#This Row],[Total_Productos]]-ventas[[#This Row],[Valor_descuento]]</f>
        <v>750000</v>
      </c>
    </row>
    <row r="673" spans="1:20" x14ac:dyDescent="0.3">
      <c r="A673">
        <v>288</v>
      </c>
      <c r="B673" s="1">
        <v>45215</v>
      </c>
      <c r="C673">
        <v>50</v>
      </c>
      <c r="D673">
        <v>0</v>
      </c>
      <c r="E673">
        <v>73</v>
      </c>
      <c r="F673" t="s">
        <v>428</v>
      </c>
      <c r="G673" t="s">
        <v>429</v>
      </c>
      <c r="H673" t="s">
        <v>42</v>
      </c>
      <c r="I673">
        <v>37</v>
      </c>
      <c r="J673" t="s">
        <v>20</v>
      </c>
      <c r="K673" t="str">
        <f>_xlfn.XLOOKUP( ventas[[#This Row],[ciudad_cliente]],  ciudades[Ciudad], ciudades[Region])</f>
        <v>La Araucanía</v>
      </c>
      <c r="L673" t="s">
        <v>22</v>
      </c>
      <c r="M673" t="s">
        <v>98</v>
      </c>
      <c r="N673" t="str">
        <f>_xlfn.XLOOKUP(ventas[[#This Row],[producto]], categ[Producto], categ[Categoria])</f>
        <v>Calzado</v>
      </c>
      <c r="O673">
        <v>55000</v>
      </c>
      <c r="P673">
        <v>1</v>
      </c>
      <c r="Q673" s="11">
        <v>0.1</v>
      </c>
      <c r="R673">
        <f>(ventas[[#This Row],[precio_unitario]]*ventas[[#This Row],[cantidad]])</f>
        <v>55000</v>
      </c>
      <c r="S673">
        <f>ventas[[#This Row],[Total_Productos]]*ventas[[#This Row],[descuento_pct]]</f>
        <v>5500</v>
      </c>
      <c r="T673">
        <f>ventas[[#This Row],[Total_Productos]]-ventas[[#This Row],[Valor_descuento]]</f>
        <v>49500</v>
      </c>
    </row>
    <row r="674" spans="1:20" x14ac:dyDescent="0.3">
      <c r="A674">
        <v>365</v>
      </c>
      <c r="B674" s="1">
        <v>45292</v>
      </c>
      <c r="C674">
        <v>50</v>
      </c>
      <c r="D674">
        <v>0</v>
      </c>
      <c r="E674">
        <v>240</v>
      </c>
      <c r="F674" t="s">
        <v>486</v>
      </c>
      <c r="G674" t="s">
        <v>487</v>
      </c>
      <c r="H674" t="s">
        <v>19</v>
      </c>
      <c r="I674">
        <v>48</v>
      </c>
      <c r="J674" t="s">
        <v>20</v>
      </c>
      <c r="K674" t="str">
        <f>_xlfn.XLOOKUP( ventas[[#This Row],[ciudad_cliente]],  ciudades[Ciudad], ciudades[Region])</f>
        <v>La Araucanía</v>
      </c>
      <c r="L674" t="s">
        <v>22</v>
      </c>
      <c r="M674" t="s">
        <v>98</v>
      </c>
      <c r="N674" t="str">
        <f>_xlfn.XLOOKUP(ventas[[#This Row],[producto]], categ[Producto], categ[Categoria])</f>
        <v>Calzado</v>
      </c>
      <c r="O674">
        <v>55000</v>
      </c>
      <c r="P674">
        <v>3</v>
      </c>
      <c r="Q674" s="11">
        <v>0.05</v>
      </c>
      <c r="R674">
        <f>(ventas[[#This Row],[precio_unitario]]*ventas[[#This Row],[cantidad]])</f>
        <v>165000</v>
      </c>
      <c r="S674">
        <f>ventas[[#This Row],[Total_Productos]]*ventas[[#This Row],[descuento_pct]]</f>
        <v>8250</v>
      </c>
      <c r="T674">
        <f>ventas[[#This Row],[Total_Productos]]-ventas[[#This Row],[Valor_descuento]]</f>
        <v>156750</v>
      </c>
    </row>
    <row r="675" spans="1:20" x14ac:dyDescent="0.3">
      <c r="A675">
        <v>530</v>
      </c>
      <c r="B675" s="1">
        <v>45457</v>
      </c>
      <c r="C675">
        <v>33</v>
      </c>
      <c r="D675">
        <v>13</v>
      </c>
      <c r="E675">
        <v>240</v>
      </c>
      <c r="F675" t="s">
        <v>486</v>
      </c>
      <c r="G675" t="s">
        <v>487</v>
      </c>
      <c r="H675" t="s">
        <v>19</v>
      </c>
      <c r="I675">
        <v>48</v>
      </c>
      <c r="J675" t="s">
        <v>101</v>
      </c>
      <c r="K675" t="str">
        <f>_xlfn.XLOOKUP( ventas[[#This Row],[ciudad_cliente]],  ciudades[Ciudad], ciudades[Region])</f>
        <v>O'Higgins</v>
      </c>
      <c r="L675" t="s">
        <v>29</v>
      </c>
      <c r="M675" t="s">
        <v>46</v>
      </c>
      <c r="N675" t="str">
        <f>_xlfn.XLOOKUP(ventas[[#This Row],[producto]], categ[Producto], categ[Categoria])</f>
        <v>Tecnología</v>
      </c>
      <c r="O675">
        <v>750000</v>
      </c>
      <c r="P675">
        <v>3</v>
      </c>
      <c r="Q675" s="11">
        <v>0</v>
      </c>
      <c r="R675">
        <f>(ventas[[#This Row],[precio_unitario]]*ventas[[#This Row],[cantidad]])</f>
        <v>2250000</v>
      </c>
      <c r="S675">
        <f>ventas[[#This Row],[Total_Productos]]*ventas[[#This Row],[descuento_pct]]</f>
        <v>0</v>
      </c>
      <c r="T675">
        <f>ventas[[#This Row],[Total_Productos]]-ventas[[#This Row],[Valor_descuento]]</f>
        <v>2250000</v>
      </c>
    </row>
    <row r="676" spans="1:20" x14ac:dyDescent="0.3">
      <c r="A676">
        <v>563</v>
      </c>
      <c r="B676" s="1">
        <v>45490</v>
      </c>
      <c r="C676">
        <v>60</v>
      </c>
      <c r="D676">
        <v>1</v>
      </c>
      <c r="E676">
        <v>240</v>
      </c>
      <c r="F676" t="s">
        <v>486</v>
      </c>
      <c r="G676" t="s">
        <v>487</v>
      </c>
      <c r="H676" t="s">
        <v>19</v>
      </c>
      <c r="I676">
        <v>48</v>
      </c>
      <c r="J676" t="s">
        <v>37</v>
      </c>
      <c r="K676" t="str">
        <f>_xlfn.XLOOKUP( ventas[[#This Row],[ciudad_cliente]],  ciudades[Ciudad], ciudades[Region])</f>
        <v>Valparaíso</v>
      </c>
      <c r="L676" t="s">
        <v>38</v>
      </c>
      <c r="M676" t="s">
        <v>30</v>
      </c>
      <c r="N676" t="str">
        <f>_xlfn.XLOOKUP(ventas[[#This Row],[producto]], categ[Producto], categ[Categoria])</f>
        <v>Electrohogar</v>
      </c>
      <c r="O676">
        <v>700000</v>
      </c>
      <c r="P676">
        <v>2</v>
      </c>
      <c r="Q676" s="11">
        <v>0.05</v>
      </c>
      <c r="R676">
        <f>(ventas[[#This Row],[precio_unitario]]*ventas[[#This Row],[cantidad]])</f>
        <v>1400000</v>
      </c>
      <c r="S676">
        <f>ventas[[#This Row],[Total_Productos]]*ventas[[#This Row],[descuento_pct]]</f>
        <v>70000</v>
      </c>
      <c r="T676">
        <f>ventas[[#This Row],[Total_Productos]]-ventas[[#This Row],[Valor_descuento]]</f>
        <v>1330000</v>
      </c>
    </row>
    <row r="677" spans="1:20" x14ac:dyDescent="0.3">
      <c r="A677">
        <v>667</v>
      </c>
      <c r="B677" s="1">
        <v>45594</v>
      </c>
      <c r="C677">
        <v>51</v>
      </c>
      <c r="D677">
        <v>7</v>
      </c>
      <c r="E677">
        <v>240</v>
      </c>
      <c r="F677" t="s">
        <v>486</v>
      </c>
      <c r="G677" t="s">
        <v>487</v>
      </c>
      <c r="H677" t="s">
        <v>19</v>
      </c>
      <c r="I677">
        <v>48</v>
      </c>
      <c r="J677" t="s">
        <v>101</v>
      </c>
      <c r="K677" t="str">
        <f>_xlfn.XLOOKUP( ventas[[#This Row],[ciudad_cliente]],  ciudades[Ciudad], ciudades[Region])</f>
        <v>O'Higgins</v>
      </c>
      <c r="L677" t="s">
        <v>38</v>
      </c>
      <c r="M677" t="s">
        <v>56</v>
      </c>
      <c r="N677" t="str">
        <f>_xlfn.XLOOKUP(ventas[[#This Row],[producto]], categ[Producto], categ[Categoria])</f>
        <v>Vestuario</v>
      </c>
      <c r="O677">
        <v>25000</v>
      </c>
      <c r="P677">
        <v>1</v>
      </c>
      <c r="Q677" s="11">
        <v>0</v>
      </c>
      <c r="R677">
        <f>(ventas[[#This Row],[precio_unitario]]*ventas[[#This Row],[cantidad]])</f>
        <v>25000</v>
      </c>
      <c r="S677">
        <f>ventas[[#This Row],[Total_Productos]]*ventas[[#This Row],[descuento_pct]]</f>
        <v>0</v>
      </c>
      <c r="T677">
        <f>ventas[[#This Row],[Total_Productos]]-ventas[[#This Row],[Valor_descuento]]</f>
        <v>25000</v>
      </c>
    </row>
    <row r="678" spans="1:20" x14ac:dyDescent="0.3">
      <c r="A678">
        <v>430</v>
      </c>
      <c r="B678" s="1">
        <v>45357</v>
      </c>
      <c r="C678">
        <v>52</v>
      </c>
      <c r="D678">
        <v>0</v>
      </c>
      <c r="E678">
        <v>31</v>
      </c>
      <c r="F678" t="s">
        <v>512</v>
      </c>
      <c r="G678" t="s">
        <v>513</v>
      </c>
      <c r="H678" t="s">
        <v>19</v>
      </c>
      <c r="I678">
        <v>30</v>
      </c>
      <c r="J678" t="s">
        <v>27</v>
      </c>
      <c r="K678" t="str">
        <f>_xlfn.XLOOKUP( ventas[[#This Row],[ciudad_cliente]],  ciudades[Ciudad], ciudades[Region])</f>
        <v>Biobío</v>
      </c>
      <c r="L678" t="s">
        <v>38</v>
      </c>
      <c r="M678" t="s">
        <v>39</v>
      </c>
      <c r="N678" t="str">
        <f>_xlfn.XLOOKUP(ventas[[#This Row],[producto]], categ[Producto], categ[Categoria])</f>
        <v>Belleza</v>
      </c>
      <c r="O678">
        <v>35000</v>
      </c>
      <c r="P678">
        <v>1</v>
      </c>
      <c r="Q678" s="11">
        <v>0</v>
      </c>
      <c r="R678">
        <f>(ventas[[#This Row],[precio_unitario]]*ventas[[#This Row],[cantidad]])</f>
        <v>35000</v>
      </c>
      <c r="S678">
        <f>ventas[[#This Row],[Total_Productos]]*ventas[[#This Row],[descuento_pct]]</f>
        <v>0</v>
      </c>
      <c r="T678">
        <f>ventas[[#This Row],[Total_Productos]]-ventas[[#This Row],[Valor_descuento]]</f>
        <v>35000</v>
      </c>
    </row>
    <row r="679" spans="1:20" x14ac:dyDescent="0.3">
      <c r="A679">
        <v>575</v>
      </c>
      <c r="B679" s="1">
        <v>45502</v>
      </c>
      <c r="C679">
        <v>66</v>
      </c>
      <c r="D679">
        <v>2</v>
      </c>
      <c r="E679">
        <v>31</v>
      </c>
      <c r="F679" t="s">
        <v>512</v>
      </c>
      <c r="G679" t="s">
        <v>513</v>
      </c>
      <c r="H679" t="s">
        <v>19</v>
      </c>
      <c r="I679">
        <v>30</v>
      </c>
      <c r="J679" t="s">
        <v>27</v>
      </c>
      <c r="K679" t="str">
        <f>_xlfn.XLOOKUP( ventas[[#This Row],[ciudad_cliente]],  ciudades[Ciudad], ciudades[Region])</f>
        <v>Biobío</v>
      </c>
      <c r="L679" t="s">
        <v>22</v>
      </c>
      <c r="M679" t="s">
        <v>23</v>
      </c>
      <c r="N679" t="str">
        <f>_xlfn.XLOOKUP(ventas[[#This Row],[producto]], categ[Producto], categ[Categoria])</f>
        <v>Belleza</v>
      </c>
      <c r="O679">
        <v>15000</v>
      </c>
      <c r="P679">
        <v>3</v>
      </c>
      <c r="Q679" s="11">
        <v>0</v>
      </c>
      <c r="R679">
        <f>(ventas[[#This Row],[precio_unitario]]*ventas[[#This Row],[cantidad]])</f>
        <v>45000</v>
      </c>
      <c r="S679">
        <f>ventas[[#This Row],[Total_Productos]]*ventas[[#This Row],[descuento_pct]]</f>
        <v>0</v>
      </c>
      <c r="T679">
        <f>ventas[[#This Row],[Total_Productos]]-ventas[[#This Row],[Valor_descuento]]</f>
        <v>45000</v>
      </c>
    </row>
    <row r="680" spans="1:20" x14ac:dyDescent="0.3">
      <c r="A680">
        <v>1</v>
      </c>
      <c r="B680" s="1">
        <v>44928</v>
      </c>
      <c r="C680">
        <v>50</v>
      </c>
      <c r="D680">
        <v>0</v>
      </c>
      <c r="E680">
        <v>254</v>
      </c>
      <c r="F680" t="s">
        <v>17</v>
      </c>
      <c r="G680" t="s">
        <v>18</v>
      </c>
      <c r="H680" t="s">
        <v>19</v>
      </c>
      <c r="I680">
        <v>50</v>
      </c>
      <c r="J680" t="s">
        <v>20</v>
      </c>
      <c r="K680" t="str">
        <f>_xlfn.XLOOKUP( ventas[[#This Row],[ciudad_cliente]],  ciudades[Ciudad], ciudades[Region])</f>
        <v>La Araucanía</v>
      </c>
      <c r="L680" t="s">
        <v>22</v>
      </c>
      <c r="M680" t="s">
        <v>23</v>
      </c>
      <c r="N680" t="str">
        <f>_xlfn.XLOOKUP(ventas[[#This Row],[producto]], categ[Producto], categ[Categoria])</f>
        <v>Belleza</v>
      </c>
      <c r="O680">
        <v>15000</v>
      </c>
      <c r="P680">
        <v>3</v>
      </c>
      <c r="Q680" s="11">
        <v>0</v>
      </c>
      <c r="R680">
        <f>(ventas[[#This Row],[precio_unitario]]*ventas[[#This Row],[cantidad]])</f>
        <v>45000</v>
      </c>
      <c r="S680">
        <f>ventas[[#This Row],[Total_Productos]]*ventas[[#This Row],[descuento_pct]]</f>
        <v>0</v>
      </c>
      <c r="T680">
        <f>ventas[[#This Row],[Total_Productos]]-ventas[[#This Row],[Valor_descuento]]</f>
        <v>45000</v>
      </c>
    </row>
    <row r="681" spans="1:20" x14ac:dyDescent="0.3">
      <c r="A681">
        <v>43</v>
      </c>
      <c r="B681" s="1">
        <v>44970</v>
      </c>
      <c r="C681">
        <v>32</v>
      </c>
      <c r="D681">
        <v>5</v>
      </c>
      <c r="E681">
        <v>254</v>
      </c>
      <c r="F681" t="s">
        <v>17</v>
      </c>
      <c r="G681" t="s">
        <v>18</v>
      </c>
      <c r="H681" t="s">
        <v>19</v>
      </c>
      <c r="I681">
        <v>50</v>
      </c>
      <c r="J681" t="s">
        <v>76</v>
      </c>
      <c r="K681" t="str">
        <f>_xlfn.XLOOKUP( ventas[[#This Row],[ciudad_cliente]],  ciudades[Ciudad], ciudades[Region])</f>
        <v>Los Lagos</v>
      </c>
      <c r="L681" t="s">
        <v>22</v>
      </c>
      <c r="M681" t="s">
        <v>69</v>
      </c>
      <c r="N681" t="str">
        <f>_xlfn.XLOOKUP(ventas[[#This Row],[producto]], categ[Producto], categ[Categoria])</f>
        <v>Tecnología</v>
      </c>
      <c r="O681">
        <v>450000</v>
      </c>
      <c r="P681">
        <v>2</v>
      </c>
      <c r="Q681" s="11">
        <v>0</v>
      </c>
      <c r="R681">
        <f>(ventas[[#This Row],[precio_unitario]]*ventas[[#This Row],[cantidad]])</f>
        <v>900000</v>
      </c>
      <c r="S681">
        <f>ventas[[#This Row],[Total_Productos]]*ventas[[#This Row],[descuento_pct]]</f>
        <v>0</v>
      </c>
      <c r="T681">
        <f>ventas[[#This Row],[Total_Productos]]-ventas[[#This Row],[Valor_descuento]]</f>
        <v>900000</v>
      </c>
    </row>
    <row r="682" spans="1:20" x14ac:dyDescent="0.3">
      <c r="A682">
        <v>596</v>
      </c>
      <c r="B682" s="1">
        <v>45523</v>
      </c>
      <c r="C682">
        <v>69</v>
      </c>
      <c r="D682">
        <v>1</v>
      </c>
      <c r="E682">
        <v>254</v>
      </c>
      <c r="F682" t="s">
        <v>17</v>
      </c>
      <c r="G682" t="s">
        <v>18</v>
      </c>
      <c r="H682" t="s">
        <v>19</v>
      </c>
      <c r="I682">
        <v>50</v>
      </c>
      <c r="J682" t="s">
        <v>76</v>
      </c>
      <c r="K682" t="str">
        <f>_xlfn.XLOOKUP( ventas[[#This Row],[ciudad_cliente]],  ciudades[Ciudad], ciudades[Region])</f>
        <v>Los Lagos</v>
      </c>
      <c r="L682" t="s">
        <v>29</v>
      </c>
      <c r="M682" t="s">
        <v>39</v>
      </c>
      <c r="N682" t="str">
        <f>_xlfn.XLOOKUP(ventas[[#This Row],[producto]], categ[Producto], categ[Categoria])</f>
        <v>Belleza</v>
      </c>
      <c r="O682">
        <v>35000</v>
      </c>
      <c r="P682">
        <v>3</v>
      </c>
      <c r="Q682" s="11">
        <v>0</v>
      </c>
      <c r="R682">
        <f>(ventas[[#This Row],[precio_unitario]]*ventas[[#This Row],[cantidad]])</f>
        <v>105000</v>
      </c>
      <c r="S682">
        <f>ventas[[#This Row],[Total_Productos]]*ventas[[#This Row],[descuento_pct]]</f>
        <v>0</v>
      </c>
      <c r="T682">
        <f>ventas[[#This Row],[Total_Productos]]-ventas[[#This Row],[Valor_descuento]]</f>
        <v>105000</v>
      </c>
    </row>
    <row r="683" spans="1:20" x14ac:dyDescent="0.3">
      <c r="A683">
        <v>853</v>
      </c>
      <c r="B683" s="1">
        <v>45780</v>
      </c>
      <c r="C683">
        <v>14</v>
      </c>
      <c r="D683">
        <v>0</v>
      </c>
      <c r="E683">
        <v>254</v>
      </c>
      <c r="F683" t="s">
        <v>17</v>
      </c>
      <c r="G683" t="s">
        <v>18</v>
      </c>
      <c r="H683" t="s">
        <v>19</v>
      </c>
      <c r="I683">
        <v>50</v>
      </c>
      <c r="J683" t="s">
        <v>34</v>
      </c>
      <c r="K683" t="str">
        <f>_xlfn.XLOOKUP( ventas[[#This Row],[ciudad_cliente]],  ciudades[Ciudad], ciudades[Region])</f>
        <v>Metropolitana</v>
      </c>
      <c r="L683" t="s">
        <v>38</v>
      </c>
      <c r="M683" t="s">
        <v>69</v>
      </c>
      <c r="N683" t="str">
        <f>_xlfn.XLOOKUP(ventas[[#This Row],[producto]], categ[Producto], categ[Categoria])</f>
        <v>Tecnología</v>
      </c>
      <c r="O683">
        <v>450000</v>
      </c>
      <c r="P683">
        <v>3</v>
      </c>
      <c r="Q683" s="11">
        <v>0.1</v>
      </c>
      <c r="R683">
        <f>(ventas[[#This Row],[precio_unitario]]*ventas[[#This Row],[cantidad]])</f>
        <v>1350000</v>
      </c>
      <c r="S683">
        <f>ventas[[#This Row],[Total_Productos]]*ventas[[#This Row],[descuento_pct]]</f>
        <v>135000</v>
      </c>
      <c r="T683">
        <f>ventas[[#This Row],[Total_Productos]]-ventas[[#This Row],[Valor_descuento]]</f>
        <v>1215000</v>
      </c>
    </row>
    <row r="684" spans="1:20" x14ac:dyDescent="0.3">
      <c r="A684">
        <v>942</v>
      </c>
      <c r="B684" s="1">
        <v>45869</v>
      </c>
      <c r="C684">
        <v>58</v>
      </c>
      <c r="D684">
        <v>1</v>
      </c>
      <c r="E684">
        <v>254</v>
      </c>
      <c r="F684" t="s">
        <v>17</v>
      </c>
      <c r="G684" t="s">
        <v>18</v>
      </c>
      <c r="H684" t="s">
        <v>19</v>
      </c>
      <c r="I684">
        <v>50</v>
      </c>
      <c r="J684" t="s">
        <v>76</v>
      </c>
      <c r="K684" t="str">
        <f>_xlfn.XLOOKUP( ventas[[#This Row],[ciudad_cliente]],  ciudades[Ciudad], ciudades[Region])</f>
        <v>Los Lagos</v>
      </c>
      <c r="L684" t="s">
        <v>29</v>
      </c>
      <c r="M684" t="s">
        <v>62</v>
      </c>
      <c r="N684" t="str">
        <f>_xlfn.XLOOKUP(ventas[[#This Row],[producto]], categ[Producto], categ[Categoria])</f>
        <v>Electrohogar</v>
      </c>
      <c r="O684">
        <v>650000</v>
      </c>
      <c r="P684">
        <v>3</v>
      </c>
      <c r="Q684" s="11">
        <v>0</v>
      </c>
      <c r="R684">
        <f>(ventas[[#This Row],[precio_unitario]]*ventas[[#This Row],[cantidad]])</f>
        <v>1950000</v>
      </c>
      <c r="S684">
        <f>ventas[[#This Row],[Total_Productos]]*ventas[[#This Row],[descuento_pct]]</f>
        <v>0</v>
      </c>
      <c r="T684">
        <f>ventas[[#This Row],[Total_Productos]]-ventas[[#This Row],[Valor_descuento]]</f>
        <v>1950000</v>
      </c>
    </row>
    <row r="685" spans="1:20" x14ac:dyDescent="0.3">
      <c r="A685">
        <v>505</v>
      </c>
      <c r="B685" s="1">
        <v>45432</v>
      </c>
      <c r="C685">
        <v>46</v>
      </c>
      <c r="D685">
        <v>5</v>
      </c>
      <c r="E685">
        <v>146</v>
      </c>
      <c r="F685" t="s">
        <v>538</v>
      </c>
      <c r="G685" t="s">
        <v>539</v>
      </c>
      <c r="H685" t="s">
        <v>42</v>
      </c>
      <c r="I685">
        <v>47</v>
      </c>
      <c r="J685" t="s">
        <v>84</v>
      </c>
      <c r="K685" t="str">
        <f>_xlfn.XLOOKUP( ventas[[#This Row],[ciudad_cliente]],  ciudades[Ciudad], ciudades[Region])</f>
        <v>Coquimbo</v>
      </c>
      <c r="L685" t="s">
        <v>38</v>
      </c>
      <c r="M685" t="s">
        <v>62</v>
      </c>
      <c r="N685" t="str">
        <f>_xlfn.XLOOKUP(ventas[[#This Row],[producto]], categ[Producto], categ[Categoria])</f>
        <v>Electrohogar</v>
      </c>
      <c r="O685">
        <v>650000</v>
      </c>
      <c r="P685">
        <v>1</v>
      </c>
      <c r="Q685" s="11">
        <v>0.1</v>
      </c>
      <c r="R685">
        <f>(ventas[[#This Row],[precio_unitario]]*ventas[[#This Row],[cantidad]])</f>
        <v>650000</v>
      </c>
      <c r="S685">
        <f>ventas[[#This Row],[Total_Productos]]*ventas[[#This Row],[descuento_pct]]</f>
        <v>65000</v>
      </c>
      <c r="T685">
        <f>ventas[[#This Row],[Total_Productos]]-ventas[[#This Row],[Valor_descuento]]</f>
        <v>585000</v>
      </c>
    </row>
    <row r="686" spans="1:20" x14ac:dyDescent="0.3">
      <c r="A686">
        <v>700</v>
      </c>
      <c r="B686" s="1">
        <v>45627</v>
      </c>
      <c r="C686">
        <v>17</v>
      </c>
      <c r="D686">
        <v>0</v>
      </c>
      <c r="E686">
        <v>146</v>
      </c>
      <c r="F686" t="s">
        <v>538</v>
      </c>
      <c r="G686" t="s">
        <v>539</v>
      </c>
      <c r="H686" t="s">
        <v>42</v>
      </c>
      <c r="I686">
        <v>47</v>
      </c>
      <c r="J686" t="s">
        <v>34</v>
      </c>
      <c r="K686" t="str">
        <f>_xlfn.XLOOKUP( ventas[[#This Row],[ciudad_cliente]],  ciudades[Ciudad], ciudades[Region])</f>
        <v>Metropolitana</v>
      </c>
      <c r="L686" t="s">
        <v>29</v>
      </c>
      <c r="M686" t="s">
        <v>56</v>
      </c>
      <c r="N686" t="str">
        <f>_xlfn.XLOOKUP(ventas[[#This Row],[producto]], categ[Producto], categ[Categoria])</f>
        <v>Vestuario</v>
      </c>
      <c r="O686">
        <v>25000</v>
      </c>
      <c r="P686">
        <v>3</v>
      </c>
      <c r="Q686" s="11">
        <v>0.05</v>
      </c>
      <c r="R686">
        <f>(ventas[[#This Row],[precio_unitario]]*ventas[[#This Row],[cantidad]])</f>
        <v>75000</v>
      </c>
      <c r="S686">
        <f>ventas[[#This Row],[Total_Productos]]*ventas[[#This Row],[descuento_pct]]</f>
        <v>3750</v>
      </c>
      <c r="T686">
        <f>ventas[[#This Row],[Total_Productos]]-ventas[[#This Row],[Valor_descuento]]</f>
        <v>71250</v>
      </c>
    </row>
    <row r="687" spans="1:20" x14ac:dyDescent="0.3">
      <c r="A687">
        <v>969</v>
      </c>
      <c r="B687" s="1">
        <v>45896</v>
      </c>
      <c r="C687">
        <v>42</v>
      </c>
      <c r="D687">
        <v>4</v>
      </c>
      <c r="E687">
        <v>146</v>
      </c>
      <c r="F687" t="s">
        <v>538</v>
      </c>
      <c r="G687" t="s">
        <v>539</v>
      </c>
      <c r="H687" t="s">
        <v>42</v>
      </c>
      <c r="I687">
        <v>47</v>
      </c>
      <c r="J687" t="s">
        <v>27</v>
      </c>
      <c r="K687" t="str">
        <f>_xlfn.XLOOKUP( ventas[[#This Row],[ciudad_cliente]],  ciudades[Ciudad], ciudades[Region])</f>
        <v>Biobío</v>
      </c>
      <c r="L687" t="s">
        <v>38</v>
      </c>
      <c r="M687" t="s">
        <v>49</v>
      </c>
      <c r="N687" t="str">
        <f>_xlfn.XLOOKUP(ventas[[#This Row],[producto]], categ[Producto], categ[Categoria])</f>
        <v>Electrohogar</v>
      </c>
      <c r="O687">
        <v>800000</v>
      </c>
      <c r="P687">
        <v>1</v>
      </c>
      <c r="Q687" s="11">
        <v>0.1</v>
      </c>
      <c r="R687">
        <f>(ventas[[#This Row],[precio_unitario]]*ventas[[#This Row],[cantidad]])</f>
        <v>800000</v>
      </c>
      <c r="S687">
        <f>ventas[[#This Row],[Total_Productos]]*ventas[[#This Row],[descuento_pct]]</f>
        <v>80000</v>
      </c>
      <c r="T687">
        <f>ventas[[#This Row],[Total_Productos]]-ventas[[#This Row],[Valor_descuento]]</f>
        <v>720000</v>
      </c>
    </row>
    <row r="688" spans="1:20" x14ac:dyDescent="0.3">
      <c r="A688">
        <v>969</v>
      </c>
      <c r="B688" s="1">
        <v>45896</v>
      </c>
      <c r="C688">
        <v>42</v>
      </c>
      <c r="D688">
        <v>4</v>
      </c>
      <c r="E688">
        <v>146</v>
      </c>
      <c r="F688" t="s">
        <v>538</v>
      </c>
      <c r="G688" t="s">
        <v>539</v>
      </c>
      <c r="H688" t="s">
        <v>42</v>
      </c>
      <c r="I688">
        <v>47</v>
      </c>
      <c r="J688" t="s">
        <v>27</v>
      </c>
      <c r="K688" t="str">
        <f>_xlfn.XLOOKUP( ventas[[#This Row],[ciudad_cliente]],  ciudades[Ciudad], ciudades[Region])</f>
        <v>Biobío</v>
      </c>
      <c r="L688" t="s">
        <v>38</v>
      </c>
      <c r="M688" t="s">
        <v>49</v>
      </c>
      <c r="N688" t="str">
        <f>_xlfn.XLOOKUP(ventas[[#This Row],[producto]], categ[Producto], categ[Categoria])</f>
        <v>Electrohogar</v>
      </c>
      <c r="O688">
        <v>800000</v>
      </c>
      <c r="P688">
        <v>1</v>
      </c>
      <c r="Q688" s="11">
        <v>0.1</v>
      </c>
      <c r="R688">
        <f>(ventas[[#This Row],[precio_unitario]]*ventas[[#This Row],[cantidad]])</f>
        <v>800000</v>
      </c>
      <c r="S688">
        <f>ventas[[#This Row],[Total_Productos]]*ventas[[#This Row],[descuento_pct]]</f>
        <v>80000</v>
      </c>
      <c r="T688">
        <f>ventas[[#This Row],[Total_Productos]]-ventas[[#This Row],[Valor_descuento]]</f>
        <v>720000</v>
      </c>
    </row>
    <row r="689" spans="1:20" x14ac:dyDescent="0.3">
      <c r="A689">
        <v>54</v>
      </c>
      <c r="B689" s="1">
        <v>44981</v>
      </c>
      <c r="C689">
        <v>48</v>
      </c>
      <c r="D689">
        <v>6</v>
      </c>
      <c r="E689">
        <v>99</v>
      </c>
      <c r="F689" t="s">
        <v>148</v>
      </c>
      <c r="G689" t="s">
        <v>149</v>
      </c>
      <c r="H689" t="s">
        <v>19</v>
      </c>
      <c r="I689">
        <v>38</v>
      </c>
      <c r="J689" t="s">
        <v>37</v>
      </c>
      <c r="K689" t="str">
        <f>_xlfn.XLOOKUP( ventas[[#This Row],[ciudad_cliente]],  ciudades[Ciudad], ciudades[Region])</f>
        <v>Valparaíso</v>
      </c>
      <c r="L689" t="s">
        <v>38</v>
      </c>
      <c r="M689" t="s">
        <v>102</v>
      </c>
      <c r="N689" t="str">
        <f>_xlfn.XLOOKUP(ventas[[#This Row],[producto]], categ[Producto], categ[Categoria])</f>
        <v>Vestuario</v>
      </c>
      <c r="O689">
        <v>12000</v>
      </c>
      <c r="P689">
        <v>3</v>
      </c>
      <c r="Q689" s="11">
        <v>0</v>
      </c>
      <c r="R689">
        <f>(ventas[[#This Row],[precio_unitario]]*ventas[[#This Row],[cantidad]])</f>
        <v>36000</v>
      </c>
      <c r="S689">
        <f>ventas[[#This Row],[Total_Productos]]*ventas[[#This Row],[descuento_pct]]</f>
        <v>0</v>
      </c>
      <c r="T689">
        <f>ventas[[#This Row],[Total_Productos]]-ventas[[#This Row],[Valor_descuento]]</f>
        <v>36000</v>
      </c>
    </row>
    <row r="690" spans="1:20" x14ac:dyDescent="0.3">
      <c r="A690">
        <v>414</v>
      </c>
      <c r="B690" s="1">
        <v>45341</v>
      </c>
      <c r="C690">
        <v>69</v>
      </c>
      <c r="D690">
        <v>1</v>
      </c>
      <c r="E690">
        <v>99</v>
      </c>
      <c r="F690" t="s">
        <v>148</v>
      </c>
      <c r="G690" t="s">
        <v>149</v>
      </c>
      <c r="H690" t="s">
        <v>19</v>
      </c>
      <c r="I690">
        <v>38</v>
      </c>
      <c r="J690" t="s">
        <v>76</v>
      </c>
      <c r="K690" t="str">
        <f>_xlfn.XLOOKUP( ventas[[#This Row],[ciudad_cliente]],  ciudades[Ciudad], ciudades[Region])</f>
        <v>Los Lagos</v>
      </c>
      <c r="L690" t="s">
        <v>22</v>
      </c>
      <c r="M690" t="s">
        <v>46</v>
      </c>
      <c r="N690" t="str">
        <f>_xlfn.XLOOKUP(ventas[[#This Row],[producto]], categ[Producto], categ[Categoria])</f>
        <v>Tecnología</v>
      </c>
      <c r="O690">
        <v>750000</v>
      </c>
      <c r="P690">
        <v>3</v>
      </c>
      <c r="Q690" s="11">
        <v>0</v>
      </c>
      <c r="R690">
        <f>(ventas[[#This Row],[precio_unitario]]*ventas[[#This Row],[cantidad]])</f>
        <v>2250000</v>
      </c>
      <c r="S690">
        <f>ventas[[#This Row],[Total_Productos]]*ventas[[#This Row],[descuento_pct]]</f>
        <v>0</v>
      </c>
      <c r="T690">
        <f>ventas[[#This Row],[Total_Productos]]-ventas[[#This Row],[Valor_descuento]]</f>
        <v>2250000</v>
      </c>
    </row>
    <row r="691" spans="1:20" x14ac:dyDescent="0.3">
      <c r="A691">
        <v>566</v>
      </c>
      <c r="B691" s="1">
        <v>45493</v>
      </c>
      <c r="C691">
        <v>3</v>
      </c>
      <c r="D691">
        <v>1</v>
      </c>
      <c r="E691">
        <v>99</v>
      </c>
      <c r="F691" t="s">
        <v>148</v>
      </c>
      <c r="G691" t="s">
        <v>149</v>
      </c>
      <c r="H691" t="s">
        <v>19</v>
      </c>
      <c r="I691">
        <v>38</v>
      </c>
      <c r="J691" t="s">
        <v>37</v>
      </c>
      <c r="K691" t="str">
        <f>_xlfn.XLOOKUP( ventas[[#This Row],[ciudad_cliente]],  ciudades[Ciudad], ciudades[Region])</f>
        <v>Valparaíso</v>
      </c>
      <c r="L691" t="s">
        <v>22</v>
      </c>
      <c r="M691" t="s">
        <v>23</v>
      </c>
      <c r="N691" t="str">
        <f>_xlfn.XLOOKUP(ventas[[#This Row],[producto]], categ[Producto], categ[Categoria])</f>
        <v>Belleza</v>
      </c>
      <c r="O691">
        <v>15000</v>
      </c>
      <c r="P691">
        <v>1</v>
      </c>
      <c r="Q691" s="11">
        <v>0.05</v>
      </c>
      <c r="R691">
        <f>(ventas[[#This Row],[precio_unitario]]*ventas[[#This Row],[cantidad]])</f>
        <v>15000</v>
      </c>
      <c r="S691">
        <f>ventas[[#This Row],[Total_Productos]]*ventas[[#This Row],[descuento_pct]]</f>
        <v>750</v>
      </c>
      <c r="T691">
        <f>ventas[[#This Row],[Total_Productos]]-ventas[[#This Row],[Valor_descuento]]</f>
        <v>14250</v>
      </c>
    </row>
    <row r="692" spans="1:20" x14ac:dyDescent="0.3">
      <c r="A692">
        <v>838</v>
      </c>
      <c r="B692" s="1">
        <v>45765</v>
      </c>
      <c r="C692">
        <v>46</v>
      </c>
      <c r="D692">
        <v>5</v>
      </c>
      <c r="E692">
        <v>99</v>
      </c>
      <c r="F692" t="s">
        <v>148</v>
      </c>
      <c r="G692" t="s">
        <v>149</v>
      </c>
      <c r="H692" t="s">
        <v>19</v>
      </c>
      <c r="I692">
        <v>38</v>
      </c>
      <c r="J692" t="s">
        <v>84</v>
      </c>
      <c r="K692" t="str">
        <f>_xlfn.XLOOKUP( ventas[[#This Row],[ciudad_cliente]],  ciudades[Ciudad], ciudades[Region])</f>
        <v>Coquimbo</v>
      </c>
      <c r="L692" t="s">
        <v>22</v>
      </c>
      <c r="M692" t="s">
        <v>56</v>
      </c>
      <c r="N692" t="str">
        <f>_xlfn.XLOOKUP(ventas[[#This Row],[producto]], categ[Producto], categ[Categoria])</f>
        <v>Vestuario</v>
      </c>
      <c r="O692">
        <v>25000</v>
      </c>
      <c r="P692">
        <v>3</v>
      </c>
      <c r="Q692" s="11">
        <v>0</v>
      </c>
      <c r="R692">
        <f>(ventas[[#This Row],[precio_unitario]]*ventas[[#This Row],[cantidad]])</f>
        <v>75000</v>
      </c>
      <c r="S692">
        <f>ventas[[#This Row],[Total_Productos]]*ventas[[#This Row],[descuento_pct]]</f>
        <v>0</v>
      </c>
      <c r="T692">
        <f>ventas[[#This Row],[Total_Productos]]-ventas[[#This Row],[Valor_descuento]]</f>
        <v>75000</v>
      </c>
    </row>
    <row r="693" spans="1:20" x14ac:dyDescent="0.3">
      <c r="A693">
        <v>759</v>
      </c>
      <c r="B693" s="1">
        <v>45686</v>
      </c>
      <c r="C693">
        <v>39</v>
      </c>
      <c r="D693">
        <v>6</v>
      </c>
      <c r="E693">
        <v>156</v>
      </c>
      <c r="F693" t="s">
        <v>584</v>
      </c>
      <c r="G693" t="s">
        <v>585</v>
      </c>
      <c r="H693" t="s">
        <v>42</v>
      </c>
      <c r="I693">
        <v>29</v>
      </c>
      <c r="J693" t="s">
        <v>43</v>
      </c>
      <c r="K693" t="str">
        <f>_xlfn.XLOOKUP( ventas[[#This Row],[ciudad_cliente]],  ciudades[Ciudad], ciudades[Region])</f>
        <v>Antofagasta</v>
      </c>
      <c r="L693" t="s">
        <v>38</v>
      </c>
      <c r="M693" t="s">
        <v>46</v>
      </c>
      <c r="N693" t="str">
        <f>_xlfn.XLOOKUP(ventas[[#This Row],[producto]], categ[Producto], categ[Categoria])</f>
        <v>Tecnología</v>
      </c>
      <c r="O693">
        <v>750000</v>
      </c>
      <c r="P693">
        <v>3</v>
      </c>
      <c r="Q693" s="11">
        <v>0</v>
      </c>
      <c r="R693">
        <f>(ventas[[#This Row],[precio_unitario]]*ventas[[#This Row],[cantidad]])</f>
        <v>2250000</v>
      </c>
      <c r="S693">
        <f>ventas[[#This Row],[Total_Productos]]*ventas[[#This Row],[descuento_pct]]</f>
        <v>0</v>
      </c>
      <c r="T693">
        <f>ventas[[#This Row],[Total_Productos]]-ventas[[#This Row],[Valor_descuento]]</f>
        <v>2250000</v>
      </c>
    </row>
    <row r="694" spans="1:20" x14ac:dyDescent="0.3">
      <c r="A694">
        <v>92</v>
      </c>
      <c r="B694" s="1">
        <v>45019</v>
      </c>
      <c r="C694">
        <v>51</v>
      </c>
      <c r="D694">
        <v>7</v>
      </c>
      <c r="E694">
        <v>130</v>
      </c>
      <c r="F694" t="s">
        <v>213</v>
      </c>
      <c r="G694" t="s">
        <v>214</v>
      </c>
      <c r="H694" t="s">
        <v>19</v>
      </c>
      <c r="I694">
        <v>31</v>
      </c>
      <c r="J694" t="s">
        <v>101</v>
      </c>
      <c r="K694" t="str">
        <f>_xlfn.XLOOKUP( ventas[[#This Row],[ciudad_cliente]],  ciudades[Ciudad], ciudades[Region])</f>
        <v>O'Higgins</v>
      </c>
      <c r="L694" t="s">
        <v>22</v>
      </c>
      <c r="M694" t="s">
        <v>62</v>
      </c>
      <c r="N694" t="str">
        <f>_xlfn.XLOOKUP(ventas[[#This Row],[producto]], categ[Producto], categ[Categoria])</f>
        <v>Electrohogar</v>
      </c>
      <c r="O694">
        <v>650000</v>
      </c>
      <c r="P694">
        <v>3</v>
      </c>
      <c r="Q694" s="11">
        <v>0.05</v>
      </c>
      <c r="R694">
        <f>(ventas[[#This Row],[precio_unitario]]*ventas[[#This Row],[cantidad]])</f>
        <v>1950000</v>
      </c>
      <c r="S694">
        <f>ventas[[#This Row],[Total_Productos]]*ventas[[#This Row],[descuento_pct]]</f>
        <v>97500</v>
      </c>
      <c r="T694">
        <f>ventas[[#This Row],[Total_Productos]]-ventas[[#This Row],[Valor_descuento]]</f>
        <v>1852500</v>
      </c>
    </row>
    <row r="695" spans="1:20" x14ac:dyDescent="0.3">
      <c r="A695">
        <v>880</v>
      </c>
      <c r="B695" s="1">
        <v>45807</v>
      </c>
      <c r="C695">
        <v>5</v>
      </c>
      <c r="D695">
        <v>1</v>
      </c>
      <c r="E695">
        <v>130</v>
      </c>
      <c r="F695" t="s">
        <v>213</v>
      </c>
      <c r="G695" t="s">
        <v>214</v>
      </c>
      <c r="H695" t="s">
        <v>19</v>
      </c>
      <c r="I695">
        <v>31</v>
      </c>
      <c r="J695" t="s">
        <v>27</v>
      </c>
      <c r="K695" t="str">
        <f>_xlfn.XLOOKUP( ventas[[#This Row],[ciudad_cliente]],  ciudades[Ciudad], ciudades[Region])</f>
        <v>Biobío</v>
      </c>
      <c r="L695" t="s">
        <v>38</v>
      </c>
      <c r="M695" t="s">
        <v>49</v>
      </c>
      <c r="N695" t="str">
        <f>_xlfn.XLOOKUP(ventas[[#This Row],[producto]], categ[Producto], categ[Categoria])</f>
        <v>Electrohogar</v>
      </c>
      <c r="O695">
        <v>800000</v>
      </c>
      <c r="P695">
        <v>3</v>
      </c>
      <c r="Q695" s="11">
        <v>0.05</v>
      </c>
      <c r="R695">
        <f>(ventas[[#This Row],[precio_unitario]]*ventas[[#This Row],[cantidad]])</f>
        <v>2400000</v>
      </c>
      <c r="S695">
        <f>ventas[[#This Row],[Total_Productos]]*ventas[[#This Row],[descuento_pct]]</f>
        <v>120000</v>
      </c>
      <c r="T695">
        <f>ventas[[#This Row],[Total_Productos]]-ventas[[#This Row],[Valor_descuento]]</f>
        <v>2280000</v>
      </c>
    </row>
    <row r="696" spans="1:20" x14ac:dyDescent="0.3">
      <c r="A696">
        <v>920</v>
      </c>
      <c r="B696" s="1">
        <v>45847</v>
      </c>
      <c r="C696">
        <v>5</v>
      </c>
      <c r="D696">
        <v>1</v>
      </c>
      <c r="E696">
        <v>130</v>
      </c>
      <c r="F696" t="s">
        <v>213</v>
      </c>
      <c r="G696" t="s">
        <v>214</v>
      </c>
      <c r="H696" t="s">
        <v>19</v>
      </c>
      <c r="I696">
        <v>31</v>
      </c>
      <c r="J696" t="s">
        <v>27</v>
      </c>
      <c r="K696" t="str">
        <f>_xlfn.XLOOKUP( ventas[[#This Row],[ciudad_cliente]],  ciudades[Ciudad], ciudades[Region])</f>
        <v>Biobío</v>
      </c>
      <c r="L696" t="s">
        <v>29</v>
      </c>
      <c r="M696" t="s">
        <v>46</v>
      </c>
      <c r="N696" t="str">
        <f>_xlfn.XLOOKUP(ventas[[#This Row],[producto]], categ[Producto], categ[Categoria])</f>
        <v>Tecnología</v>
      </c>
      <c r="O696">
        <v>750000</v>
      </c>
      <c r="P696">
        <v>3</v>
      </c>
      <c r="Q696" s="11">
        <v>0.05</v>
      </c>
      <c r="R696">
        <f>(ventas[[#This Row],[precio_unitario]]*ventas[[#This Row],[cantidad]])</f>
        <v>2250000</v>
      </c>
      <c r="S696">
        <f>ventas[[#This Row],[Total_Productos]]*ventas[[#This Row],[descuento_pct]]</f>
        <v>112500</v>
      </c>
      <c r="T696">
        <f>ventas[[#This Row],[Total_Productos]]-ventas[[#This Row],[Valor_descuento]]</f>
        <v>2137500</v>
      </c>
    </row>
    <row r="697" spans="1:20" x14ac:dyDescent="0.3">
      <c r="A697">
        <v>947</v>
      </c>
      <c r="B697" s="1">
        <v>45874</v>
      </c>
      <c r="C697">
        <v>41</v>
      </c>
      <c r="D697">
        <v>4</v>
      </c>
      <c r="E697">
        <v>130</v>
      </c>
      <c r="F697" t="s">
        <v>213</v>
      </c>
      <c r="G697" t="s">
        <v>214</v>
      </c>
      <c r="H697" t="s">
        <v>19</v>
      </c>
      <c r="I697">
        <v>31</v>
      </c>
      <c r="J697" t="s">
        <v>43</v>
      </c>
      <c r="K697" t="str">
        <f>_xlfn.XLOOKUP( ventas[[#This Row],[ciudad_cliente]],  ciudades[Ciudad], ciudades[Region])</f>
        <v>Antofagasta</v>
      </c>
      <c r="L697" t="s">
        <v>38</v>
      </c>
      <c r="M697" t="s">
        <v>46</v>
      </c>
      <c r="N697" t="str">
        <f>_xlfn.XLOOKUP(ventas[[#This Row],[producto]], categ[Producto], categ[Categoria])</f>
        <v>Tecnología</v>
      </c>
      <c r="O697">
        <v>750000</v>
      </c>
      <c r="P697">
        <v>1</v>
      </c>
      <c r="Q697" s="11">
        <v>0.05</v>
      </c>
      <c r="R697">
        <f>(ventas[[#This Row],[precio_unitario]]*ventas[[#This Row],[cantidad]])</f>
        <v>750000</v>
      </c>
      <c r="S697">
        <f>ventas[[#This Row],[Total_Productos]]*ventas[[#This Row],[descuento_pct]]</f>
        <v>37500</v>
      </c>
      <c r="T697">
        <f>ventas[[#This Row],[Total_Productos]]-ventas[[#This Row],[Valor_descuento]]</f>
        <v>712500</v>
      </c>
    </row>
    <row r="698" spans="1:20" x14ac:dyDescent="0.3">
      <c r="A698">
        <v>564</v>
      </c>
      <c r="B698" s="1">
        <v>45491</v>
      </c>
      <c r="C698">
        <v>65</v>
      </c>
      <c r="D698">
        <v>0</v>
      </c>
      <c r="E698">
        <v>236</v>
      </c>
      <c r="F698" t="s">
        <v>552</v>
      </c>
      <c r="G698" t="s">
        <v>553</v>
      </c>
      <c r="H698" t="s">
        <v>42</v>
      </c>
      <c r="I698">
        <v>45</v>
      </c>
      <c r="J698" t="s">
        <v>101</v>
      </c>
      <c r="K698" t="str">
        <f>_xlfn.XLOOKUP( ventas[[#This Row],[ciudad_cliente]],  ciudades[Ciudad], ciudades[Region])</f>
        <v>O'Higgins</v>
      </c>
      <c r="L698" t="s">
        <v>38</v>
      </c>
      <c r="M698" t="s">
        <v>30</v>
      </c>
      <c r="N698" t="str">
        <f>_xlfn.XLOOKUP(ventas[[#This Row],[producto]], categ[Producto], categ[Categoria])</f>
        <v>Electrohogar</v>
      </c>
      <c r="O698">
        <v>700000</v>
      </c>
      <c r="P698">
        <v>1</v>
      </c>
      <c r="Q698" s="11">
        <v>0.05</v>
      </c>
      <c r="R698">
        <f>(ventas[[#This Row],[precio_unitario]]*ventas[[#This Row],[cantidad]])</f>
        <v>700000</v>
      </c>
      <c r="S698">
        <f>ventas[[#This Row],[Total_Productos]]*ventas[[#This Row],[descuento_pct]]</f>
        <v>35000</v>
      </c>
      <c r="T698">
        <f>ventas[[#This Row],[Total_Productos]]-ventas[[#This Row],[Valor_descuento]]</f>
        <v>665000</v>
      </c>
    </row>
    <row r="699" spans="1:20" x14ac:dyDescent="0.3">
      <c r="A699">
        <v>662</v>
      </c>
      <c r="B699" s="1">
        <v>45589</v>
      </c>
      <c r="C699">
        <v>16</v>
      </c>
      <c r="D699">
        <v>3</v>
      </c>
      <c r="E699">
        <v>236</v>
      </c>
      <c r="F699" t="s">
        <v>552</v>
      </c>
      <c r="G699" t="s">
        <v>553</v>
      </c>
      <c r="H699" t="s">
        <v>42</v>
      </c>
      <c r="I699">
        <v>45</v>
      </c>
      <c r="J699" t="s">
        <v>20</v>
      </c>
      <c r="K699" t="str">
        <f>_xlfn.XLOOKUP( ventas[[#This Row],[ciudad_cliente]],  ciudades[Ciudad], ciudades[Region])</f>
        <v>La Araucanía</v>
      </c>
      <c r="L699" t="s">
        <v>22</v>
      </c>
      <c r="M699" t="s">
        <v>46</v>
      </c>
      <c r="N699" t="str">
        <f>_xlfn.XLOOKUP(ventas[[#This Row],[producto]], categ[Producto], categ[Categoria])</f>
        <v>Tecnología</v>
      </c>
      <c r="O699">
        <v>750000</v>
      </c>
      <c r="P699">
        <v>1</v>
      </c>
      <c r="Q699" s="11">
        <v>0.1</v>
      </c>
      <c r="R699">
        <f>(ventas[[#This Row],[precio_unitario]]*ventas[[#This Row],[cantidad]])</f>
        <v>750000</v>
      </c>
      <c r="S699">
        <f>ventas[[#This Row],[Total_Productos]]*ventas[[#This Row],[descuento_pct]]</f>
        <v>75000</v>
      </c>
      <c r="T699">
        <f>ventas[[#This Row],[Total_Productos]]-ventas[[#This Row],[Valor_descuento]]</f>
        <v>675000</v>
      </c>
    </row>
    <row r="700" spans="1:20" x14ac:dyDescent="0.3">
      <c r="A700">
        <v>62</v>
      </c>
      <c r="B700" s="1">
        <v>44989</v>
      </c>
      <c r="C700">
        <v>38</v>
      </c>
      <c r="D700">
        <v>8</v>
      </c>
      <c r="E700">
        <v>249</v>
      </c>
      <c r="F700" t="s">
        <v>163</v>
      </c>
      <c r="G700" t="s">
        <v>164</v>
      </c>
      <c r="H700" t="s">
        <v>42</v>
      </c>
      <c r="I700">
        <v>59</v>
      </c>
      <c r="J700" t="s">
        <v>52</v>
      </c>
      <c r="K700" t="str">
        <f>_xlfn.XLOOKUP( ventas[[#This Row],[ciudad_cliente]],  ciudades[Ciudad], ciudades[Region])</f>
        <v>Biobío</v>
      </c>
      <c r="L700" t="s">
        <v>22</v>
      </c>
      <c r="M700" t="s">
        <v>39</v>
      </c>
      <c r="N700" t="str">
        <f>_xlfn.XLOOKUP(ventas[[#This Row],[producto]], categ[Producto], categ[Categoria])</f>
        <v>Belleza</v>
      </c>
      <c r="O700">
        <v>35000</v>
      </c>
      <c r="P700">
        <v>2</v>
      </c>
      <c r="Q700" s="11">
        <v>0</v>
      </c>
      <c r="R700">
        <f>(ventas[[#This Row],[precio_unitario]]*ventas[[#This Row],[cantidad]])</f>
        <v>70000</v>
      </c>
      <c r="S700">
        <f>ventas[[#This Row],[Total_Productos]]*ventas[[#This Row],[descuento_pct]]</f>
        <v>0</v>
      </c>
      <c r="T700">
        <f>ventas[[#This Row],[Total_Productos]]-ventas[[#This Row],[Valor_descuento]]</f>
        <v>70000</v>
      </c>
    </row>
    <row r="701" spans="1:20" x14ac:dyDescent="0.3">
      <c r="A701">
        <v>317</v>
      </c>
      <c r="B701" s="1">
        <v>45244</v>
      </c>
      <c r="C701">
        <v>29</v>
      </c>
      <c r="D701">
        <v>1</v>
      </c>
      <c r="E701">
        <v>249</v>
      </c>
      <c r="F701" t="s">
        <v>163</v>
      </c>
      <c r="G701" t="s">
        <v>164</v>
      </c>
      <c r="H701" t="s">
        <v>42</v>
      </c>
      <c r="I701">
        <v>59</v>
      </c>
      <c r="J701" t="s">
        <v>116</v>
      </c>
      <c r="K701" t="str">
        <f>_xlfn.XLOOKUP( ventas[[#This Row],[ciudad_cliente]],  ciudades[Ciudad], ciudades[Region])</f>
        <v>Valparaíso</v>
      </c>
      <c r="L701" t="s">
        <v>29</v>
      </c>
      <c r="M701" t="s">
        <v>62</v>
      </c>
      <c r="N701" t="str">
        <f>_xlfn.XLOOKUP(ventas[[#This Row],[producto]], categ[Producto], categ[Categoria])</f>
        <v>Electrohogar</v>
      </c>
      <c r="O701">
        <v>650000</v>
      </c>
      <c r="P701">
        <v>3</v>
      </c>
      <c r="Q701" s="11">
        <v>0.05</v>
      </c>
      <c r="R701">
        <f>(ventas[[#This Row],[precio_unitario]]*ventas[[#This Row],[cantidad]])</f>
        <v>1950000</v>
      </c>
      <c r="S701">
        <f>ventas[[#This Row],[Total_Productos]]*ventas[[#This Row],[descuento_pct]]</f>
        <v>97500</v>
      </c>
      <c r="T701">
        <f>ventas[[#This Row],[Total_Productos]]-ventas[[#This Row],[Valor_descuento]]</f>
        <v>1852500</v>
      </c>
    </row>
    <row r="702" spans="1:20" x14ac:dyDescent="0.3">
      <c r="A702">
        <v>649</v>
      </c>
      <c r="B702" s="1">
        <v>45576</v>
      </c>
      <c r="C702">
        <v>24</v>
      </c>
      <c r="D702">
        <v>3</v>
      </c>
      <c r="E702">
        <v>249</v>
      </c>
      <c r="F702" t="s">
        <v>163</v>
      </c>
      <c r="G702" t="s">
        <v>164</v>
      </c>
      <c r="H702" t="s">
        <v>42</v>
      </c>
      <c r="I702">
        <v>59</v>
      </c>
      <c r="J702" t="s">
        <v>84</v>
      </c>
      <c r="K702" t="str">
        <f>_xlfn.XLOOKUP( ventas[[#This Row],[ciudad_cliente]],  ciudades[Ciudad], ciudades[Region])</f>
        <v>Coquimbo</v>
      </c>
      <c r="L702" t="s">
        <v>22</v>
      </c>
      <c r="M702" t="s">
        <v>102</v>
      </c>
      <c r="N702" t="str">
        <f>_xlfn.XLOOKUP(ventas[[#This Row],[producto]], categ[Producto], categ[Categoria])</f>
        <v>Vestuario</v>
      </c>
      <c r="O702">
        <v>12000</v>
      </c>
      <c r="P702">
        <v>3</v>
      </c>
      <c r="Q702" s="11">
        <v>0</v>
      </c>
      <c r="R702">
        <f>(ventas[[#This Row],[precio_unitario]]*ventas[[#This Row],[cantidad]])</f>
        <v>36000</v>
      </c>
      <c r="S702">
        <f>ventas[[#This Row],[Total_Productos]]*ventas[[#This Row],[descuento_pct]]</f>
        <v>0</v>
      </c>
      <c r="T702">
        <f>ventas[[#This Row],[Total_Productos]]-ventas[[#This Row],[Valor_descuento]]</f>
        <v>36000</v>
      </c>
    </row>
    <row r="703" spans="1:20" x14ac:dyDescent="0.3">
      <c r="A703">
        <v>936</v>
      </c>
      <c r="B703" s="1">
        <v>45863</v>
      </c>
      <c r="C703">
        <v>55</v>
      </c>
      <c r="D703">
        <v>9</v>
      </c>
      <c r="E703">
        <v>249</v>
      </c>
      <c r="F703" t="s">
        <v>163</v>
      </c>
      <c r="G703" t="s">
        <v>164</v>
      </c>
      <c r="H703" t="s">
        <v>42</v>
      </c>
      <c r="I703">
        <v>59</v>
      </c>
      <c r="J703" t="s">
        <v>43</v>
      </c>
      <c r="K703" t="str">
        <f>_xlfn.XLOOKUP( ventas[[#This Row],[ciudad_cliente]],  ciudades[Ciudad], ciudades[Region])</f>
        <v>Antofagasta</v>
      </c>
      <c r="L703" t="s">
        <v>38</v>
      </c>
      <c r="M703" t="s">
        <v>46</v>
      </c>
      <c r="N703" t="str">
        <f>_xlfn.XLOOKUP(ventas[[#This Row],[producto]], categ[Producto], categ[Categoria])</f>
        <v>Tecnología</v>
      </c>
      <c r="O703">
        <v>750000</v>
      </c>
      <c r="P703">
        <v>3</v>
      </c>
      <c r="Q703" s="11">
        <v>0.1</v>
      </c>
      <c r="R703">
        <f>(ventas[[#This Row],[precio_unitario]]*ventas[[#This Row],[cantidad]])</f>
        <v>2250000</v>
      </c>
      <c r="S703">
        <f>ventas[[#This Row],[Total_Productos]]*ventas[[#This Row],[descuento_pct]]</f>
        <v>225000</v>
      </c>
      <c r="T703">
        <f>ventas[[#This Row],[Total_Productos]]-ventas[[#This Row],[Valor_descuento]]</f>
        <v>2025000</v>
      </c>
    </row>
    <row r="704" spans="1:20" x14ac:dyDescent="0.3">
      <c r="A704">
        <v>286</v>
      </c>
      <c r="B704" s="1">
        <v>45213</v>
      </c>
      <c r="C704">
        <v>24</v>
      </c>
      <c r="D704">
        <v>3</v>
      </c>
      <c r="E704">
        <v>128</v>
      </c>
      <c r="F704" t="s">
        <v>426</v>
      </c>
      <c r="G704" t="s">
        <v>427</v>
      </c>
      <c r="H704" t="s">
        <v>42</v>
      </c>
      <c r="I704">
        <v>31</v>
      </c>
      <c r="J704" t="s">
        <v>84</v>
      </c>
      <c r="K704" t="str">
        <f>_xlfn.XLOOKUP( ventas[[#This Row],[ciudad_cliente]],  ciudades[Ciudad], ciudades[Region])</f>
        <v>Coquimbo</v>
      </c>
      <c r="L704" t="s">
        <v>38</v>
      </c>
      <c r="M704" t="s">
        <v>23</v>
      </c>
      <c r="N704" t="str">
        <f>_xlfn.XLOOKUP(ventas[[#This Row],[producto]], categ[Producto], categ[Categoria])</f>
        <v>Belleza</v>
      </c>
      <c r="O704">
        <v>15000</v>
      </c>
      <c r="P704">
        <v>1</v>
      </c>
      <c r="Q704" s="11">
        <v>0.1</v>
      </c>
      <c r="R704">
        <f>(ventas[[#This Row],[precio_unitario]]*ventas[[#This Row],[cantidad]])</f>
        <v>15000</v>
      </c>
      <c r="S704">
        <f>ventas[[#This Row],[Total_Productos]]*ventas[[#This Row],[descuento_pct]]</f>
        <v>1500</v>
      </c>
      <c r="T704">
        <f>ventas[[#This Row],[Total_Productos]]-ventas[[#This Row],[Valor_descuento]]</f>
        <v>13500</v>
      </c>
    </row>
    <row r="705" spans="1:20" x14ac:dyDescent="0.3">
      <c r="A705">
        <v>496</v>
      </c>
      <c r="B705" s="1">
        <v>45423</v>
      </c>
      <c r="C705">
        <v>19</v>
      </c>
      <c r="D705">
        <v>5</v>
      </c>
      <c r="E705">
        <v>128</v>
      </c>
      <c r="F705" t="s">
        <v>426</v>
      </c>
      <c r="G705" t="s">
        <v>427</v>
      </c>
      <c r="H705" t="s">
        <v>42</v>
      </c>
      <c r="I705">
        <v>31</v>
      </c>
      <c r="J705" t="s">
        <v>20</v>
      </c>
      <c r="K705" t="str">
        <f>_xlfn.XLOOKUP( ventas[[#This Row],[ciudad_cliente]],  ciudades[Ciudad], ciudades[Region])</f>
        <v>La Araucanía</v>
      </c>
      <c r="L705" t="s">
        <v>38</v>
      </c>
      <c r="M705" t="s">
        <v>39</v>
      </c>
      <c r="N705" t="str">
        <f>_xlfn.XLOOKUP(ventas[[#This Row],[producto]], categ[Producto], categ[Categoria])</f>
        <v>Belleza</v>
      </c>
      <c r="O705">
        <v>35000</v>
      </c>
      <c r="P705">
        <v>2</v>
      </c>
      <c r="Q705" s="11">
        <v>0</v>
      </c>
      <c r="R705">
        <f>(ventas[[#This Row],[precio_unitario]]*ventas[[#This Row],[cantidad]])</f>
        <v>70000</v>
      </c>
      <c r="S705">
        <f>ventas[[#This Row],[Total_Productos]]*ventas[[#This Row],[descuento_pct]]</f>
        <v>0</v>
      </c>
      <c r="T705">
        <f>ventas[[#This Row],[Total_Productos]]-ventas[[#This Row],[Valor_descuento]]</f>
        <v>70000</v>
      </c>
    </row>
    <row r="706" spans="1:20" x14ac:dyDescent="0.3">
      <c r="A706">
        <v>877</v>
      </c>
      <c r="B706" s="1">
        <v>45804</v>
      </c>
      <c r="C706">
        <v>2</v>
      </c>
      <c r="D706">
        <v>2</v>
      </c>
      <c r="E706">
        <v>128</v>
      </c>
      <c r="F706" t="s">
        <v>426</v>
      </c>
      <c r="G706" t="s">
        <v>427</v>
      </c>
      <c r="H706" t="s">
        <v>42</v>
      </c>
      <c r="I706">
        <v>31</v>
      </c>
      <c r="J706" t="s">
        <v>101</v>
      </c>
      <c r="K706" t="str">
        <f>_xlfn.XLOOKUP( ventas[[#This Row],[ciudad_cliente]],  ciudades[Ciudad], ciudades[Region])</f>
        <v>O'Higgins</v>
      </c>
      <c r="L706" t="s">
        <v>38</v>
      </c>
      <c r="M706" t="s">
        <v>69</v>
      </c>
      <c r="N706" t="str">
        <f>_xlfn.XLOOKUP(ventas[[#This Row],[producto]], categ[Producto], categ[Categoria])</f>
        <v>Tecnología</v>
      </c>
      <c r="O706">
        <v>450000</v>
      </c>
      <c r="P706">
        <v>2</v>
      </c>
      <c r="Q706" s="11">
        <v>0.05</v>
      </c>
      <c r="R706">
        <f>(ventas[[#This Row],[precio_unitario]]*ventas[[#This Row],[cantidad]])</f>
        <v>900000</v>
      </c>
      <c r="S706">
        <f>ventas[[#This Row],[Total_Productos]]*ventas[[#This Row],[descuento_pct]]</f>
        <v>45000</v>
      </c>
      <c r="T706">
        <f>ventas[[#This Row],[Total_Productos]]-ventas[[#This Row],[Valor_descuento]]</f>
        <v>855000</v>
      </c>
    </row>
    <row r="707" spans="1:20" x14ac:dyDescent="0.3">
      <c r="A707">
        <v>956</v>
      </c>
      <c r="B707" s="1">
        <v>45883</v>
      </c>
      <c r="C707">
        <v>28</v>
      </c>
      <c r="D707">
        <v>5</v>
      </c>
      <c r="E707">
        <v>128</v>
      </c>
      <c r="F707" t="s">
        <v>426</v>
      </c>
      <c r="G707" t="s">
        <v>427</v>
      </c>
      <c r="H707" t="s">
        <v>42</v>
      </c>
      <c r="I707">
        <v>31</v>
      </c>
      <c r="J707" t="s">
        <v>116</v>
      </c>
      <c r="K707" t="str">
        <f>_xlfn.XLOOKUP( ventas[[#This Row],[ciudad_cliente]],  ciudades[Ciudad], ciudades[Region])</f>
        <v>Valparaíso</v>
      </c>
      <c r="L707" t="s">
        <v>22</v>
      </c>
      <c r="M707" t="s">
        <v>46</v>
      </c>
      <c r="N707" t="str">
        <f>_xlfn.XLOOKUP(ventas[[#This Row],[producto]], categ[Producto], categ[Categoria])</f>
        <v>Tecnología</v>
      </c>
      <c r="O707">
        <v>750000</v>
      </c>
      <c r="P707">
        <v>2</v>
      </c>
      <c r="Q707" s="11">
        <v>0.05</v>
      </c>
      <c r="R707">
        <f>(ventas[[#This Row],[precio_unitario]]*ventas[[#This Row],[cantidad]])</f>
        <v>1500000</v>
      </c>
      <c r="S707">
        <f>ventas[[#This Row],[Total_Productos]]*ventas[[#This Row],[descuento_pct]]</f>
        <v>75000</v>
      </c>
      <c r="T707">
        <f>ventas[[#This Row],[Total_Productos]]-ventas[[#This Row],[Valor_descuento]]</f>
        <v>1425000</v>
      </c>
    </row>
    <row r="708" spans="1:20" x14ac:dyDescent="0.3">
      <c r="A708">
        <v>339</v>
      </c>
      <c r="B708" s="1">
        <v>45266</v>
      </c>
      <c r="C708">
        <v>2</v>
      </c>
      <c r="D708">
        <v>2</v>
      </c>
      <c r="E708">
        <v>210</v>
      </c>
      <c r="F708" t="s">
        <v>466</v>
      </c>
      <c r="G708" t="s">
        <v>467</v>
      </c>
      <c r="H708" t="s">
        <v>19</v>
      </c>
      <c r="I708">
        <v>75</v>
      </c>
      <c r="J708" t="s">
        <v>101</v>
      </c>
      <c r="K708" t="str">
        <f>_xlfn.XLOOKUP( ventas[[#This Row],[ciudad_cliente]],  ciudades[Ciudad], ciudades[Region])</f>
        <v>O'Higgins</v>
      </c>
      <c r="L708" t="s">
        <v>22</v>
      </c>
      <c r="M708" t="s">
        <v>69</v>
      </c>
      <c r="N708" t="str">
        <f>_xlfn.XLOOKUP(ventas[[#This Row],[producto]], categ[Producto], categ[Categoria])</f>
        <v>Tecnología</v>
      </c>
      <c r="O708">
        <v>450000</v>
      </c>
      <c r="P708">
        <v>2</v>
      </c>
      <c r="Q708" s="11">
        <v>0</v>
      </c>
      <c r="R708">
        <f>(ventas[[#This Row],[precio_unitario]]*ventas[[#This Row],[cantidad]])</f>
        <v>900000</v>
      </c>
      <c r="S708">
        <f>ventas[[#This Row],[Total_Productos]]*ventas[[#This Row],[descuento_pct]]</f>
        <v>0</v>
      </c>
      <c r="T708">
        <f>ventas[[#This Row],[Total_Productos]]-ventas[[#This Row],[Valor_descuento]]</f>
        <v>900000</v>
      </c>
    </row>
    <row r="709" spans="1:20" x14ac:dyDescent="0.3">
      <c r="A709">
        <v>508</v>
      </c>
      <c r="B709" s="1">
        <v>45435</v>
      </c>
      <c r="C709">
        <v>33</v>
      </c>
      <c r="D709">
        <v>13</v>
      </c>
      <c r="E709">
        <v>210</v>
      </c>
      <c r="F709" t="s">
        <v>466</v>
      </c>
      <c r="G709" t="s">
        <v>467</v>
      </c>
      <c r="H709" t="s">
        <v>19</v>
      </c>
      <c r="I709">
        <v>75</v>
      </c>
      <c r="J709" t="s">
        <v>101</v>
      </c>
      <c r="K709" t="str">
        <f>_xlfn.XLOOKUP( ventas[[#This Row],[ciudad_cliente]],  ciudades[Ciudad], ciudades[Region])</f>
        <v>O'Higgins</v>
      </c>
      <c r="L709" t="s">
        <v>38</v>
      </c>
      <c r="M709" t="s">
        <v>49</v>
      </c>
      <c r="N709" t="str">
        <f>_xlfn.XLOOKUP(ventas[[#This Row],[producto]], categ[Producto], categ[Categoria])</f>
        <v>Electrohogar</v>
      </c>
      <c r="O709">
        <v>800000</v>
      </c>
      <c r="P709">
        <v>3</v>
      </c>
      <c r="Q709" s="11">
        <v>0</v>
      </c>
      <c r="R709">
        <f>(ventas[[#This Row],[precio_unitario]]*ventas[[#This Row],[cantidad]])</f>
        <v>2400000</v>
      </c>
      <c r="S709">
        <f>ventas[[#This Row],[Total_Productos]]*ventas[[#This Row],[descuento_pct]]</f>
        <v>0</v>
      </c>
      <c r="T709">
        <f>ventas[[#This Row],[Total_Productos]]-ventas[[#This Row],[Valor_descuento]]</f>
        <v>2400000</v>
      </c>
    </row>
    <row r="710" spans="1:20" x14ac:dyDescent="0.3">
      <c r="A710">
        <v>508</v>
      </c>
      <c r="B710" s="1">
        <v>45435</v>
      </c>
      <c r="C710">
        <v>33</v>
      </c>
      <c r="D710">
        <v>13</v>
      </c>
      <c r="E710">
        <v>210</v>
      </c>
      <c r="F710" t="s">
        <v>466</v>
      </c>
      <c r="G710" t="s">
        <v>467</v>
      </c>
      <c r="H710" t="s">
        <v>19</v>
      </c>
      <c r="I710">
        <v>75</v>
      </c>
      <c r="J710" t="s">
        <v>101</v>
      </c>
      <c r="K710" t="str">
        <f>_xlfn.XLOOKUP( ventas[[#This Row],[ciudad_cliente]],  ciudades[Ciudad], ciudades[Region])</f>
        <v>O'Higgins</v>
      </c>
      <c r="L710" t="s">
        <v>38</v>
      </c>
      <c r="M710" t="s">
        <v>49</v>
      </c>
      <c r="N710" t="str">
        <f>_xlfn.XLOOKUP(ventas[[#This Row],[producto]], categ[Producto], categ[Categoria])</f>
        <v>Electrohogar</v>
      </c>
      <c r="O710">
        <v>800000</v>
      </c>
      <c r="P710">
        <v>3</v>
      </c>
      <c r="Q710" s="11">
        <v>0</v>
      </c>
      <c r="R710">
        <f>(ventas[[#This Row],[precio_unitario]]*ventas[[#This Row],[cantidad]])</f>
        <v>2400000</v>
      </c>
      <c r="S710">
        <f>ventas[[#This Row],[Total_Productos]]*ventas[[#This Row],[descuento_pct]]</f>
        <v>0</v>
      </c>
      <c r="T710">
        <f>ventas[[#This Row],[Total_Productos]]-ventas[[#This Row],[Valor_descuento]]</f>
        <v>2400000</v>
      </c>
    </row>
    <row r="711" spans="1:20" x14ac:dyDescent="0.3">
      <c r="A711">
        <v>532</v>
      </c>
      <c r="B711" s="1">
        <v>45459</v>
      </c>
      <c r="C711">
        <v>1</v>
      </c>
      <c r="D711">
        <v>8</v>
      </c>
      <c r="E711">
        <v>210</v>
      </c>
      <c r="F711" t="s">
        <v>466</v>
      </c>
      <c r="G711" t="s">
        <v>467</v>
      </c>
      <c r="H711" t="s">
        <v>19</v>
      </c>
      <c r="I711">
        <v>75</v>
      </c>
      <c r="J711" t="s">
        <v>34</v>
      </c>
      <c r="K711" t="str">
        <f>_xlfn.XLOOKUP( ventas[[#This Row],[ciudad_cliente]],  ciudades[Ciudad], ciudades[Region])</f>
        <v>Metropolitana</v>
      </c>
      <c r="L711" t="s">
        <v>38</v>
      </c>
      <c r="M711" t="s">
        <v>62</v>
      </c>
      <c r="N711" t="str">
        <f>_xlfn.XLOOKUP(ventas[[#This Row],[producto]], categ[Producto], categ[Categoria])</f>
        <v>Electrohogar</v>
      </c>
      <c r="O711">
        <v>650000</v>
      </c>
      <c r="P711">
        <v>2</v>
      </c>
      <c r="Q711" s="11">
        <v>0</v>
      </c>
      <c r="R711">
        <f>(ventas[[#This Row],[precio_unitario]]*ventas[[#This Row],[cantidad]])</f>
        <v>1300000</v>
      </c>
      <c r="S711">
        <f>ventas[[#This Row],[Total_Productos]]*ventas[[#This Row],[descuento_pct]]</f>
        <v>0</v>
      </c>
      <c r="T711">
        <f>ventas[[#This Row],[Total_Productos]]-ventas[[#This Row],[Valor_descuento]]</f>
        <v>1300000</v>
      </c>
    </row>
    <row r="712" spans="1:20" x14ac:dyDescent="0.3">
      <c r="A712">
        <v>827</v>
      </c>
      <c r="B712" s="1">
        <v>45754</v>
      </c>
      <c r="C712">
        <v>2</v>
      </c>
      <c r="D712">
        <v>2</v>
      </c>
      <c r="E712">
        <v>210</v>
      </c>
      <c r="F712" t="s">
        <v>466</v>
      </c>
      <c r="G712" t="s">
        <v>467</v>
      </c>
      <c r="H712" t="s">
        <v>19</v>
      </c>
      <c r="I712">
        <v>75</v>
      </c>
      <c r="J712" t="s">
        <v>101</v>
      </c>
      <c r="K712" t="str">
        <f>_xlfn.XLOOKUP( ventas[[#This Row],[ciudad_cliente]],  ciudades[Ciudad], ciudades[Region])</f>
        <v>O'Higgins</v>
      </c>
      <c r="L712" t="s">
        <v>38</v>
      </c>
      <c r="M712" t="s">
        <v>49</v>
      </c>
      <c r="N712" t="str">
        <f>_xlfn.XLOOKUP(ventas[[#This Row],[producto]], categ[Producto], categ[Categoria])</f>
        <v>Electrohogar</v>
      </c>
      <c r="O712">
        <v>800000</v>
      </c>
      <c r="P712">
        <v>3</v>
      </c>
      <c r="Q712" s="11">
        <v>0</v>
      </c>
      <c r="R712">
        <f>(ventas[[#This Row],[precio_unitario]]*ventas[[#This Row],[cantidad]])</f>
        <v>2400000</v>
      </c>
      <c r="S712">
        <f>ventas[[#This Row],[Total_Productos]]*ventas[[#This Row],[descuento_pct]]</f>
        <v>0</v>
      </c>
      <c r="T712">
        <f>ventas[[#This Row],[Total_Productos]]-ventas[[#This Row],[Valor_descuento]]</f>
        <v>2400000</v>
      </c>
    </row>
    <row r="713" spans="1:20" x14ac:dyDescent="0.3">
      <c r="A713">
        <v>316</v>
      </c>
      <c r="B713" s="1">
        <v>45243</v>
      </c>
      <c r="C713">
        <v>35</v>
      </c>
      <c r="D713">
        <v>1</v>
      </c>
      <c r="E713">
        <v>106</v>
      </c>
      <c r="F713" t="s">
        <v>452</v>
      </c>
      <c r="G713" t="s">
        <v>453</v>
      </c>
      <c r="H713" t="s">
        <v>19</v>
      </c>
      <c r="I713">
        <v>42</v>
      </c>
      <c r="J713" t="s">
        <v>43</v>
      </c>
      <c r="K713" t="str">
        <f>_xlfn.XLOOKUP( ventas[[#This Row],[ciudad_cliente]],  ciudades[Ciudad], ciudades[Region])</f>
        <v>Antofagasta</v>
      </c>
      <c r="L713" t="s">
        <v>29</v>
      </c>
      <c r="M713" t="s">
        <v>39</v>
      </c>
      <c r="N713" t="str">
        <f>_xlfn.XLOOKUP(ventas[[#This Row],[producto]], categ[Producto], categ[Categoria])</f>
        <v>Belleza</v>
      </c>
      <c r="O713">
        <v>35000</v>
      </c>
      <c r="P713">
        <v>3</v>
      </c>
      <c r="Q713" s="11">
        <v>0.05</v>
      </c>
      <c r="R713">
        <f>(ventas[[#This Row],[precio_unitario]]*ventas[[#This Row],[cantidad]])</f>
        <v>105000</v>
      </c>
      <c r="S713">
        <f>ventas[[#This Row],[Total_Productos]]*ventas[[#This Row],[descuento_pct]]</f>
        <v>5250</v>
      </c>
      <c r="T713">
        <f>ventas[[#This Row],[Total_Productos]]-ventas[[#This Row],[Valor_descuento]]</f>
        <v>99750</v>
      </c>
    </row>
    <row r="714" spans="1:20" x14ac:dyDescent="0.3">
      <c r="A714">
        <v>411</v>
      </c>
      <c r="B714" s="1">
        <v>45338</v>
      </c>
      <c r="C714">
        <v>10</v>
      </c>
      <c r="D714">
        <v>7</v>
      </c>
      <c r="E714">
        <v>106</v>
      </c>
      <c r="F714" t="s">
        <v>452</v>
      </c>
      <c r="G714" t="s">
        <v>453</v>
      </c>
      <c r="H714" t="s">
        <v>19</v>
      </c>
      <c r="I714">
        <v>42</v>
      </c>
      <c r="J714" t="s">
        <v>37</v>
      </c>
      <c r="K714" t="str">
        <f>_xlfn.XLOOKUP( ventas[[#This Row],[ciudad_cliente]],  ciudades[Ciudad], ciudades[Region])</f>
        <v>Valparaíso</v>
      </c>
      <c r="L714" t="s">
        <v>29</v>
      </c>
      <c r="M714" t="s">
        <v>98</v>
      </c>
      <c r="N714" t="str">
        <f>_xlfn.XLOOKUP(ventas[[#This Row],[producto]], categ[Producto], categ[Categoria])</f>
        <v>Calzado</v>
      </c>
      <c r="O714">
        <v>55000</v>
      </c>
      <c r="P714">
        <v>1</v>
      </c>
      <c r="Q714" s="11">
        <v>0</v>
      </c>
      <c r="R714">
        <f>(ventas[[#This Row],[precio_unitario]]*ventas[[#This Row],[cantidad]])</f>
        <v>55000</v>
      </c>
      <c r="S714">
        <f>ventas[[#This Row],[Total_Productos]]*ventas[[#This Row],[descuento_pct]]</f>
        <v>0</v>
      </c>
      <c r="T714">
        <f>ventas[[#This Row],[Total_Productos]]-ventas[[#This Row],[Valor_descuento]]</f>
        <v>55000</v>
      </c>
    </row>
    <row r="715" spans="1:20" x14ac:dyDescent="0.3">
      <c r="A715">
        <v>500</v>
      </c>
      <c r="B715" s="1">
        <v>45427</v>
      </c>
      <c r="C715">
        <v>47</v>
      </c>
      <c r="D715">
        <v>1</v>
      </c>
      <c r="E715">
        <v>106</v>
      </c>
      <c r="F715" t="s">
        <v>452</v>
      </c>
      <c r="G715" t="s">
        <v>453</v>
      </c>
      <c r="H715" t="s">
        <v>19</v>
      </c>
      <c r="I715">
        <v>42</v>
      </c>
      <c r="J715" t="s">
        <v>116</v>
      </c>
      <c r="K715" t="str">
        <f>_xlfn.XLOOKUP( ventas[[#This Row],[ciudad_cliente]],  ciudades[Ciudad], ciudades[Region])</f>
        <v>Valparaíso</v>
      </c>
      <c r="L715" t="s">
        <v>38</v>
      </c>
      <c r="M715" t="s">
        <v>39</v>
      </c>
      <c r="N715" t="str">
        <f>_xlfn.XLOOKUP(ventas[[#This Row],[producto]], categ[Producto], categ[Categoria])</f>
        <v>Belleza</v>
      </c>
      <c r="O715">
        <v>35000</v>
      </c>
      <c r="P715">
        <v>1</v>
      </c>
      <c r="Q715" s="11">
        <v>0</v>
      </c>
      <c r="R715">
        <f>(ventas[[#This Row],[precio_unitario]]*ventas[[#This Row],[cantidad]])</f>
        <v>35000</v>
      </c>
      <c r="S715">
        <f>ventas[[#This Row],[Total_Productos]]*ventas[[#This Row],[descuento_pct]]</f>
        <v>0</v>
      </c>
      <c r="T715">
        <f>ventas[[#This Row],[Total_Productos]]-ventas[[#This Row],[Valor_descuento]]</f>
        <v>35000</v>
      </c>
    </row>
    <row r="716" spans="1:20" x14ac:dyDescent="0.3">
      <c r="A716">
        <v>543</v>
      </c>
      <c r="B716" s="1">
        <v>45470</v>
      </c>
      <c r="C716">
        <v>41</v>
      </c>
      <c r="D716">
        <v>4</v>
      </c>
      <c r="E716">
        <v>106</v>
      </c>
      <c r="F716" t="s">
        <v>452</v>
      </c>
      <c r="G716" t="s">
        <v>453</v>
      </c>
      <c r="H716" t="s">
        <v>19</v>
      </c>
      <c r="I716">
        <v>42</v>
      </c>
      <c r="J716" t="s">
        <v>43</v>
      </c>
      <c r="K716" t="str">
        <f>_xlfn.XLOOKUP( ventas[[#This Row],[ciudad_cliente]],  ciudades[Ciudad], ciudades[Region])</f>
        <v>Antofagasta</v>
      </c>
      <c r="L716" t="s">
        <v>22</v>
      </c>
      <c r="M716" t="s">
        <v>69</v>
      </c>
      <c r="N716" t="str">
        <f>_xlfn.XLOOKUP(ventas[[#This Row],[producto]], categ[Producto], categ[Categoria])</f>
        <v>Tecnología</v>
      </c>
      <c r="O716">
        <v>450000</v>
      </c>
      <c r="P716">
        <v>3</v>
      </c>
      <c r="Q716" s="11">
        <v>0</v>
      </c>
      <c r="R716">
        <f>(ventas[[#This Row],[precio_unitario]]*ventas[[#This Row],[cantidad]])</f>
        <v>1350000</v>
      </c>
      <c r="S716">
        <f>ventas[[#This Row],[Total_Productos]]*ventas[[#This Row],[descuento_pct]]</f>
        <v>0</v>
      </c>
      <c r="T716">
        <f>ventas[[#This Row],[Total_Productos]]-ventas[[#This Row],[Valor_descuento]]</f>
        <v>1350000</v>
      </c>
    </row>
    <row r="717" spans="1:20" x14ac:dyDescent="0.3">
      <c r="A717">
        <v>815</v>
      </c>
      <c r="B717" s="1">
        <v>45742</v>
      </c>
      <c r="C717">
        <v>10</v>
      </c>
      <c r="D717">
        <v>7</v>
      </c>
      <c r="E717">
        <v>106</v>
      </c>
      <c r="F717" t="s">
        <v>452</v>
      </c>
      <c r="G717" t="s">
        <v>453</v>
      </c>
      <c r="H717" t="s">
        <v>19</v>
      </c>
      <c r="I717">
        <v>42</v>
      </c>
      <c r="J717" t="s">
        <v>37</v>
      </c>
      <c r="K717" t="str">
        <f>_xlfn.XLOOKUP( ventas[[#This Row],[ciudad_cliente]],  ciudades[Ciudad], ciudades[Region])</f>
        <v>Valparaíso</v>
      </c>
      <c r="L717" t="s">
        <v>38</v>
      </c>
      <c r="M717" t="s">
        <v>23</v>
      </c>
      <c r="N717" t="str">
        <f>_xlfn.XLOOKUP(ventas[[#This Row],[producto]], categ[Producto], categ[Categoria])</f>
        <v>Belleza</v>
      </c>
      <c r="O717">
        <v>15000</v>
      </c>
      <c r="P717">
        <v>2</v>
      </c>
      <c r="Q717" s="11">
        <v>0.05</v>
      </c>
      <c r="R717">
        <f>(ventas[[#This Row],[precio_unitario]]*ventas[[#This Row],[cantidad]])</f>
        <v>30000</v>
      </c>
      <c r="S717">
        <f>ventas[[#This Row],[Total_Productos]]*ventas[[#This Row],[descuento_pct]]</f>
        <v>1500</v>
      </c>
      <c r="T717">
        <f>ventas[[#This Row],[Total_Productos]]-ventas[[#This Row],[Valor_descuento]]</f>
        <v>28500</v>
      </c>
    </row>
    <row r="718" spans="1:20" x14ac:dyDescent="0.3">
      <c r="A718">
        <v>301</v>
      </c>
      <c r="B718" s="1">
        <v>45228</v>
      </c>
      <c r="C718">
        <v>62</v>
      </c>
      <c r="D718">
        <v>4</v>
      </c>
      <c r="E718">
        <v>5</v>
      </c>
      <c r="F718" t="s">
        <v>438</v>
      </c>
      <c r="G718" t="s">
        <v>439</v>
      </c>
      <c r="H718" t="s">
        <v>19</v>
      </c>
      <c r="I718">
        <v>35</v>
      </c>
      <c r="J718" t="s">
        <v>76</v>
      </c>
      <c r="K718" t="str">
        <f>_xlfn.XLOOKUP( ventas[[#This Row],[ciudad_cliente]],  ciudades[Ciudad], ciudades[Region])</f>
        <v>Los Lagos</v>
      </c>
      <c r="L718" t="s">
        <v>29</v>
      </c>
      <c r="M718" t="s">
        <v>62</v>
      </c>
      <c r="N718" t="str">
        <f>_xlfn.XLOOKUP(ventas[[#This Row],[producto]], categ[Producto], categ[Categoria])</f>
        <v>Electrohogar</v>
      </c>
      <c r="O718">
        <v>650000</v>
      </c>
      <c r="P718">
        <v>2</v>
      </c>
      <c r="Q718" s="11">
        <v>0.1</v>
      </c>
      <c r="R718">
        <f>(ventas[[#This Row],[precio_unitario]]*ventas[[#This Row],[cantidad]])</f>
        <v>1300000</v>
      </c>
      <c r="S718">
        <f>ventas[[#This Row],[Total_Productos]]*ventas[[#This Row],[descuento_pct]]</f>
        <v>130000</v>
      </c>
      <c r="T718">
        <f>ventas[[#This Row],[Total_Productos]]-ventas[[#This Row],[Valor_descuento]]</f>
        <v>1170000</v>
      </c>
    </row>
    <row r="719" spans="1:20" x14ac:dyDescent="0.3">
      <c r="A719">
        <v>352</v>
      </c>
      <c r="B719" s="1">
        <v>45279</v>
      </c>
      <c r="C719">
        <v>1</v>
      </c>
      <c r="D719">
        <v>8</v>
      </c>
      <c r="E719">
        <v>5</v>
      </c>
      <c r="F719" t="s">
        <v>438</v>
      </c>
      <c r="G719" t="s">
        <v>439</v>
      </c>
      <c r="H719" t="s">
        <v>19</v>
      </c>
      <c r="I719">
        <v>35</v>
      </c>
      <c r="J719" t="s">
        <v>34</v>
      </c>
      <c r="K719" t="str">
        <f>_xlfn.XLOOKUP( ventas[[#This Row],[ciudad_cliente]],  ciudades[Ciudad], ciudades[Region])</f>
        <v>Metropolitana</v>
      </c>
      <c r="L719" t="s">
        <v>29</v>
      </c>
      <c r="M719" t="s">
        <v>69</v>
      </c>
      <c r="N719" t="str">
        <f>_xlfn.XLOOKUP(ventas[[#This Row],[producto]], categ[Producto], categ[Categoria])</f>
        <v>Tecnología</v>
      </c>
      <c r="O719">
        <v>450000</v>
      </c>
      <c r="P719">
        <v>1</v>
      </c>
      <c r="Q719" s="11">
        <v>0.05</v>
      </c>
      <c r="R719">
        <f>(ventas[[#This Row],[precio_unitario]]*ventas[[#This Row],[cantidad]])</f>
        <v>450000</v>
      </c>
      <c r="S719">
        <f>ventas[[#This Row],[Total_Productos]]*ventas[[#This Row],[descuento_pct]]</f>
        <v>22500</v>
      </c>
      <c r="T719">
        <f>ventas[[#This Row],[Total_Productos]]-ventas[[#This Row],[Valor_descuento]]</f>
        <v>427500</v>
      </c>
    </row>
    <row r="720" spans="1:20" x14ac:dyDescent="0.3">
      <c r="A720">
        <v>475</v>
      </c>
      <c r="B720" s="1">
        <v>45402</v>
      </c>
      <c r="C720">
        <v>27</v>
      </c>
      <c r="D720">
        <v>4</v>
      </c>
      <c r="E720">
        <v>5</v>
      </c>
      <c r="F720" t="s">
        <v>438</v>
      </c>
      <c r="G720" t="s">
        <v>439</v>
      </c>
      <c r="H720" t="s">
        <v>19</v>
      </c>
      <c r="I720">
        <v>35</v>
      </c>
      <c r="J720" t="s">
        <v>116</v>
      </c>
      <c r="K720" t="str">
        <f>_xlfn.XLOOKUP( ventas[[#This Row],[ciudad_cliente]],  ciudades[Ciudad], ciudades[Region])</f>
        <v>Valparaíso</v>
      </c>
      <c r="L720" t="s">
        <v>38</v>
      </c>
      <c r="M720" t="s">
        <v>98</v>
      </c>
      <c r="N720" t="str">
        <f>_xlfn.XLOOKUP(ventas[[#This Row],[producto]], categ[Producto], categ[Categoria])</f>
        <v>Calzado</v>
      </c>
      <c r="O720">
        <v>55000</v>
      </c>
      <c r="P720">
        <v>1</v>
      </c>
      <c r="Q720" s="11">
        <v>0.1</v>
      </c>
      <c r="R720">
        <f>(ventas[[#This Row],[precio_unitario]]*ventas[[#This Row],[cantidad]])</f>
        <v>55000</v>
      </c>
      <c r="S720">
        <f>ventas[[#This Row],[Total_Productos]]*ventas[[#This Row],[descuento_pct]]</f>
        <v>5500</v>
      </c>
      <c r="T720">
        <f>ventas[[#This Row],[Total_Productos]]-ventas[[#This Row],[Valor_descuento]]</f>
        <v>49500</v>
      </c>
    </row>
    <row r="721" spans="1:20" x14ac:dyDescent="0.3">
      <c r="A721">
        <v>680</v>
      </c>
      <c r="B721" s="1">
        <v>45607</v>
      </c>
      <c r="C721">
        <v>4</v>
      </c>
      <c r="D721">
        <v>3</v>
      </c>
      <c r="E721">
        <v>5</v>
      </c>
      <c r="F721" t="s">
        <v>438</v>
      </c>
      <c r="G721" t="s">
        <v>439</v>
      </c>
      <c r="H721" t="s">
        <v>19</v>
      </c>
      <c r="I721">
        <v>35</v>
      </c>
      <c r="J721" t="s">
        <v>52</v>
      </c>
      <c r="K721" t="str">
        <f>_xlfn.XLOOKUP( ventas[[#This Row],[ciudad_cliente]],  ciudades[Ciudad], ciudades[Region])</f>
        <v>Biobío</v>
      </c>
      <c r="L721" t="s">
        <v>22</v>
      </c>
      <c r="M721" t="s">
        <v>30</v>
      </c>
      <c r="N721" t="str">
        <f>_xlfn.XLOOKUP(ventas[[#This Row],[producto]], categ[Producto], categ[Categoria])</f>
        <v>Electrohogar</v>
      </c>
      <c r="O721">
        <v>700000</v>
      </c>
      <c r="P721">
        <v>3</v>
      </c>
      <c r="Q721" s="11">
        <v>0</v>
      </c>
      <c r="R721">
        <f>(ventas[[#This Row],[precio_unitario]]*ventas[[#This Row],[cantidad]])</f>
        <v>2100000</v>
      </c>
      <c r="S721">
        <f>ventas[[#This Row],[Total_Productos]]*ventas[[#This Row],[descuento_pct]]</f>
        <v>0</v>
      </c>
      <c r="T721">
        <f>ventas[[#This Row],[Total_Productos]]-ventas[[#This Row],[Valor_descuento]]</f>
        <v>2100000</v>
      </c>
    </row>
    <row r="722" spans="1:20" x14ac:dyDescent="0.3">
      <c r="A722">
        <v>521</v>
      </c>
      <c r="B722" s="1">
        <v>45448</v>
      </c>
      <c r="C722">
        <v>7</v>
      </c>
      <c r="D722">
        <v>8</v>
      </c>
      <c r="E722">
        <v>57</v>
      </c>
      <c r="F722" t="s">
        <v>542</v>
      </c>
      <c r="G722" t="s">
        <v>543</v>
      </c>
      <c r="H722" t="s">
        <v>42</v>
      </c>
      <c r="I722">
        <v>27</v>
      </c>
      <c r="J722" t="s">
        <v>37</v>
      </c>
      <c r="K722" t="str">
        <f>_xlfn.XLOOKUP( ventas[[#This Row],[ciudad_cliente]],  ciudades[Ciudad], ciudades[Region])</f>
        <v>Valparaíso</v>
      </c>
      <c r="L722" t="s">
        <v>38</v>
      </c>
      <c r="M722" t="s">
        <v>49</v>
      </c>
      <c r="N722" t="str">
        <f>_xlfn.XLOOKUP(ventas[[#This Row],[producto]], categ[Producto], categ[Categoria])</f>
        <v>Electrohogar</v>
      </c>
      <c r="O722">
        <v>800000</v>
      </c>
      <c r="P722">
        <v>3</v>
      </c>
      <c r="Q722" s="11">
        <v>0.05</v>
      </c>
      <c r="R722">
        <f>(ventas[[#This Row],[precio_unitario]]*ventas[[#This Row],[cantidad]])</f>
        <v>2400000</v>
      </c>
      <c r="S722">
        <f>ventas[[#This Row],[Total_Productos]]*ventas[[#This Row],[descuento_pct]]</f>
        <v>120000</v>
      </c>
      <c r="T722">
        <f>ventas[[#This Row],[Total_Productos]]-ventas[[#This Row],[Valor_descuento]]</f>
        <v>2280000</v>
      </c>
    </row>
    <row r="723" spans="1:20" x14ac:dyDescent="0.3">
      <c r="A723">
        <v>576</v>
      </c>
      <c r="B723" s="1">
        <v>45503</v>
      </c>
      <c r="C723">
        <v>39</v>
      </c>
      <c r="D723">
        <v>6</v>
      </c>
      <c r="E723">
        <v>57</v>
      </c>
      <c r="F723" t="s">
        <v>542</v>
      </c>
      <c r="G723" t="s">
        <v>543</v>
      </c>
      <c r="H723" t="s">
        <v>42</v>
      </c>
      <c r="I723">
        <v>27</v>
      </c>
      <c r="J723" t="s">
        <v>43</v>
      </c>
      <c r="K723" t="str">
        <f>_xlfn.XLOOKUP( ventas[[#This Row],[ciudad_cliente]],  ciudades[Ciudad], ciudades[Region])</f>
        <v>Antofagasta</v>
      </c>
      <c r="L723" t="s">
        <v>22</v>
      </c>
      <c r="M723" t="s">
        <v>39</v>
      </c>
      <c r="N723" t="str">
        <f>_xlfn.XLOOKUP(ventas[[#This Row],[producto]], categ[Producto], categ[Categoria])</f>
        <v>Belleza</v>
      </c>
      <c r="O723">
        <v>35000</v>
      </c>
      <c r="P723">
        <v>3</v>
      </c>
      <c r="Q723" s="11">
        <v>0.1</v>
      </c>
      <c r="R723">
        <f>(ventas[[#This Row],[precio_unitario]]*ventas[[#This Row],[cantidad]])</f>
        <v>105000</v>
      </c>
      <c r="S723">
        <f>ventas[[#This Row],[Total_Productos]]*ventas[[#This Row],[descuento_pct]]</f>
        <v>10500</v>
      </c>
      <c r="T723">
        <f>ventas[[#This Row],[Total_Productos]]-ventas[[#This Row],[Valor_descuento]]</f>
        <v>94500</v>
      </c>
    </row>
    <row r="724" spans="1:20" x14ac:dyDescent="0.3">
      <c r="A724">
        <v>938</v>
      </c>
      <c r="B724" s="1">
        <v>45865</v>
      </c>
      <c r="C724">
        <v>41</v>
      </c>
      <c r="D724">
        <v>4</v>
      </c>
      <c r="E724">
        <v>57</v>
      </c>
      <c r="F724" t="s">
        <v>542</v>
      </c>
      <c r="G724" t="s">
        <v>543</v>
      </c>
      <c r="H724" t="s">
        <v>42</v>
      </c>
      <c r="I724">
        <v>27</v>
      </c>
      <c r="J724" t="s">
        <v>43</v>
      </c>
      <c r="K724" t="str">
        <f>_xlfn.XLOOKUP( ventas[[#This Row],[ciudad_cliente]],  ciudades[Ciudad], ciudades[Region])</f>
        <v>Antofagasta</v>
      </c>
      <c r="L724" t="s">
        <v>38</v>
      </c>
      <c r="M724" t="s">
        <v>46</v>
      </c>
      <c r="N724" t="str">
        <f>_xlfn.XLOOKUP(ventas[[#This Row],[producto]], categ[Producto], categ[Categoria])</f>
        <v>Tecnología</v>
      </c>
      <c r="O724">
        <v>750000</v>
      </c>
      <c r="P724">
        <v>2</v>
      </c>
      <c r="Q724" s="11">
        <v>0.1</v>
      </c>
      <c r="R724">
        <f>(ventas[[#This Row],[precio_unitario]]*ventas[[#This Row],[cantidad]])</f>
        <v>1500000</v>
      </c>
      <c r="S724">
        <f>ventas[[#This Row],[Total_Productos]]*ventas[[#This Row],[descuento_pct]]</f>
        <v>150000</v>
      </c>
      <c r="T724">
        <f>ventas[[#This Row],[Total_Productos]]-ventas[[#This Row],[Valor_descuento]]</f>
        <v>1350000</v>
      </c>
    </row>
    <row r="725" spans="1:20" x14ac:dyDescent="0.3">
      <c r="A725">
        <v>267</v>
      </c>
      <c r="B725" s="1">
        <v>45194</v>
      </c>
      <c r="C725">
        <v>66</v>
      </c>
      <c r="D725">
        <v>2</v>
      </c>
      <c r="E725">
        <v>139</v>
      </c>
      <c r="F725" t="s">
        <v>414</v>
      </c>
      <c r="G725" t="s">
        <v>415</v>
      </c>
      <c r="H725" t="s">
        <v>19</v>
      </c>
      <c r="I725">
        <v>47</v>
      </c>
      <c r="J725" t="s">
        <v>27</v>
      </c>
      <c r="K725" t="str">
        <f>_xlfn.XLOOKUP( ventas[[#This Row],[ciudad_cliente]],  ciudades[Ciudad], ciudades[Region])</f>
        <v>Biobío</v>
      </c>
      <c r="L725" t="s">
        <v>38</v>
      </c>
      <c r="M725" t="s">
        <v>23</v>
      </c>
      <c r="N725" t="str">
        <f>_xlfn.XLOOKUP(ventas[[#This Row],[producto]], categ[Producto], categ[Categoria])</f>
        <v>Belleza</v>
      </c>
      <c r="O725">
        <v>15000</v>
      </c>
      <c r="P725">
        <v>1</v>
      </c>
      <c r="Q725" s="11">
        <v>0</v>
      </c>
      <c r="R725">
        <f>(ventas[[#This Row],[precio_unitario]]*ventas[[#This Row],[cantidad]])</f>
        <v>15000</v>
      </c>
      <c r="S725">
        <f>ventas[[#This Row],[Total_Productos]]*ventas[[#This Row],[descuento_pct]]</f>
        <v>0</v>
      </c>
      <c r="T725">
        <f>ventas[[#This Row],[Total_Productos]]-ventas[[#This Row],[Valor_descuento]]</f>
        <v>15000</v>
      </c>
    </row>
    <row r="726" spans="1:20" x14ac:dyDescent="0.3">
      <c r="A726">
        <v>345</v>
      </c>
      <c r="B726" s="1">
        <v>45272</v>
      </c>
      <c r="C726">
        <v>28</v>
      </c>
      <c r="D726">
        <v>5</v>
      </c>
      <c r="E726">
        <v>139</v>
      </c>
      <c r="F726" t="s">
        <v>414</v>
      </c>
      <c r="G726" t="s">
        <v>415</v>
      </c>
      <c r="H726" t="s">
        <v>19</v>
      </c>
      <c r="I726">
        <v>47</v>
      </c>
      <c r="J726" t="s">
        <v>116</v>
      </c>
      <c r="K726" t="str">
        <f>_xlfn.XLOOKUP( ventas[[#This Row],[ciudad_cliente]],  ciudades[Ciudad], ciudades[Region])</f>
        <v>Valparaíso</v>
      </c>
      <c r="L726" t="s">
        <v>38</v>
      </c>
      <c r="M726" t="s">
        <v>98</v>
      </c>
      <c r="N726" t="str">
        <f>_xlfn.XLOOKUP(ventas[[#This Row],[producto]], categ[Producto], categ[Categoria])</f>
        <v>Calzado</v>
      </c>
      <c r="O726">
        <v>55000</v>
      </c>
      <c r="P726">
        <v>2</v>
      </c>
      <c r="Q726" s="11">
        <v>0.1</v>
      </c>
      <c r="R726">
        <f>(ventas[[#This Row],[precio_unitario]]*ventas[[#This Row],[cantidad]])</f>
        <v>110000</v>
      </c>
      <c r="S726">
        <f>ventas[[#This Row],[Total_Productos]]*ventas[[#This Row],[descuento_pct]]</f>
        <v>11000</v>
      </c>
      <c r="T726">
        <f>ventas[[#This Row],[Total_Productos]]-ventas[[#This Row],[Valor_descuento]]</f>
        <v>99000</v>
      </c>
    </row>
    <row r="727" spans="1:20" x14ac:dyDescent="0.3">
      <c r="A727">
        <v>445</v>
      </c>
      <c r="B727" s="1">
        <v>45372</v>
      </c>
      <c r="C727">
        <v>46</v>
      </c>
      <c r="D727">
        <v>5</v>
      </c>
      <c r="E727">
        <v>139</v>
      </c>
      <c r="F727" t="s">
        <v>414</v>
      </c>
      <c r="G727" t="s">
        <v>415</v>
      </c>
      <c r="H727" t="s">
        <v>19</v>
      </c>
      <c r="I727">
        <v>47</v>
      </c>
      <c r="J727" t="s">
        <v>84</v>
      </c>
      <c r="K727" t="str">
        <f>_xlfn.XLOOKUP( ventas[[#This Row],[ciudad_cliente]],  ciudades[Ciudad], ciudades[Region])</f>
        <v>Coquimbo</v>
      </c>
      <c r="L727" t="s">
        <v>38</v>
      </c>
      <c r="M727" t="s">
        <v>30</v>
      </c>
      <c r="N727" t="str">
        <f>_xlfn.XLOOKUP(ventas[[#This Row],[producto]], categ[Producto], categ[Categoria])</f>
        <v>Electrohogar</v>
      </c>
      <c r="O727">
        <v>700000</v>
      </c>
      <c r="P727">
        <v>3</v>
      </c>
      <c r="Q727" s="11">
        <v>0.05</v>
      </c>
      <c r="R727">
        <f>(ventas[[#This Row],[precio_unitario]]*ventas[[#This Row],[cantidad]])</f>
        <v>2100000</v>
      </c>
      <c r="S727">
        <f>ventas[[#This Row],[Total_Productos]]*ventas[[#This Row],[descuento_pct]]</f>
        <v>105000</v>
      </c>
      <c r="T727">
        <f>ventas[[#This Row],[Total_Productos]]-ventas[[#This Row],[Valor_descuento]]</f>
        <v>1995000</v>
      </c>
    </row>
    <row r="728" spans="1:20" x14ac:dyDescent="0.3">
      <c r="A728">
        <v>742</v>
      </c>
      <c r="B728" s="1">
        <v>45669</v>
      </c>
      <c r="C728">
        <v>52</v>
      </c>
      <c r="D728">
        <v>0</v>
      </c>
      <c r="E728">
        <v>139</v>
      </c>
      <c r="F728" t="s">
        <v>414</v>
      </c>
      <c r="G728" t="s">
        <v>415</v>
      </c>
      <c r="H728" t="s">
        <v>19</v>
      </c>
      <c r="I728">
        <v>47</v>
      </c>
      <c r="J728" t="s">
        <v>27</v>
      </c>
      <c r="K728" t="str">
        <f>_xlfn.XLOOKUP( ventas[[#This Row],[ciudad_cliente]],  ciudades[Ciudad], ciudades[Region])</f>
        <v>Biobío</v>
      </c>
      <c r="L728" t="s">
        <v>22</v>
      </c>
      <c r="M728" t="s">
        <v>102</v>
      </c>
      <c r="N728" t="str">
        <f>_xlfn.XLOOKUP(ventas[[#This Row],[producto]], categ[Producto], categ[Categoria])</f>
        <v>Vestuario</v>
      </c>
      <c r="O728">
        <v>12000</v>
      </c>
      <c r="P728">
        <v>2</v>
      </c>
      <c r="Q728" s="11">
        <v>0</v>
      </c>
      <c r="R728">
        <f>(ventas[[#This Row],[precio_unitario]]*ventas[[#This Row],[cantidad]])</f>
        <v>24000</v>
      </c>
      <c r="S728">
        <f>ventas[[#This Row],[Total_Productos]]*ventas[[#This Row],[descuento_pct]]</f>
        <v>0</v>
      </c>
      <c r="T728">
        <f>ventas[[#This Row],[Total_Productos]]-ventas[[#This Row],[Valor_descuento]]</f>
        <v>24000</v>
      </c>
    </row>
    <row r="729" spans="1:20" x14ac:dyDescent="0.3">
      <c r="A729">
        <v>848</v>
      </c>
      <c r="B729" s="1">
        <v>45775</v>
      </c>
      <c r="C729">
        <v>15</v>
      </c>
      <c r="D729">
        <v>0</v>
      </c>
      <c r="E729">
        <v>139</v>
      </c>
      <c r="F729" t="s">
        <v>414</v>
      </c>
      <c r="G729" t="s">
        <v>415</v>
      </c>
      <c r="H729" t="s">
        <v>19</v>
      </c>
      <c r="I729">
        <v>47</v>
      </c>
      <c r="J729" t="s">
        <v>34</v>
      </c>
      <c r="K729" t="str">
        <f>_xlfn.XLOOKUP( ventas[[#This Row],[ciudad_cliente]],  ciudades[Ciudad], ciudades[Region])</f>
        <v>Metropolitana</v>
      </c>
      <c r="L729" t="s">
        <v>22</v>
      </c>
      <c r="M729" t="s">
        <v>69</v>
      </c>
      <c r="N729" t="str">
        <f>_xlfn.XLOOKUP(ventas[[#This Row],[producto]], categ[Producto], categ[Categoria])</f>
        <v>Tecnología</v>
      </c>
      <c r="O729">
        <v>450000</v>
      </c>
      <c r="P729">
        <v>2</v>
      </c>
      <c r="Q729" s="11">
        <v>0.1</v>
      </c>
      <c r="R729">
        <f>(ventas[[#This Row],[precio_unitario]]*ventas[[#This Row],[cantidad]])</f>
        <v>900000</v>
      </c>
      <c r="S729">
        <f>ventas[[#This Row],[Total_Productos]]*ventas[[#This Row],[descuento_pct]]</f>
        <v>90000</v>
      </c>
      <c r="T729">
        <f>ventas[[#This Row],[Total_Productos]]-ventas[[#This Row],[Valor_descuento]]</f>
        <v>810000</v>
      </c>
    </row>
    <row r="730" spans="1:20" x14ac:dyDescent="0.3">
      <c r="A730">
        <v>420</v>
      </c>
      <c r="B730" s="1">
        <v>45347</v>
      </c>
      <c r="C730">
        <v>9</v>
      </c>
      <c r="D730">
        <v>9</v>
      </c>
      <c r="E730">
        <v>203</v>
      </c>
      <c r="F730" t="s">
        <v>508</v>
      </c>
      <c r="G730" t="s">
        <v>509</v>
      </c>
      <c r="H730" t="s">
        <v>42</v>
      </c>
      <c r="I730">
        <v>50</v>
      </c>
      <c r="J730" t="s">
        <v>37</v>
      </c>
      <c r="K730" t="str">
        <f>_xlfn.XLOOKUP( ventas[[#This Row],[ciudad_cliente]],  ciudades[Ciudad], ciudades[Region])</f>
        <v>Valparaíso</v>
      </c>
      <c r="L730" t="s">
        <v>38</v>
      </c>
      <c r="M730" t="s">
        <v>46</v>
      </c>
      <c r="N730" t="str">
        <f>_xlfn.XLOOKUP(ventas[[#This Row],[producto]], categ[Producto], categ[Categoria])</f>
        <v>Tecnología</v>
      </c>
      <c r="O730">
        <v>750000</v>
      </c>
      <c r="P730">
        <v>1</v>
      </c>
      <c r="Q730" s="11">
        <v>0</v>
      </c>
      <c r="R730">
        <f>(ventas[[#This Row],[precio_unitario]]*ventas[[#This Row],[cantidad]])</f>
        <v>750000</v>
      </c>
      <c r="S730">
        <f>ventas[[#This Row],[Total_Productos]]*ventas[[#This Row],[descuento_pct]]</f>
        <v>0</v>
      </c>
      <c r="T730">
        <f>ventas[[#This Row],[Total_Productos]]-ventas[[#This Row],[Valor_descuento]]</f>
        <v>750000</v>
      </c>
    </row>
    <row r="731" spans="1:20" x14ac:dyDescent="0.3">
      <c r="A731">
        <v>562</v>
      </c>
      <c r="B731" s="1">
        <v>45489</v>
      </c>
      <c r="C731">
        <v>70</v>
      </c>
      <c r="D731">
        <v>6</v>
      </c>
      <c r="E731">
        <v>203</v>
      </c>
      <c r="F731" t="s">
        <v>508</v>
      </c>
      <c r="G731" t="s">
        <v>509</v>
      </c>
      <c r="H731" t="s">
        <v>42</v>
      </c>
      <c r="I731">
        <v>50</v>
      </c>
      <c r="J731" t="s">
        <v>27</v>
      </c>
      <c r="K731" t="str">
        <f>_xlfn.XLOOKUP( ventas[[#This Row],[ciudad_cliente]],  ciudades[Ciudad], ciudades[Region])</f>
        <v>Biobío</v>
      </c>
      <c r="L731" t="s">
        <v>29</v>
      </c>
      <c r="M731" t="s">
        <v>23</v>
      </c>
      <c r="N731" t="str">
        <f>_xlfn.XLOOKUP(ventas[[#This Row],[producto]], categ[Producto], categ[Categoria])</f>
        <v>Belleza</v>
      </c>
      <c r="O731">
        <v>15000</v>
      </c>
      <c r="P731">
        <v>1</v>
      </c>
      <c r="Q731" s="11">
        <v>0</v>
      </c>
      <c r="R731">
        <f>(ventas[[#This Row],[precio_unitario]]*ventas[[#This Row],[cantidad]])</f>
        <v>15000</v>
      </c>
      <c r="S731">
        <f>ventas[[#This Row],[Total_Productos]]*ventas[[#This Row],[descuento_pct]]</f>
        <v>0</v>
      </c>
      <c r="T731">
        <f>ventas[[#This Row],[Total_Productos]]-ventas[[#This Row],[Valor_descuento]]</f>
        <v>15000</v>
      </c>
    </row>
    <row r="732" spans="1:20" x14ac:dyDescent="0.3">
      <c r="A732">
        <v>11</v>
      </c>
      <c r="B732" s="1">
        <v>44938</v>
      </c>
      <c r="C732">
        <v>57</v>
      </c>
      <c r="D732">
        <v>3</v>
      </c>
      <c r="E732">
        <v>136</v>
      </c>
      <c r="F732" t="s">
        <v>60</v>
      </c>
      <c r="G732" t="s">
        <v>61</v>
      </c>
      <c r="H732" t="s">
        <v>42</v>
      </c>
      <c r="I732">
        <v>56</v>
      </c>
      <c r="J732" t="s">
        <v>52</v>
      </c>
      <c r="K732" t="str">
        <f>_xlfn.XLOOKUP( ventas[[#This Row],[ciudad_cliente]],  ciudades[Ciudad], ciudades[Region])</f>
        <v>Biobío</v>
      </c>
      <c r="L732" t="s">
        <v>22</v>
      </c>
      <c r="M732" t="s">
        <v>62</v>
      </c>
      <c r="N732" t="str">
        <f>_xlfn.XLOOKUP(ventas[[#This Row],[producto]], categ[Producto], categ[Categoria])</f>
        <v>Electrohogar</v>
      </c>
      <c r="O732">
        <v>650000</v>
      </c>
      <c r="P732">
        <v>2</v>
      </c>
      <c r="Q732" s="11">
        <v>0</v>
      </c>
      <c r="R732">
        <f>(ventas[[#This Row],[precio_unitario]]*ventas[[#This Row],[cantidad]])</f>
        <v>1300000</v>
      </c>
      <c r="S732">
        <f>ventas[[#This Row],[Total_Productos]]*ventas[[#This Row],[descuento_pct]]</f>
        <v>0</v>
      </c>
      <c r="T732">
        <f>ventas[[#This Row],[Total_Productos]]-ventas[[#This Row],[Valor_descuento]]</f>
        <v>1300000</v>
      </c>
    </row>
    <row r="733" spans="1:20" x14ac:dyDescent="0.3">
      <c r="A733">
        <v>366</v>
      </c>
      <c r="B733" s="1">
        <v>45293</v>
      </c>
      <c r="C733">
        <v>61</v>
      </c>
      <c r="D733">
        <v>3</v>
      </c>
      <c r="E733">
        <v>136</v>
      </c>
      <c r="F733" t="s">
        <v>60</v>
      </c>
      <c r="G733" t="s">
        <v>61</v>
      </c>
      <c r="H733" t="s">
        <v>42</v>
      </c>
      <c r="I733">
        <v>56</v>
      </c>
      <c r="J733" t="s">
        <v>52</v>
      </c>
      <c r="K733" t="str">
        <f>_xlfn.XLOOKUP( ventas[[#This Row],[ciudad_cliente]],  ciudades[Ciudad], ciudades[Region])</f>
        <v>Biobío</v>
      </c>
      <c r="L733" t="s">
        <v>38</v>
      </c>
      <c r="M733" t="s">
        <v>23</v>
      </c>
      <c r="N733" t="str">
        <f>_xlfn.XLOOKUP(ventas[[#This Row],[producto]], categ[Producto], categ[Categoria])</f>
        <v>Belleza</v>
      </c>
      <c r="O733">
        <v>15000</v>
      </c>
      <c r="P733">
        <v>3</v>
      </c>
      <c r="Q733" s="11">
        <v>0.05</v>
      </c>
      <c r="R733">
        <f>(ventas[[#This Row],[precio_unitario]]*ventas[[#This Row],[cantidad]])</f>
        <v>45000</v>
      </c>
      <c r="S733">
        <f>ventas[[#This Row],[Total_Productos]]*ventas[[#This Row],[descuento_pct]]</f>
        <v>2250</v>
      </c>
      <c r="T733">
        <f>ventas[[#This Row],[Total_Productos]]-ventas[[#This Row],[Valor_descuento]]</f>
        <v>42750</v>
      </c>
    </row>
    <row r="734" spans="1:20" x14ac:dyDescent="0.3">
      <c r="A734">
        <v>571</v>
      </c>
      <c r="B734" s="1">
        <v>45498</v>
      </c>
      <c r="C734">
        <v>42</v>
      </c>
      <c r="D734">
        <v>4</v>
      </c>
      <c r="E734">
        <v>136</v>
      </c>
      <c r="F734" t="s">
        <v>60</v>
      </c>
      <c r="G734" t="s">
        <v>61</v>
      </c>
      <c r="H734" t="s">
        <v>42</v>
      </c>
      <c r="I734">
        <v>56</v>
      </c>
      <c r="J734" t="s">
        <v>27</v>
      </c>
      <c r="K734" t="str">
        <f>_xlfn.XLOOKUP( ventas[[#This Row],[ciudad_cliente]],  ciudades[Ciudad], ciudades[Region])</f>
        <v>Biobío</v>
      </c>
      <c r="L734" t="s">
        <v>22</v>
      </c>
      <c r="M734" t="s">
        <v>102</v>
      </c>
      <c r="N734" t="str">
        <f>_xlfn.XLOOKUP(ventas[[#This Row],[producto]], categ[Producto], categ[Categoria])</f>
        <v>Vestuario</v>
      </c>
      <c r="O734">
        <v>12000</v>
      </c>
      <c r="P734">
        <v>1</v>
      </c>
      <c r="Q734" s="11">
        <v>0.1</v>
      </c>
      <c r="R734">
        <f>(ventas[[#This Row],[precio_unitario]]*ventas[[#This Row],[cantidad]])</f>
        <v>12000</v>
      </c>
      <c r="S734">
        <f>ventas[[#This Row],[Total_Productos]]*ventas[[#This Row],[descuento_pct]]</f>
        <v>1200</v>
      </c>
      <c r="T734">
        <f>ventas[[#This Row],[Total_Productos]]-ventas[[#This Row],[Valor_descuento]]</f>
        <v>10800</v>
      </c>
    </row>
    <row r="735" spans="1:20" x14ac:dyDescent="0.3">
      <c r="A735">
        <v>615</v>
      </c>
      <c r="B735" s="1">
        <v>45542</v>
      </c>
      <c r="C735">
        <v>60</v>
      </c>
      <c r="D735">
        <v>1</v>
      </c>
      <c r="E735">
        <v>136</v>
      </c>
      <c r="F735" t="s">
        <v>60</v>
      </c>
      <c r="G735" t="s">
        <v>61</v>
      </c>
      <c r="H735" t="s">
        <v>42</v>
      </c>
      <c r="I735">
        <v>56</v>
      </c>
      <c r="J735" t="s">
        <v>37</v>
      </c>
      <c r="K735" t="str">
        <f>_xlfn.XLOOKUP( ventas[[#This Row],[ciudad_cliente]],  ciudades[Ciudad], ciudades[Region])</f>
        <v>Valparaíso</v>
      </c>
      <c r="L735" t="s">
        <v>38</v>
      </c>
      <c r="M735" t="s">
        <v>56</v>
      </c>
      <c r="N735" t="str">
        <f>_xlfn.XLOOKUP(ventas[[#This Row],[producto]], categ[Producto], categ[Categoria])</f>
        <v>Vestuario</v>
      </c>
      <c r="O735">
        <v>25000</v>
      </c>
      <c r="P735">
        <v>2</v>
      </c>
      <c r="Q735" s="11">
        <v>0.05</v>
      </c>
      <c r="R735">
        <f>(ventas[[#This Row],[precio_unitario]]*ventas[[#This Row],[cantidad]])</f>
        <v>50000</v>
      </c>
      <c r="S735">
        <f>ventas[[#This Row],[Total_Productos]]*ventas[[#This Row],[descuento_pct]]</f>
        <v>2500</v>
      </c>
      <c r="T735">
        <f>ventas[[#This Row],[Total_Productos]]-ventas[[#This Row],[Valor_descuento]]</f>
        <v>47500</v>
      </c>
    </row>
    <row r="736" spans="1:20" x14ac:dyDescent="0.3">
      <c r="A736">
        <v>671</v>
      </c>
      <c r="B736" s="1">
        <v>45598</v>
      </c>
      <c r="C736">
        <v>13</v>
      </c>
      <c r="D736">
        <v>0</v>
      </c>
      <c r="E736">
        <v>136</v>
      </c>
      <c r="F736" t="s">
        <v>60</v>
      </c>
      <c r="G736" t="s">
        <v>61</v>
      </c>
      <c r="H736" t="s">
        <v>42</v>
      </c>
      <c r="I736">
        <v>56</v>
      </c>
      <c r="J736" t="s">
        <v>27</v>
      </c>
      <c r="K736" t="str">
        <f>_xlfn.XLOOKUP( ventas[[#This Row],[ciudad_cliente]],  ciudades[Ciudad], ciudades[Region])</f>
        <v>Biobío</v>
      </c>
      <c r="L736" t="s">
        <v>38</v>
      </c>
      <c r="M736" t="s">
        <v>23</v>
      </c>
      <c r="N736" t="str">
        <f>_xlfn.XLOOKUP(ventas[[#This Row],[producto]], categ[Producto], categ[Categoria])</f>
        <v>Belleza</v>
      </c>
      <c r="O736">
        <v>15000</v>
      </c>
      <c r="P736">
        <v>3</v>
      </c>
      <c r="Q736" s="11">
        <v>0</v>
      </c>
      <c r="R736">
        <f>(ventas[[#This Row],[precio_unitario]]*ventas[[#This Row],[cantidad]])</f>
        <v>45000</v>
      </c>
      <c r="S736">
        <f>ventas[[#This Row],[Total_Productos]]*ventas[[#This Row],[descuento_pct]]</f>
        <v>0</v>
      </c>
      <c r="T736">
        <f>ventas[[#This Row],[Total_Productos]]-ventas[[#This Row],[Valor_descuento]]</f>
        <v>45000</v>
      </c>
    </row>
    <row r="737" spans="1:20" x14ac:dyDescent="0.3">
      <c r="A737">
        <v>88</v>
      </c>
      <c r="B737" s="1">
        <v>45015</v>
      </c>
      <c r="C737">
        <v>68</v>
      </c>
      <c r="D737">
        <v>2</v>
      </c>
      <c r="E737">
        <v>125</v>
      </c>
      <c r="F737" t="s">
        <v>207</v>
      </c>
      <c r="G737" t="s">
        <v>208</v>
      </c>
      <c r="H737" t="s">
        <v>42</v>
      </c>
      <c r="I737">
        <v>45</v>
      </c>
      <c r="J737" t="s">
        <v>34</v>
      </c>
      <c r="K737" t="str">
        <f>_xlfn.XLOOKUP( ventas[[#This Row],[ciudad_cliente]],  ciudades[Ciudad], ciudades[Region])</f>
        <v>Metropolitana</v>
      </c>
      <c r="L737" t="s">
        <v>38</v>
      </c>
      <c r="M737" t="s">
        <v>56</v>
      </c>
      <c r="N737" t="str">
        <f>_xlfn.XLOOKUP(ventas[[#This Row],[producto]], categ[Producto], categ[Categoria])</f>
        <v>Vestuario</v>
      </c>
      <c r="O737">
        <v>25000</v>
      </c>
      <c r="P737">
        <v>1</v>
      </c>
      <c r="Q737" s="11">
        <v>0</v>
      </c>
      <c r="R737">
        <f>(ventas[[#This Row],[precio_unitario]]*ventas[[#This Row],[cantidad]])</f>
        <v>25000</v>
      </c>
      <c r="S737">
        <f>ventas[[#This Row],[Total_Productos]]*ventas[[#This Row],[descuento_pct]]</f>
        <v>0</v>
      </c>
      <c r="T737">
        <f>ventas[[#This Row],[Total_Productos]]-ventas[[#This Row],[Valor_descuento]]</f>
        <v>25000</v>
      </c>
    </row>
    <row r="738" spans="1:20" x14ac:dyDescent="0.3">
      <c r="A738">
        <v>157</v>
      </c>
      <c r="B738" s="1">
        <v>45084</v>
      </c>
      <c r="C738">
        <v>64</v>
      </c>
      <c r="D738">
        <v>4</v>
      </c>
      <c r="E738">
        <v>125</v>
      </c>
      <c r="F738" t="s">
        <v>207</v>
      </c>
      <c r="G738" t="s">
        <v>208</v>
      </c>
      <c r="H738" t="s">
        <v>42</v>
      </c>
      <c r="I738">
        <v>45</v>
      </c>
      <c r="J738" t="s">
        <v>20</v>
      </c>
      <c r="K738" t="str">
        <f>_xlfn.XLOOKUP( ventas[[#This Row],[ciudad_cliente]],  ciudades[Ciudad], ciudades[Region])</f>
        <v>La Araucanía</v>
      </c>
      <c r="L738" t="s">
        <v>22</v>
      </c>
      <c r="M738" t="s">
        <v>62</v>
      </c>
      <c r="N738" t="str">
        <f>_xlfn.XLOOKUP(ventas[[#This Row],[producto]], categ[Producto], categ[Categoria])</f>
        <v>Electrohogar</v>
      </c>
      <c r="O738">
        <v>650000</v>
      </c>
      <c r="P738">
        <v>3</v>
      </c>
      <c r="Q738" s="11">
        <v>0.1</v>
      </c>
      <c r="R738">
        <f>(ventas[[#This Row],[precio_unitario]]*ventas[[#This Row],[cantidad]])</f>
        <v>1950000</v>
      </c>
      <c r="S738">
        <f>ventas[[#This Row],[Total_Productos]]*ventas[[#This Row],[descuento_pct]]</f>
        <v>195000</v>
      </c>
      <c r="T738">
        <f>ventas[[#This Row],[Total_Productos]]-ventas[[#This Row],[Valor_descuento]]</f>
        <v>1755000</v>
      </c>
    </row>
    <row r="739" spans="1:20" x14ac:dyDescent="0.3">
      <c r="A739">
        <v>467</v>
      </c>
      <c r="B739" s="1">
        <v>45394</v>
      </c>
      <c r="C739">
        <v>11</v>
      </c>
      <c r="D739">
        <v>0</v>
      </c>
      <c r="E739">
        <v>125</v>
      </c>
      <c r="F739" t="s">
        <v>207</v>
      </c>
      <c r="G739" t="s">
        <v>208</v>
      </c>
      <c r="H739" t="s">
        <v>42</v>
      </c>
      <c r="I739">
        <v>45</v>
      </c>
      <c r="J739" t="s">
        <v>43</v>
      </c>
      <c r="K739" t="str">
        <f>_xlfn.XLOOKUP( ventas[[#This Row],[ciudad_cliente]],  ciudades[Ciudad], ciudades[Region])</f>
        <v>Antofagasta</v>
      </c>
      <c r="L739" t="s">
        <v>38</v>
      </c>
      <c r="M739" t="s">
        <v>102</v>
      </c>
      <c r="N739" t="str">
        <f>_xlfn.XLOOKUP(ventas[[#This Row],[producto]], categ[Producto], categ[Categoria])</f>
        <v>Vestuario</v>
      </c>
      <c r="O739">
        <v>12000</v>
      </c>
      <c r="P739">
        <v>1</v>
      </c>
      <c r="Q739" s="11">
        <v>0</v>
      </c>
      <c r="R739">
        <f>(ventas[[#This Row],[precio_unitario]]*ventas[[#This Row],[cantidad]])</f>
        <v>12000</v>
      </c>
      <c r="S739">
        <f>ventas[[#This Row],[Total_Productos]]*ventas[[#This Row],[descuento_pct]]</f>
        <v>0</v>
      </c>
      <c r="T739">
        <f>ventas[[#This Row],[Total_Productos]]-ventas[[#This Row],[Valor_descuento]]</f>
        <v>12000</v>
      </c>
    </row>
    <row r="740" spans="1:20" x14ac:dyDescent="0.3">
      <c r="A740">
        <v>629</v>
      </c>
      <c r="B740" s="1">
        <v>45556</v>
      </c>
      <c r="C740">
        <v>53</v>
      </c>
      <c r="D740">
        <v>1</v>
      </c>
      <c r="E740">
        <v>125</v>
      </c>
      <c r="F740" t="s">
        <v>207</v>
      </c>
      <c r="G740" t="s">
        <v>208</v>
      </c>
      <c r="H740" t="s">
        <v>42</v>
      </c>
      <c r="I740">
        <v>45</v>
      </c>
      <c r="J740" t="s">
        <v>76</v>
      </c>
      <c r="K740" t="str">
        <f>_xlfn.XLOOKUP( ventas[[#This Row],[ciudad_cliente]],  ciudades[Ciudad], ciudades[Region])</f>
        <v>Los Lagos</v>
      </c>
      <c r="L740" t="s">
        <v>29</v>
      </c>
      <c r="M740" t="s">
        <v>39</v>
      </c>
      <c r="N740" t="str">
        <f>_xlfn.XLOOKUP(ventas[[#This Row],[producto]], categ[Producto], categ[Categoria])</f>
        <v>Belleza</v>
      </c>
      <c r="O740">
        <v>35000</v>
      </c>
      <c r="P740">
        <v>2</v>
      </c>
      <c r="Q740" s="11">
        <v>0.1</v>
      </c>
      <c r="R740">
        <f>(ventas[[#This Row],[precio_unitario]]*ventas[[#This Row],[cantidad]])</f>
        <v>70000</v>
      </c>
      <c r="S740">
        <f>ventas[[#This Row],[Total_Productos]]*ventas[[#This Row],[descuento_pct]]</f>
        <v>7000</v>
      </c>
      <c r="T740">
        <f>ventas[[#This Row],[Total_Productos]]-ventas[[#This Row],[Valor_descuento]]</f>
        <v>63000</v>
      </c>
    </row>
    <row r="741" spans="1:20" x14ac:dyDescent="0.3">
      <c r="A741">
        <v>975</v>
      </c>
      <c r="B741" s="1">
        <v>45902</v>
      </c>
      <c r="C741">
        <v>42</v>
      </c>
      <c r="D741">
        <v>4</v>
      </c>
      <c r="E741">
        <v>125</v>
      </c>
      <c r="F741" t="s">
        <v>207</v>
      </c>
      <c r="G741" t="s">
        <v>208</v>
      </c>
      <c r="H741" t="s">
        <v>42</v>
      </c>
      <c r="I741">
        <v>45</v>
      </c>
      <c r="J741" t="s">
        <v>27</v>
      </c>
      <c r="K741" t="str">
        <f>_xlfn.XLOOKUP( ventas[[#This Row],[ciudad_cliente]],  ciudades[Ciudad], ciudades[Region])</f>
        <v>Biobío</v>
      </c>
      <c r="L741" t="s">
        <v>29</v>
      </c>
      <c r="M741" t="s">
        <v>98</v>
      </c>
      <c r="N741" t="str">
        <f>_xlfn.XLOOKUP(ventas[[#This Row],[producto]], categ[Producto], categ[Categoria])</f>
        <v>Calzado</v>
      </c>
      <c r="O741">
        <v>55000</v>
      </c>
      <c r="P741">
        <v>2</v>
      </c>
      <c r="Q741" s="11">
        <v>0.1</v>
      </c>
      <c r="R741">
        <f>(ventas[[#This Row],[precio_unitario]]*ventas[[#This Row],[cantidad]])</f>
        <v>110000</v>
      </c>
      <c r="S741">
        <f>ventas[[#This Row],[Total_Productos]]*ventas[[#This Row],[descuento_pct]]</f>
        <v>11000</v>
      </c>
      <c r="T741">
        <f>ventas[[#This Row],[Total_Productos]]-ventas[[#This Row],[Valor_descuento]]</f>
        <v>99000</v>
      </c>
    </row>
    <row r="742" spans="1:20" x14ac:dyDescent="0.3">
      <c r="A742">
        <v>590</v>
      </c>
      <c r="B742" s="1">
        <v>45517</v>
      </c>
      <c r="C742">
        <v>67</v>
      </c>
      <c r="D742">
        <v>0</v>
      </c>
      <c r="E742">
        <v>42</v>
      </c>
      <c r="F742" t="s">
        <v>560</v>
      </c>
      <c r="G742" t="s">
        <v>561</v>
      </c>
      <c r="H742" t="s">
        <v>19</v>
      </c>
      <c r="I742">
        <v>40</v>
      </c>
      <c r="J742" t="s">
        <v>27</v>
      </c>
      <c r="K742" t="str">
        <f>_xlfn.XLOOKUP( ventas[[#This Row],[ciudad_cliente]],  ciudades[Ciudad], ciudades[Region])</f>
        <v>Biobío</v>
      </c>
      <c r="L742" t="s">
        <v>38</v>
      </c>
      <c r="M742" t="s">
        <v>49</v>
      </c>
      <c r="N742" t="str">
        <f>_xlfn.XLOOKUP(ventas[[#This Row],[producto]], categ[Producto], categ[Categoria])</f>
        <v>Electrohogar</v>
      </c>
      <c r="O742">
        <v>800000</v>
      </c>
      <c r="P742">
        <v>3</v>
      </c>
      <c r="Q742" s="11">
        <v>0.05</v>
      </c>
      <c r="R742">
        <f>(ventas[[#This Row],[precio_unitario]]*ventas[[#This Row],[cantidad]])</f>
        <v>2400000</v>
      </c>
      <c r="S742">
        <f>ventas[[#This Row],[Total_Productos]]*ventas[[#This Row],[descuento_pct]]</f>
        <v>120000</v>
      </c>
      <c r="T742">
        <f>ventas[[#This Row],[Total_Productos]]-ventas[[#This Row],[Valor_descuento]]</f>
        <v>2280000</v>
      </c>
    </row>
    <row r="743" spans="1:20" x14ac:dyDescent="0.3">
      <c r="A743">
        <v>58</v>
      </c>
      <c r="B743" s="1">
        <v>44985</v>
      </c>
      <c r="C743">
        <v>20</v>
      </c>
      <c r="D743">
        <v>0</v>
      </c>
      <c r="E743">
        <v>167</v>
      </c>
      <c r="F743" t="s">
        <v>157</v>
      </c>
      <c r="G743" t="s">
        <v>158</v>
      </c>
      <c r="H743" t="s">
        <v>42</v>
      </c>
      <c r="I743">
        <v>47</v>
      </c>
      <c r="J743" t="s">
        <v>20</v>
      </c>
      <c r="K743" t="str">
        <f>_xlfn.XLOOKUP( ventas[[#This Row],[ciudad_cliente]],  ciudades[Ciudad], ciudades[Region])</f>
        <v>La Araucanía</v>
      </c>
      <c r="L743" t="s">
        <v>22</v>
      </c>
      <c r="M743" t="s">
        <v>49</v>
      </c>
      <c r="N743" t="str">
        <f>_xlfn.XLOOKUP(ventas[[#This Row],[producto]], categ[Producto], categ[Categoria])</f>
        <v>Electrohogar</v>
      </c>
      <c r="O743">
        <v>800000</v>
      </c>
      <c r="P743">
        <v>2</v>
      </c>
      <c r="Q743" s="11">
        <v>0</v>
      </c>
      <c r="R743">
        <f>(ventas[[#This Row],[precio_unitario]]*ventas[[#This Row],[cantidad]])</f>
        <v>1600000</v>
      </c>
      <c r="S743">
        <f>ventas[[#This Row],[Total_Productos]]*ventas[[#This Row],[descuento_pct]]</f>
        <v>0</v>
      </c>
      <c r="T743">
        <f>ventas[[#This Row],[Total_Productos]]-ventas[[#This Row],[Valor_descuento]]</f>
        <v>1600000</v>
      </c>
    </row>
    <row r="744" spans="1:20" x14ac:dyDescent="0.3">
      <c r="A744">
        <v>96</v>
      </c>
      <c r="B744" s="1">
        <v>45023</v>
      </c>
      <c r="C744">
        <v>34</v>
      </c>
      <c r="D744">
        <v>1</v>
      </c>
      <c r="E744">
        <v>167</v>
      </c>
      <c r="F744" t="s">
        <v>157</v>
      </c>
      <c r="G744" t="s">
        <v>158</v>
      </c>
      <c r="H744" t="s">
        <v>42</v>
      </c>
      <c r="I744">
        <v>47</v>
      </c>
      <c r="J744" t="s">
        <v>52</v>
      </c>
      <c r="K744" t="str">
        <f>_xlfn.XLOOKUP( ventas[[#This Row],[ciudad_cliente]],  ciudades[Ciudad], ciudades[Region])</f>
        <v>Biobío</v>
      </c>
      <c r="L744" t="s">
        <v>22</v>
      </c>
      <c r="M744" t="s">
        <v>98</v>
      </c>
      <c r="N744" t="str">
        <f>_xlfn.XLOOKUP(ventas[[#This Row],[producto]], categ[Producto], categ[Categoria])</f>
        <v>Calzado</v>
      </c>
      <c r="O744">
        <v>55000</v>
      </c>
      <c r="P744">
        <v>2</v>
      </c>
      <c r="Q744" s="11">
        <v>0.05</v>
      </c>
      <c r="R744">
        <f>(ventas[[#This Row],[precio_unitario]]*ventas[[#This Row],[cantidad]])</f>
        <v>110000</v>
      </c>
      <c r="S744">
        <f>ventas[[#This Row],[Total_Productos]]*ventas[[#This Row],[descuento_pct]]</f>
        <v>5500</v>
      </c>
      <c r="T744">
        <f>ventas[[#This Row],[Total_Productos]]-ventas[[#This Row],[Valor_descuento]]</f>
        <v>104500</v>
      </c>
    </row>
    <row r="745" spans="1:20" x14ac:dyDescent="0.3">
      <c r="A745">
        <v>180</v>
      </c>
      <c r="B745" s="1">
        <v>45107</v>
      </c>
      <c r="C745">
        <v>8</v>
      </c>
      <c r="D745">
        <v>1</v>
      </c>
      <c r="E745">
        <v>167</v>
      </c>
      <c r="F745" t="s">
        <v>157</v>
      </c>
      <c r="G745" t="s">
        <v>158</v>
      </c>
      <c r="H745" t="s">
        <v>42</v>
      </c>
      <c r="I745">
        <v>47</v>
      </c>
      <c r="J745" t="s">
        <v>76</v>
      </c>
      <c r="K745" t="str">
        <f>_xlfn.XLOOKUP( ventas[[#This Row],[ciudad_cliente]],  ciudades[Ciudad], ciudades[Region])</f>
        <v>Los Lagos</v>
      </c>
      <c r="L745" t="s">
        <v>22</v>
      </c>
      <c r="M745" t="s">
        <v>62</v>
      </c>
      <c r="N745" t="str">
        <f>_xlfn.XLOOKUP(ventas[[#This Row],[producto]], categ[Producto], categ[Categoria])</f>
        <v>Electrohogar</v>
      </c>
      <c r="O745">
        <v>650000</v>
      </c>
      <c r="P745">
        <v>3</v>
      </c>
      <c r="Q745" s="11">
        <v>0</v>
      </c>
      <c r="R745">
        <f>(ventas[[#This Row],[precio_unitario]]*ventas[[#This Row],[cantidad]])</f>
        <v>1950000</v>
      </c>
      <c r="S745">
        <f>ventas[[#This Row],[Total_Productos]]*ventas[[#This Row],[descuento_pct]]</f>
        <v>0</v>
      </c>
      <c r="T745">
        <f>ventas[[#This Row],[Total_Productos]]-ventas[[#This Row],[Valor_descuento]]</f>
        <v>1950000</v>
      </c>
    </row>
    <row r="746" spans="1:20" x14ac:dyDescent="0.3">
      <c r="A746">
        <v>391</v>
      </c>
      <c r="B746" s="1">
        <v>45318</v>
      </c>
      <c r="C746">
        <v>70</v>
      </c>
      <c r="D746">
        <v>6</v>
      </c>
      <c r="E746">
        <v>167</v>
      </c>
      <c r="F746" t="s">
        <v>157</v>
      </c>
      <c r="G746" t="s">
        <v>158</v>
      </c>
      <c r="H746" t="s">
        <v>42</v>
      </c>
      <c r="I746">
        <v>47</v>
      </c>
      <c r="J746" t="s">
        <v>27</v>
      </c>
      <c r="K746" t="str">
        <f>_xlfn.XLOOKUP( ventas[[#This Row],[ciudad_cliente]],  ciudades[Ciudad], ciudades[Region])</f>
        <v>Biobío</v>
      </c>
      <c r="L746" t="s">
        <v>22</v>
      </c>
      <c r="M746" t="s">
        <v>98</v>
      </c>
      <c r="N746" t="str">
        <f>_xlfn.XLOOKUP(ventas[[#This Row],[producto]], categ[Producto], categ[Categoria])</f>
        <v>Calzado</v>
      </c>
      <c r="O746">
        <v>55000</v>
      </c>
      <c r="P746">
        <v>1</v>
      </c>
      <c r="Q746" s="11">
        <v>0</v>
      </c>
      <c r="R746">
        <f>(ventas[[#This Row],[precio_unitario]]*ventas[[#This Row],[cantidad]])</f>
        <v>55000</v>
      </c>
      <c r="S746">
        <f>ventas[[#This Row],[Total_Productos]]*ventas[[#This Row],[descuento_pct]]</f>
        <v>0</v>
      </c>
      <c r="T746">
        <f>ventas[[#This Row],[Total_Productos]]-ventas[[#This Row],[Valor_descuento]]</f>
        <v>55000</v>
      </c>
    </row>
    <row r="747" spans="1:20" x14ac:dyDescent="0.3">
      <c r="A747">
        <v>27</v>
      </c>
      <c r="B747" s="1">
        <v>44954</v>
      </c>
      <c r="C747">
        <v>36</v>
      </c>
      <c r="D747">
        <v>4</v>
      </c>
      <c r="E747">
        <v>252</v>
      </c>
      <c r="F747" t="s">
        <v>99</v>
      </c>
      <c r="G747" t="s">
        <v>100</v>
      </c>
      <c r="H747" t="s">
        <v>42</v>
      </c>
      <c r="I747">
        <v>49</v>
      </c>
      <c r="J747" t="s">
        <v>101</v>
      </c>
      <c r="K747" t="str">
        <f>_xlfn.XLOOKUP( ventas[[#This Row],[ciudad_cliente]],  ciudades[Ciudad], ciudades[Region])</f>
        <v>O'Higgins</v>
      </c>
      <c r="L747" t="s">
        <v>29</v>
      </c>
      <c r="M747" t="s">
        <v>102</v>
      </c>
      <c r="N747" t="str">
        <f>_xlfn.XLOOKUP(ventas[[#This Row],[producto]], categ[Producto], categ[Categoria])</f>
        <v>Vestuario</v>
      </c>
      <c r="O747">
        <v>12000</v>
      </c>
      <c r="P747">
        <v>1</v>
      </c>
      <c r="Q747" s="11">
        <v>0</v>
      </c>
      <c r="R747">
        <f>(ventas[[#This Row],[precio_unitario]]*ventas[[#This Row],[cantidad]])</f>
        <v>12000</v>
      </c>
      <c r="S747">
        <f>ventas[[#This Row],[Total_Productos]]*ventas[[#This Row],[descuento_pct]]</f>
        <v>0</v>
      </c>
      <c r="T747">
        <f>ventas[[#This Row],[Total_Productos]]-ventas[[#This Row],[Valor_descuento]]</f>
        <v>12000</v>
      </c>
    </row>
    <row r="748" spans="1:20" x14ac:dyDescent="0.3">
      <c r="A748">
        <v>389</v>
      </c>
      <c r="B748" s="1">
        <v>45316</v>
      </c>
      <c r="C748">
        <v>13</v>
      </c>
      <c r="D748">
        <v>0</v>
      </c>
      <c r="E748">
        <v>252</v>
      </c>
      <c r="F748" t="s">
        <v>99</v>
      </c>
      <c r="G748" t="s">
        <v>100</v>
      </c>
      <c r="H748" t="s">
        <v>42</v>
      </c>
      <c r="I748">
        <v>49</v>
      </c>
      <c r="J748" t="s">
        <v>27</v>
      </c>
      <c r="K748" t="str">
        <f>_xlfn.XLOOKUP( ventas[[#This Row],[ciudad_cliente]],  ciudades[Ciudad], ciudades[Region])</f>
        <v>Biobío</v>
      </c>
      <c r="L748" t="s">
        <v>38</v>
      </c>
      <c r="M748" t="s">
        <v>98</v>
      </c>
      <c r="N748" t="str">
        <f>_xlfn.XLOOKUP(ventas[[#This Row],[producto]], categ[Producto], categ[Categoria])</f>
        <v>Calzado</v>
      </c>
      <c r="O748">
        <v>55000</v>
      </c>
      <c r="P748">
        <v>1</v>
      </c>
      <c r="Q748" s="11">
        <v>0</v>
      </c>
      <c r="R748">
        <f>(ventas[[#This Row],[precio_unitario]]*ventas[[#This Row],[cantidad]])</f>
        <v>55000</v>
      </c>
      <c r="S748">
        <f>ventas[[#This Row],[Total_Productos]]*ventas[[#This Row],[descuento_pct]]</f>
        <v>0</v>
      </c>
      <c r="T748">
        <f>ventas[[#This Row],[Total_Productos]]-ventas[[#This Row],[Valor_descuento]]</f>
        <v>55000</v>
      </c>
    </row>
    <row r="749" spans="1:20" x14ac:dyDescent="0.3">
      <c r="A749">
        <v>544</v>
      </c>
      <c r="B749" s="1">
        <v>45471</v>
      </c>
      <c r="C749">
        <v>27</v>
      </c>
      <c r="D749">
        <v>4</v>
      </c>
      <c r="E749">
        <v>252</v>
      </c>
      <c r="F749" t="s">
        <v>99</v>
      </c>
      <c r="G749" t="s">
        <v>100</v>
      </c>
      <c r="H749" t="s">
        <v>42</v>
      </c>
      <c r="I749">
        <v>49</v>
      </c>
      <c r="J749" t="s">
        <v>116</v>
      </c>
      <c r="K749" t="str">
        <f>_xlfn.XLOOKUP( ventas[[#This Row],[ciudad_cliente]],  ciudades[Ciudad], ciudades[Region])</f>
        <v>Valparaíso</v>
      </c>
      <c r="L749" t="s">
        <v>22</v>
      </c>
      <c r="M749" t="s">
        <v>30</v>
      </c>
      <c r="N749" t="str">
        <f>_xlfn.XLOOKUP(ventas[[#This Row],[producto]], categ[Producto], categ[Categoria])</f>
        <v>Electrohogar</v>
      </c>
      <c r="O749">
        <v>700000</v>
      </c>
      <c r="P749">
        <v>3</v>
      </c>
      <c r="Q749" s="11">
        <v>0</v>
      </c>
      <c r="R749">
        <f>(ventas[[#This Row],[precio_unitario]]*ventas[[#This Row],[cantidad]])</f>
        <v>2100000</v>
      </c>
      <c r="S749">
        <f>ventas[[#This Row],[Total_Productos]]*ventas[[#This Row],[descuento_pct]]</f>
        <v>0</v>
      </c>
      <c r="T749">
        <f>ventas[[#This Row],[Total_Productos]]-ventas[[#This Row],[Valor_descuento]]</f>
        <v>2100000</v>
      </c>
    </row>
    <row r="750" spans="1:20" x14ac:dyDescent="0.3">
      <c r="A750">
        <v>706</v>
      </c>
      <c r="B750" s="1">
        <v>45633</v>
      </c>
      <c r="C750">
        <v>53</v>
      </c>
      <c r="D750">
        <v>1</v>
      </c>
      <c r="E750">
        <v>252</v>
      </c>
      <c r="F750" t="s">
        <v>99</v>
      </c>
      <c r="G750" t="s">
        <v>100</v>
      </c>
      <c r="H750" t="s">
        <v>42</v>
      </c>
      <c r="I750">
        <v>49</v>
      </c>
      <c r="J750" t="s">
        <v>76</v>
      </c>
      <c r="K750" t="str">
        <f>_xlfn.XLOOKUP( ventas[[#This Row],[ciudad_cliente]],  ciudades[Ciudad], ciudades[Region])</f>
        <v>Los Lagos</v>
      </c>
      <c r="L750" t="s">
        <v>22</v>
      </c>
      <c r="M750" t="s">
        <v>62</v>
      </c>
      <c r="N750" t="str">
        <f>_xlfn.XLOOKUP(ventas[[#This Row],[producto]], categ[Producto], categ[Categoria])</f>
        <v>Electrohogar</v>
      </c>
      <c r="O750">
        <v>650000</v>
      </c>
      <c r="P750">
        <v>2</v>
      </c>
      <c r="Q750" s="11">
        <v>0.05</v>
      </c>
      <c r="R750">
        <f>(ventas[[#This Row],[precio_unitario]]*ventas[[#This Row],[cantidad]])</f>
        <v>1300000</v>
      </c>
      <c r="S750">
        <f>ventas[[#This Row],[Total_Productos]]*ventas[[#This Row],[descuento_pct]]</f>
        <v>65000</v>
      </c>
      <c r="T750">
        <f>ventas[[#This Row],[Total_Productos]]-ventas[[#This Row],[Valor_descuento]]</f>
        <v>1235000</v>
      </c>
    </row>
    <row r="751" spans="1:20" x14ac:dyDescent="0.3">
      <c r="A751">
        <v>90</v>
      </c>
      <c r="B751" s="1">
        <v>45017</v>
      </c>
      <c r="C751">
        <v>31</v>
      </c>
      <c r="D751">
        <v>4</v>
      </c>
      <c r="E751">
        <v>205</v>
      </c>
      <c r="F751" t="s">
        <v>211</v>
      </c>
      <c r="G751" t="s">
        <v>212</v>
      </c>
      <c r="H751" t="s">
        <v>19</v>
      </c>
      <c r="I751">
        <v>21</v>
      </c>
      <c r="J751" t="s">
        <v>101</v>
      </c>
      <c r="K751" t="str">
        <f>_xlfn.XLOOKUP( ventas[[#This Row],[ciudad_cliente]],  ciudades[Ciudad], ciudades[Region])</f>
        <v>O'Higgins</v>
      </c>
      <c r="L751" t="s">
        <v>38</v>
      </c>
      <c r="M751" t="s">
        <v>46</v>
      </c>
      <c r="N751" t="str">
        <f>_xlfn.XLOOKUP(ventas[[#This Row],[producto]], categ[Producto], categ[Categoria])</f>
        <v>Tecnología</v>
      </c>
      <c r="O751">
        <v>750000</v>
      </c>
      <c r="P751">
        <v>3</v>
      </c>
      <c r="Q751" s="11">
        <v>0</v>
      </c>
      <c r="R751">
        <f>(ventas[[#This Row],[precio_unitario]]*ventas[[#This Row],[cantidad]])</f>
        <v>2250000</v>
      </c>
      <c r="S751">
        <f>ventas[[#This Row],[Total_Productos]]*ventas[[#This Row],[descuento_pct]]</f>
        <v>0</v>
      </c>
      <c r="T751">
        <f>ventas[[#This Row],[Total_Productos]]-ventas[[#This Row],[Valor_descuento]]</f>
        <v>2250000</v>
      </c>
    </row>
    <row r="752" spans="1:20" x14ac:dyDescent="0.3">
      <c r="A752">
        <v>811</v>
      </c>
      <c r="B752" s="1">
        <v>45738</v>
      </c>
      <c r="C752">
        <v>4</v>
      </c>
      <c r="D752">
        <v>3</v>
      </c>
      <c r="E752">
        <v>205</v>
      </c>
      <c r="F752" t="s">
        <v>211</v>
      </c>
      <c r="G752" t="s">
        <v>212</v>
      </c>
      <c r="H752" t="s">
        <v>19</v>
      </c>
      <c r="I752">
        <v>21</v>
      </c>
      <c r="J752" t="s">
        <v>52</v>
      </c>
      <c r="K752" t="str">
        <f>_xlfn.XLOOKUP( ventas[[#This Row],[ciudad_cliente]],  ciudades[Ciudad], ciudades[Region])</f>
        <v>Biobío</v>
      </c>
      <c r="L752" t="s">
        <v>29</v>
      </c>
      <c r="M752" t="s">
        <v>30</v>
      </c>
      <c r="N752" t="str">
        <f>_xlfn.XLOOKUP(ventas[[#This Row],[producto]], categ[Producto], categ[Categoria])</f>
        <v>Electrohogar</v>
      </c>
      <c r="O752">
        <v>700000</v>
      </c>
      <c r="P752">
        <v>2</v>
      </c>
      <c r="Q752" s="11">
        <v>0.1</v>
      </c>
      <c r="R752">
        <f>(ventas[[#This Row],[precio_unitario]]*ventas[[#This Row],[cantidad]])</f>
        <v>1400000</v>
      </c>
      <c r="S752">
        <f>ventas[[#This Row],[Total_Productos]]*ventas[[#This Row],[descuento_pct]]</f>
        <v>140000</v>
      </c>
      <c r="T752">
        <f>ventas[[#This Row],[Total_Productos]]-ventas[[#This Row],[Valor_descuento]]</f>
        <v>1260000</v>
      </c>
    </row>
    <row r="753" spans="1:20" x14ac:dyDescent="0.3">
      <c r="A753">
        <v>811</v>
      </c>
      <c r="B753" s="1">
        <v>45738</v>
      </c>
      <c r="C753">
        <v>4</v>
      </c>
      <c r="D753">
        <v>3</v>
      </c>
      <c r="E753">
        <v>205</v>
      </c>
      <c r="F753" t="s">
        <v>211</v>
      </c>
      <c r="G753" t="s">
        <v>212</v>
      </c>
      <c r="H753" t="s">
        <v>19</v>
      </c>
      <c r="I753">
        <v>21</v>
      </c>
      <c r="J753" t="s">
        <v>52</v>
      </c>
      <c r="K753" t="str">
        <f>_xlfn.XLOOKUP( ventas[[#This Row],[ciudad_cliente]],  ciudades[Ciudad], ciudades[Region])</f>
        <v>Biobío</v>
      </c>
      <c r="L753" t="s">
        <v>29</v>
      </c>
      <c r="M753" t="s">
        <v>30</v>
      </c>
      <c r="N753" t="str">
        <f>_xlfn.XLOOKUP(ventas[[#This Row],[producto]], categ[Producto], categ[Categoria])</f>
        <v>Electrohogar</v>
      </c>
      <c r="O753">
        <v>700000</v>
      </c>
      <c r="P753">
        <v>2</v>
      </c>
      <c r="Q753" s="11">
        <v>0.1</v>
      </c>
      <c r="R753">
        <f>(ventas[[#This Row],[precio_unitario]]*ventas[[#This Row],[cantidad]])</f>
        <v>1400000</v>
      </c>
      <c r="S753">
        <f>ventas[[#This Row],[Total_Productos]]*ventas[[#This Row],[descuento_pct]]</f>
        <v>140000</v>
      </c>
      <c r="T753">
        <f>ventas[[#This Row],[Total_Productos]]-ventas[[#This Row],[Valor_descuento]]</f>
        <v>1260000</v>
      </c>
    </row>
    <row r="754" spans="1:20" x14ac:dyDescent="0.3">
      <c r="A754">
        <v>940</v>
      </c>
      <c r="B754" s="1">
        <v>45867</v>
      </c>
      <c r="C754">
        <v>69</v>
      </c>
      <c r="D754">
        <v>1</v>
      </c>
      <c r="E754">
        <v>205</v>
      </c>
      <c r="F754" t="s">
        <v>211</v>
      </c>
      <c r="G754" t="s">
        <v>212</v>
      </c>
      <c r="H754" t="s">
        <v>19</v>
      </c>
      <c r="I754">
        <v>21</v>
      </c>
      <c r="J754" t="s">
        <v>76</v>
      </c>
      <c r="K754" t="str">
        <f>_xlfn.XLOOKUP( ventas[[#This Row],[ciudad_cliente]],  ciudades[Ciudad], ciudades[Region])</f>
        <v>Los Lagos</v>
      </c>
      <c r="L754" t="s">
        <v>38</v>
      </c>
      <c r="M754" t="s">
        <v>46</v>
      </c>
      <c r="N754" t="str">
        <f>_xlfn.XLOOKUP(ventas[[#This Row],[producto]], categ[Producto], categ[Categoria])</f>
        <v>Tecnología</v>
      </c>
      <c r="O754">
        <v>750000</v>
      </c>
      <c r="P754">
        <v>2</v>
      </c>
      <c r="Q754" s="11">
        <v>0</v>
      </c>
      <c r="R754">
        <f>(ventas[[#This Row],[precio_unitario]]*ventas[[#This Row],[cantidad]])</f>
        <v>1500000</v>
      </c>
      <c r="S754">
        <f>ventas[[#This Row],[Total_Productos]]*ventas[[#This Row],[descuento_pct]]</f>
        <v>0</v>
      </c>
      <c r="T754">
        <f>ventas[[#This Row],[Total_Productos]]-ventas[[#This Row],[Valor_descuento]]</f>
        <v>1500000</v>
      </c>
    </row>
    <row r="755" spans="1:20" x14ac:dyDescent="0.3">
      <c r="A755">
        <v>986</v>
      </c>
      <c r="B755" s="1">
        <v>45913</v>
      </c>
      <c r="C755">
        <v>57</v>
      </c>
      <c r="D755">
        <v>3</v>
      </c>
      <c r="E755">
        <v>205</v>
      </c>
      <c r="F755" t="s">
        <v>211</v>
      </c>
      <c r="G755" t="s">
        <v>212</v>
      </c>
      <c r="H755" t="s">
        <v>19</v>
      </c>
      <c r="I755">
        <v>21</v>
      </c>
      <c r="J755" t="s">
        <v>52</v>
      </c>
      <c r="K755" t="str">
        <f>_xlfn.XLOOKUP( ventas[[#This Row],[ciudad_cliente]],  ciudades[Ciudad], ciudades[Region])</f>
        <v>Biobío</v>
      </c>
      <c r="L755" t="s">
        <v>38</v>
      </c>
      <c r="M755" t="s">
        <v>46</v>
      </c>
      <c r="N755" t="str">
        <f>_xlfn.XLOOKUP(ventas[[#This Row],[producto]], categ[Producto], categ[Categoria])</f>
        <v>Tecnología</v>
      </c>
      <c r="O755">
        <v>750000</v>
      </c>
      <c r="P755">
        <v>1</v>
      </c>
      <c r="Q755" s="11">
        <v>0</v>
      </c>
      <c r="R755">
        <f>(ventas[[#This Row],[precio_unitario]]*ventas[[#This Row],[cantidad]])</f>
        <v>750000</v>
      </c>
      <c r="S755">
        <f>ventas[[#This Row],[Total_Productos]]*ventas[[#This Row],[descuento_pct]]</f>
        <v>0</v>
      </c>
      <c r="T755">
        <f>ventas[[#This Row],[Total_Productos]]-ventas[[#This Row],[Valor_descuento]]</f>
        <v>750000</v>
      </c>
    </row>
    <row r="756" spans="1:20" x14ac:dyDescent="0.3">
      <c r="A756">
        <v>108</v>
      </c>
      <c r="B756" s="1">
        <v>45035</v>
      </c>
      <c r="C756">
        <v>58</v>
      </c>
      <c r="D756">
        <v>1</v>
      </c>
      <c r="E756">
        <v>75</v>
      </c>
      <c r="F756" t="s">
        <v>241</v>
      </c>
      <c r="G756" t="s">
        <v>242</v>
      </c>
      <c r="H756" t="s">
        <v>19</v>
      </c>
      <c r="I756">
        <v>18</v>
      </c>
      <c r="J756" t="s">
        <v>76</v>
      </c>
      <c r="K756" t="str">
        <f>_xlfn.XLOOKUP( ventas[[#This Row],[ciudad_cliente]],  ciudades[Ciudad], ciudades[Region])</f>
        <v>Los Lagos</v>
      </c>
      <c r="L756" t="s">
        <v>29</v>
      </c>
      <c r="M756" t="s">
        <v>56</v>
      </c>
      <c r="N756" t="str">
        <f>_xlfn.XLOOKUP(ventas[[#This Row],[producto]], categ[Producto], categ[Categoria])</f>
        <v>Vestuario</v>
      </c>
      <c r="O756">
        <v>25000</v>
      </c>
      <c r="P756">
        <v>2</v>
      </c>
      <c r="Q756" s="11">
        <v>0</v>
      </c>
      <c r="R756">
        <f>(ventas[[#This Row],[precio_unitario]]*ventas[[#This Row],[cantidad]])</f>
        <v>50000</v>
      </c>
      <c r="S756">
        <f>ventas[[#This Row],[Total_Productos]]*ventas[[#This Row],[descuento_pct]]</f>
        <v>0</v>
      </c>
      <c r="T756">
        <f>ventas[[#This Row],[Total_Productos]]-ventas[[#This Row],[Valor_descuento]]</f>
        <v>50000</v>
      </c>
    </row>
    <row r="757" spans="1:20" x14ac:dyDescent="0.3">
      <c r="A757">
        <v>300</v>
      </c>
      <c r="B757" s="1">
        <v>45227</v>
      </c>
      <c r="C757">
        <v>58</v>
      </c>
      <c r="D757">
        <v>1</v>
      </c>
      <c r="E757">
        <v>75</v>
      </c>
      <c r="F757" t="s">
        <v>241</v>
      </c>
      <c r="G757" t="s">
        <v>242</v>
      </c>
      <c r="H757" t="s">
        <v>19</v>
      </c>
      <c r="I757">
        <v>18</v>
      </c>
      <c r="J757" t="s">
        <v>76</v>
      </c>
      <c r="K757" t="str">
        <f>_xlfn.XLOOKUP( ventas[[#This Row],[ciudad_cliente]],  ciudades[Ciudad], ciudades[Region])</f>
        <v>Los Lagos</v>
      </c>
      <c r="L757" t="s">
        <v>38</v>
      </c>
      <c r="M757" t="s">
        <v>98</v>
      </c>
      <c r="N757" t="str">
        <f>_xlfn.XLOOKUP(ventas[[#This Row],[producto]], categ[Producto], categ[Categoria])</f>
        <v>Calzado</v>
      </c>
      <c r="O757">
        <v>55000</v>
      </c>
      <c r="P757">
        <v>2</v>
      </c>
      <c r="Q757" s="11">
        <v>0.05</v>
      </c>
      <c r="R757">
        <f>(ventas[[#This Row],[precio_unitario]]*ventas[[#This Row],[cantidad]])</f>
        <v>110000</v>
      </c>
      <c r="S757">
        <f>ventas[[#This Row],[Total_Productos]]*ventas[[#This Row],[descuento_pct]]</f>
        <v>5500</v>
      </c>
      <c r="T757">
        <f>ventas[[#This Row],[Total_Productos]]-ventas[[#This Row],[Valor_descuento]]</f>
        <v>104500</v>
      </c>
    </row>
    <row r="758" spans="1:20" x14ac:dyDescent="0.3">
      <c r="A758">
        <v>335</v>
      </c>
      <c r="B758" s="1">
        <v>45262</v>
      </c>
      <c r="C758">
        <v>40</v>
      </c>
      <c r="D758">
        <v>1</v>
      </c>
      <c r="E758">
        <v>75</v>
      </c>
      <c r="F758" t="s">
        <v>241</v>
      </c>
      <c r="G758" t="s">
        <v>242</v>
      </c>
      <c r="H758" t="s">
        <v>19</v>
      </c>
      <c r="I758">
        <v>18</v>
      </c>
      <c r="J758" t="s">
        <v>27</v>
      </c>
      <c r="K758" t="str">
        <f>_xlfn.XLOOKUP( ventas[[#This Row],[ciudad_cliente]],  ciudades[Ciudad], ciudades[Region])</f>
        <v>Biobío</v>
      </c>
      <c r="L758" t="s">
        <v>38</v>
      </c>
      <c r="M758" t="s">
        <v>69</v>
      </c>
      <c r="N758" t="str">
        <f>_xlfn.XLOOKUP(ventas[[#This Row],[producto]], categ[Producto], categ[Categoria])</f>
        <v>Tecnología</v>
      </c>
      <c r="O758">
        <v>450000</v>
      </c>
      <c r="P758">
        <v>3</v>
      </c>
      <c r="Q758" s="11">
        <v>0.05</v>
      </c>
      <c r="R758">
        <f>(ventas[[#This Row],[precio_unitario]]*ventas[[#This Row],[cantidad]])</f>
        <v>1350000</v>
      </c>
      <c r="S758">
        <f>ventas[[#This Row],[Total_Productos]]*ventas[[#This Row],[descuento_pct]]</f>
        <v>67500</v>
      </c>
      <c r="T758">
        <f>ventas[[#This Row],[Total_Productos]]-ventas[[#This Row],[Valor_descuento]]</f>
        <v>1282500</v>
      </c>
    </row>
    <row r="759" spans="1:20" x14ac:dyDescent="0.3">
      <c r="A759">
        <v>442</v>
      </c>
      <c r="B759" s="1">
        <v>45369</v>
      </c>
      <c r="C759">
        <v>57</v>
      </c>
      <c r="D759">
        <v>3</v>
      </c>
      <c r="E759">
        <v>75</v>
      </c>
      <c r="F759" t="s">
        <v>241</v>
      </c>
      <c r="G759" t="s">
        <v>242</v>
      </c>
      <c r="H759" t="s">
        <v>19</v>
      </c>
      <c r="I759">
        <v>18</v>
      </c>
      <c r="J759" t="s">
        <v>52</v>
      </c>
      <c r="K759" t="str">
        <f>_xlfn.XLOOKUP( ventas[[#This Row],[ciudad_cliente]],  ciudades[Ciudad], ciudades[Region])</f>
        <v>Biobío</v>
      </c>
      <c r="L759" t="s">
        <v>38</v>
      </c>
      <c r="M759" t="s">
        <v>39</v>
      </c>
      <c r="N759" t="str">
        <f>_xlfn.XLOOKUP(ventas[[#This Row],[producto]], categ[Producto], categ[Categoria])</f>
        <v>Belleza</v>
      </c>
      <c r="O759">
        <v>35000</v>
      </c>
      <c r="P759">
        <v>3</v>
      </c>
      <c r="Q759" s="11">
        <v>0</v>
      </c>
      <c r="R759">
        <f>(ventas[[#This Row],[precio_unitario]]*ventas[[#This Row],[cantidad]])</f>
        <v>105000</v>
      </c>
      <c r="S759">
        <f>ventas[[#This Row],[Total_Productos]]*ventas[[#This Row],[descuento_pct]]</f>
        <v>0</v>
      </c>
      <c r="T759">
        <f>ventas[[#This Row],[Total_Productos]]-ventas[[#This Row],[Valor_descuento]]</f>
        <v>105000</v>
      </c>
    </row>
    <row r="760" spans="1:20" x14ac:dyDescent="0.3">
      <c r="A760">
        <v>728</v>
      </c>
      <c r="B760" s="1">
        <v>45655</v>
      </c>
      <c r="C760">
        <v>13</v>
      </c>
      <c r="D760">
        <v>0</v>
      </c>
      <c r="E760">
        <v>75</v>
      </c>
      <c r="F760" t="s">
        <v>241</v>
      </c>
      <c r="G760" t="s">
        <v>242</v>
      </c>
      <c r="H760" t="s">
        <v>19</v>
      </c>
      <c r="I760">
        <v>18</v>
      </c>
      <c r="J760" t="s">
        <v>27</v>
      </c>
      <c r="K760" t="str">
        <f>_xlfn.XLOOKUP( ventas[[#This Row],[ciudad_cliente]],  ciudades[Ciudad], ciudades[Region])</f>
        <v>Biobío</v>
      </c>
      <c r="L760" t="s">
        <v>38</v>
      </c>
      <c r="M760" t="s">
        <v>46</v>
      </c>
      <c r="N760" t="str">
        <f>_xlfn.XLOOKUP(ventas[[#This Row],[producto]], categ[Producto], categ[Categoria])</f>
        <v>Tecnología</v>
      </c>
      <c r="O760">
        <v>750000</v>
      </c>
      <c r="P760">
        <v>2</v>
      </c>
      <c r="Q760" s="11">
        <v>0.1</v>
      </c>
      <c r="R760">
        <f>(ventas[[#This Row],[precio_unitario]]*ventas[[#This Row],[cantidad]])</f>
        <v>1500000</v>
      </c>
      <c r="S760">
        <f>ventas[[#This Row],[Total_Productos]]*ventas[[#This Row],[descuento_pct]]</f>
        <v>150000</v>
      </c>
      <c r="T760">
        <f>ventas[[#This Row],[Total_Productos]]-ventas[[#This Row],[Valor_descuento]]</f>
        <v>1350000</v>
      </c>
    </row>
    <row r="761" spans="1:20" x14ac:dyDescent="0.3">
      <c r="A761">
        <v>10</v>
      </c>
      <c r="B761" s="1">
        <v>44937</v>
      </c>
      <c r="C761">
        <v>6</v>
      </c>
      <c r="D761">
        <v>2</v>
      </c>
      <c r="E761">
        <v>35</v>
      </c>
      <c r="F761" t="s">
        <v>58</v>
      </c>
      <c r="G761" t="s">
        <v>59</v>
      </c>
      <c r="H761" t="s">
        <v>42</v>
      </c>
      <c r="I761">
        <v>47</v>
      </c>
      <c r="J761" t="s">
        <v>52</v>
      </c>
      <c r="K761" t="str">
        <f>_xlfn.XLOOKUP( ventas[[#This Row],[ciudad_cliente]],  ciudades[Ciudad], ciudades[Region])</f>
        <v>Biobío</v>
      </c>
      <c r="L761" t="s">
        <v>38</v>
      </c>
      <c r="M761" t="s">
        <v>39</v>
      </c>
      <c r="N761" t="str">
        <f>_xlfn.XLOOKUP(ventas[[#This Row],[producto]], categ[Producto], categ[Categoria])</f>
        <v>Belleza</v>
      </c>
      <c r="O761">
        <v>35000</v>
      </c>
      <c r="P761">
        <v>3</v>
      </c>
      <c r="Q761" s="11">
        <v>0</v>
      </c>
      <c r="R761">
        <f>(ventas[[#This Row],[precio_unitario]]*ventas[[#This Row],[cantidad]])</f>
        <v>105000</v>
      </c>
      <c r="S761">
        <f>ventas[[#This Row],[Total_Productos]]*ventas[[#This Row],[descuento_pct]]</f>
        <v>0</v>
      </c>
      <c r="T761">
        <f>ventas[[#This Row],[Total_Productos]]-ventas[[#This Row],[Valor_descuento]]</f>
        <v>105000</v>
      </c>
    </row>
    <row r="762" spans="1:20" x14ac:dyDescent="0.3">
      <c r="A762">
        <v>100</v>
      </c>
      <c r="B762" s="1">
        <v>45027</v>
      </c>
      <c r="C762">
        <v>50</v>
      </c>
      <c r="D762">
        <v>0</v>
      </c>
      <c r="E762">
        <v>35</v>
      </c>
      <c r="F762" t="s">
        <v>58</v>
      </c>
      <c r="G762" t="s">
        <v>59</v>
      </c>
      <c r="H762" t="s">
        <v>42</v>
      </c>
      <c r="I762">
        <v>47</v>
      </c>
      <c r="J762" t="s">
        <v>20</v>
      </c>
      <c r="K762" t="str">
        <f>_xlfn.XLOOKUP( ventas[[#This Row],[ciudad_cliente]],  ciudades[Ciudad], ciudades[Region])</f>
        <v>La Araucanía</v>
      </c>
      <c r="L762" t="s">
        <v>22</v>
      </c>
      <c r="M762" t="s">
        <v>69</v>
      </c>
      <c r="N762" t="str">
        <f>_xlfn.XLOOKUP(ventas[[#This Row],[producto]], categ[Producto], categ[Categoria])</f>
        <v>Tecnología</v>
      </c>
      <c r="O762">
        <v>450000</v>
      </c>
      <c r="P762">
        <v>2</v>
      </c>
      <c r="Q762" s="11">
        <v>0.1</v>
      </c>
      <c r="R762">
        <f>(ventas[[#This Row],[precio_unitario]]*ventas[[#This Row],[cantidad]])</f>
        <v>900000</v>
      </c>
      <c r="S762">
        <f>ventas[[#This Row],[Total_Productos]]*ventas[[#This Row],[descuento_pct]]</f>
        <v>90000</v>
      </c>
      <c r="T762">
        <f>ventas[[#This Row],[Total_Productos]]-ventas[[#This Row],[Valor_descuento]]</f>
        <v>810000</v>
      </c>
    </row>
    <row r="763" spans="1:20" x14ac:dyDescent="0.3">
      <c r="A763">
        <v>225</v>
      </c>
      <c r="B763" s="1">
        <v>45152</v>
      </c>
      <c r="C763">
        <v>25</v>
      </c>
      <c r="D763">
        <v>3</v>
      </c>
      <c r="E763">
        <v>35</v>
      </c>
      <c r="F763" t="s">
        <v>58</v>
      </c>
      <c r="G763" t="s">
        <v>59</v>
      </c>
      <c r="H763" t="s">
        <v>42</v>
      </c>
      <c r="I763">
        <v>47</v>
      </c>
      <c r="J763" t="s">
        <v>76</v>
      </c>
      <c r="K763" t="str">
        <f>_xlfn.XLOOKUP( ventas[[#This Row],[ciudad_cliente]],  ciudades[Ciudad], ciudades[Region])</f>
        <v>Los Lagos</v>
      </c>
      <c r="L763" t="s">
        <v>22</v>
      </c>
      <c r="M763" t="s">
        <v>30</v>
      </c>
      <c r="N763" t="str">
        <f>_xlfn.XLOOKUP(ventas[[#This Row],[producto]], categ[Producto], categ[Categoria])</f>
        <v>Electrohogar</v>
      </c>
      <c r="O763">
        <v>700000</v>
      </c>
      <c r="P763">
        <v>2</v>
      </c>
      <c r="Q763" s="11">
        <v>0</v>
      </c>
      <c r="R763">
        <f>(ventas[[#This Row],[precio_unitario]]*ventas[[#This Row],[cantidad]])</f>
        <v>1400000</v>
      </c>
      <c r="S763">
        <f>ventas[[#This Row],[Total_Productos]]*ventas[[#This Row],[descuento_pct]]</f>
        <v>0</v>
      </c>
      <c r="T763">
        <f>ventas[[#This Row],[Total_Productos]]-ventas[[#This Row],[Valor_descuento]]</f>
        <v>1400000</v>
      </c>
    </row>
    <row r="764" spans="1:20" x14ac:dyDescent="0.3">
      <c r="A764">
        <v>484</v>
      </c>
      <c r="B764" s="1">
        <v>45411</v>
      </c>
      <c r="C764">
        <v>42</v>
      </c>
      <c r="D764">
        <v>4</v>
      </c>
      <c r="E764">
        <v>35</v>
      </c>
      <c r="F764" t="s">
        <v>58</v>
      </c>
      <c r="G764" t="s">
        <v>59</v>
      </c>
      <c r="H764" t="s">
        <v>42</v>
      </c>
      <c r="I764">
        <v>47</v>
      </c>
      <c r="J764" t="s">
        <v>27</v>
      </c>
      <c r="K764" t="str">
        <f>_xlfn.XLOOKUP( ventas[[#This Row],[ciudad_cliente]],  ciudades[Ciudad], ciudades[Region])</f>
        <v>Biobío</v>
      </c>
      <c r="L764" t="s">
        <v>38</v>
      </c>
      <c r="M764" t="s">
        <v>39</v>
      </c>
      <c r="N764" t="str">
        <f>_xlfn.XLOOKUP(ventas[[#This Row],[producto]], categ[Producto], categ[Categoria])</f>
        <v>Belleza</v>
      </c>
      <c r="O764">
        <v>35000</v>
      </c>
      <c r="P764">
        <v>1</v>
      </c>
      <c r="Q764" s="11">
        <v>0.05</v>
      </c>
      <c r="R764">
        <f>(ventas[[#This Row],[precio_unitario]]*ventas[[#This Row],[cantidad]])</f>
        <v>35000</v>
      </c>
      <c r="S764">
        <f>ventas[[#This Row],[Total_Productos]]*ventas[[#This Row],[descuento_pct]]</f>
        <v>1750</v>
      </c>
      <c r="T764">
        <f>ventas[[#This Row],[Total_Productos]]-ventas[[#This Row],[Valor_descuento]]</f>
        <v>33250</v>
      </c>
    </row>
    <row r="765" spans="1:20" x14ac:dyDescent="0.3">
      <c r="A765">
        <v>704</v>
      </c>
      <c r="B765" s="1">
        <v>45631</v>
      </c>
      <c r="C765">
        <v>19</v>
      </c>
      <c r="D765">
        <v>5</v>
      </c>
      <c r="E765">
        <v>35</v>
      </c>
      <c r="F765" t="s">
        <v>58</v>
      </c>
      <c r="G765" t="s">
        <v>59</v>
      </c>
      <c r="H765" t="s">
        <v>42</v>
      </c>
      <c r="I765">
        <v>47</v>
      </c>
      <c r="J765" t="s">
        <v>20</v>
      </c>
      <c r="K765" t="str">
        <f>_xlfn.XLOOKUP( ventas[[#This Row],[ciudad_cliente]],  ciudades[Ciudad], ciudades[Region])</f>
        <v>La Araucanía</v>
      </c>
      <c r="L765" t="s">
        <v>22</v>
      </c>
      <c r="M765" t="s">
        <v>39</v>
      </c>
      <c r="N765" t="str">
        <f>_xlfn.XLOOKUP(ventas[[#This Row],[producto]], categ[Producto], categ[Categoria])</f>
        <v>Belleza</v>
      </c>
      <c r="O765">
        <v>35000</v>
      </c>
      <c r="P765">
        <v>3</v>
      </c>
      <c r="Q765" s="11">
        <v>0.1</v>
      </c>
      <c r="R765">
        <f>(ventas[[#This Row],[precio_unitario]]*ventas[[#This Row],[cantidad]])</f>
        <v>105000</v>
      </c>
      <c r="S765">
        <f>ventas[[#This Row],[Total_Productos]]*ventas[[#This Row],[descuento_pct]]</f>
        <v>10500</v>
      </c>
      <c r="T765">
        <f>ventas[[#This Row],[Total_Productos]]-ventas[[#This Row],[Valor_descuento]]</f>
        <v>94500</v>
      </c>
    </row>
    <row r="766" spans="1:20" x14ac:dyDescent="0.3">
      <c r="A766">
        <v>951</v>
      </c>
      <c r="B766" s="1">
        <v>45878</v>
      </c>
      <c r="C766">
        <v>3</v>
      </c>
      <c r="D766">
        <v>1</v>
      </c>
      <c r="E766">
        <v>35</v>
      </c>
      <c r="F766" t="s">
        <v>58</v>
      </c>
      <c r="G766" t="s">
        <v>59</v>
      </c>
      <c r="H766" t="s">
        <v>42</v>
      </c>
      <c r="I766">
        <v>47</v>
      </c>
      <c r="J766" t="s">
        <v>37</v>
      </c>
      <c r="K766" t="str">
        <f>_xlfn.XLOOKUP( ventas[[#This Row],[ciudad_cliente]],  ciudades[Ciudad], ciudades[Region])</f>
        <v>Valparaíso</v>
      </c>
      <c r="L766" t="s">
        <v>29</v>
      </c>
      <c r="M766" t="s">
        <v>98</v>
      </c>
      <c r="N766" t="str">
        <f>_xlfn.XLOOKUP(ventas[[#This Row],[producto]], categ[Producto], categ[Categoria])</f>
        <v>Calzado</v>
      </c>
      <c r="O766">
        <v>55000</v>
      </c>
      <c r="P766">
        <v>2</v>
      </c>
      <c r="Q766" s="11">
        <v>0</v>
      </c>
      <c r="R766">
        <f>(ventas[[#This Row],[precio_unitario]]*ventas[[#This Row],[cantidad]])</f>
        <v>110000</v>
      </c>
      <c r="S766">
        <f>ventas[[#This Row],[Total_Productos]]*ventas[[#This Row],[descuento_pct]]</f>
        <v>0</v>
      </c>
      <c r="T766">
        <f>ventas[[#This Row],[Total_Productos]]-ventas[[#This Row],[Valor_descuento]]</f>
        <v>110000</v>
      </c>
    </row>
    <row r="767" spans="1:20" x14ac:dyDescent="0.3">
      <c r="A767">
        <v>23</v>
      </c>
      <c r="B767" s="1">
        <v>44950</v>
      </c>
      <c r="C767">
        <v>16</v>
      </c>
      <c r="D767">
        <v>3</v>
      </c>
      <c r="E767">
        <v>232</v>
      </c>
      <c r="F767" t="s">
        <v>90</v>
      </c>
      <c r="G767" t="s">
        <v>91</v>
      </c>
      <c r="H767" t="s">
        <v>19</v>
      </c>
      <c r="I767">
        <v>40</v>
      </c>
      <c r="J767" t="s">
        <v>20</v>
      </c>
      <c r="K767" t="str">
        <f>_xlfn.XLOOKUP( ventas[[#This Row],[ciudad_cliente]],  ciudades[Ciudad], ciudades[Region])</f>
        <v>La Araucanía</v>
      </c>
      <c r="L767" t="s">
        <v>38</v>
      </c>
      <c r="M767" t="s">
        <v>23</v>
      </c>
      <c r="N767" t="str">
        <f>_xlfn.XLOOKUP(ventas[[#This Row],[producto]], categ[Producto], categ[Categoria])</f>
        <v>Belleza</v>
      </c>
      <c r="O767">
        <v>15000</v>
      </c>
      <c r="P767">
        <v>1</v>
      </c>
      <c r="Q767" s="11">
        <v>0.05</v>
      </c>
      <c r="R767">
        <f>(ventas[[#This Row],[precio_unitario]]*ventas[[#This Row],[cantidad]])</f>
        <v>15000</v>
      </c>
      <c r="S767">
        <f>ventas[[#This Row],[Total_Productos]]*ventas[[#This Row],[descuento_pct]]</f>
        <v>750</v>
      </c>
      <c r="T767">
        <f>ventas[[#This Row],[Total_Productos]]-ventas[[#This Row],[Valor_descuento]]</f>
        <v>14250</v>
      </c>
    </row>
    <row r="768" spans="1:20" x14ac:dyDescent="0.3">
      <c r="A768">
        <v>446</v>
      </c>
      <c r="B768" s="1">
        <v>45373</v>
      </c>
      <c r="C768">
        <v>54</v>
      </c>
      <c r="D768">
        <v>9</v>
      </c>
      <c r="E768">
        <v>232</v>
      </c>
      <c r="F768" t="s">
        <v>90</v>
      </c>
      <c r="G768" t="s">
        <v>91</v>
      </c>
      <c r="H768" t="s">
        <v>19</v>
      </c>
      <c r="I768">
        <v>40</v>
      </c>
      <c r="J768" t="s">
        <v>27</v>
      </c>
      <c r="K768" t="str">
        <f>_xlfn.XLOOKUP( ventas[[#This Row],[ciudad_cliente]],  ciudades[Ciudad], ciudades[Region])</f>
        <v>Biobío</v>
      </c>
      <c r="L768" t="s">
        <v>29</v>
      </c>
      <c r="M768" t="s">
        <v>30</v>
      </c>
      <c r="N768" t="str">
        <f>_xlfn.XLOOKUP(ventas[[#This Row],[producto]], categ[Producto], categ[Categoria])</f>
        <v>Electrohogar</v>
      </c>
      <c r="O768">
        <v>700000</v>
      </c>
      <c r="P768">
        <v>2</v>
      </c>
      <c r="Q768" s="11">
        <v>0.1</v>
      </c>
      <c r="R768">
        <f>(ventas[[#This Row],[precio_unitario]]*ventas[[#This Row],[cantidad]])</f>
        <v>1400000</v>
      </c>
      <c r="S768">
        <f>ventas[[#This Row],[Total_Productos]]*ventas[[#This Row],[descuento_pct]]</f>
        <v>140000</v>
      </c>
      <c r="T768">
        <f>ventas[[#This Row],[Total_Productos]]-ventas[[#This Row],[Valor_descuento]]</f>
        <v>1260000</v>
      </c>
    </row>
    <row r="769" spans="1:20" x14ac:dyDescent="0.3">
      <c r="A769">
        <v>610</v>
      </c>
      <c r="B769" s="1">
        <v>45537</v>
      </c>
      <c r="C769">
        <v>57</v>
      </c>
      <c r="D769">
        <v>3</v>
      </c>
      <c r="E769">
        <v>232</v>
      </c>
      <c r="F769" t="s">
        <v>90</v>
      </c>
      <c r="G769" t="s">
        <v>91</v>
      </c>
      <c r="H769" t="s">
        <v>19</v>
      </c>
      <c r="I769">
        <v>40</v>
      </c>
      <c r="J769" t="s">
        <v>52</v>
      </c>
      <c r="K769" t="str">
        <f>_xlfn.XLOOKUP( ventas[[#This Row],[ciudad_cliente]],  ciudades[Ciudad], ciudades[Region])</f>
        <v>Biobío</v>
      </c>
      <c r="L769" t="s">
        <v>22</v>
      </c>
      <c r="M769" t="s">
        <v>62</v>
      </c>
      <c r="N769" t="str">
        <f>_xlfn.XLOOKUP(ventas[[#This Row],[producto]], categ[Producto], categ[Categoria])</f>
        <v>Electrohogar</v>
      </c>
      <c r="O769">
        <v>650000</v>
      </c>
      <c r="P769">
        <v>1</v>
      </c>
      <c r="Q769" s="11">
        <v>0.1</v>
      </c>
      <c r="R769">
        <f>(ventas[[#This Row],[precio_unitario]]*ventas[[#This Row],[cantidad]])</f>
        <v>650000</v>
      </c>
      <c r="S769">
        <f>ventas[[#This Row],[Total_Productos]]*ventas[[#This Row],[descuento_pct]]</f>
        <v>65000</v>
      </c>
      <c r="T769">
        <f>ventas[[#This Row],[Total_Productos]]-ventas[[#This Row],[Valor_descuento]]</f>
        <v>585000</v>
      </c>
    </row>
    <row r="770" spans="1:20" x14ac:dyDescent="0.3">
      <c r="A770">
        <v>985</v>
      </c>
      <c r="B770" s="1">
        <v>45912</v>
      </c>
      <c r="C770">
        <v>51</v>
      </c>
      <c r="D770">
        <v>7</v>
      </c>
      <c r="E770">
        <v>232</v>
      </c>
      <c r="F770" t="s">
        <v>90</v>
      </c>
      <c r="G770" t="s">
        <v>91</v>
      </c>
      <c r="H770" t="s">
        <v>19</v>
      </c>
      <c r="I770">
        <v>40</v>
      </c>
      <c r="J770" t="s">
        <v>101</v>
      </c>
      <c r="K770" t="str">
        <f>_xlfn.XLOOKUP( ventas[[#This Row],[ciudad_cliente]],  ciudades[Ciudad], ciudades[Region])</f>
        <v>O'Higgins</v>
      </c>
      <c r="L770" t="s">
        <v>22</v>
      </c>
      <c r="M770" t="s">
        <v>49</v>
      </c>
      <c r="N770" t="str">
        <f>_xlfn.XLOOKUP(ventas[[#This Row],[producto]], categ[Producto], categ[Categoria])</f>
        <v>Electrohogar</v>
      </c>
      <c r="O770">
        <v>800000</v>
      </c>
      <c r="P770">
        <v>2</v>
      </c>
      <c r="Q770" s="11">
        <v>0</v>
      </c>
      <c r="R770">
        <f>(ventas[[#This Row],[precio_unitario]]*ventas[[#This Row],[cantidad]])</f>
        <v>1600000</v>
      </c>
      <c r="S770">
        <f>ventas[[#This Row],[Total_Productos]]*ventas[[#This Row],[descuento_pct]]</f>
        <v>0</v>
      </c>
      <c r="T770">
        <f>ventas[[#This Row],[Total_Productos]]-ventas[[#This Row],[Valor_descuento]]</f>
        <v>1600000</v>
      </c>
    </row>
    <row r="771" spans="1:20" x14ac:dyDescent="0.3">
      <c r="A771">
        <v>153</v>
      </c>
      <c r="B771" s="1">
        <v>45080</v>
      </c>
      <c r="C771">
        <v>12</v>
      </c>
      <c r="D771">
        <v>0</v>
      </c>
      <c r="E771">
        <v>201</v>
      </c>
      <c r="F771" t="s">
        <v>296</v>
      </c>
      <c r="G771" t="s">
        <v>297</v>
      </c>
      <c r="H771" t="s">
        <v>42</v>
      </c>
      <c r="I771">
        <v>42</v>
      </c>
      <c r="J771" t="s">
        <v>116</v>
      </c>
      <c r="K771" t="str">
        <f>_xlfn.XLOOKUP( ventas[[#This Row],[ciudad_cliente]],  ciudades[Ciudad], ciudades[Region])</f>
        <v>Valparaíso</v>
      </c>
      <c r="L771" t="s">
        <v>22</v>
      </c>
      <c r="M771" t="s">
        <v>98</v>
      </c>
      <c r="N771" t="str">
        <f>_xlfn.XLOOKUP(ventas[[#This Row],[producto]], categ[Producto], categ[Categoria])</f>
        <v>Calzado</v>
      </c>
      <c r="O771">
        <v>55000</v>
      </c>
      <c r="P771">
        <v>3</v>
      </c>
      <c r="Q771" s="11">
        <v>0.05</v>
      </c>
      <c r="R771">
        <f>(ventas[[#This Row],[precio_unitario]]*ventas[[#This Row],[cantidad]])</f>
        <v>165000</v>
      </c>
      <c r="S771">
        <f>ventas[[#This Row],[Total_Productos]]*ventas[[#This Row],[descuento_pct]]</f>
        <v>8250</v>
      </c>
      <c r="T771">
        <f>ventas[[#This Row],[Total_Productos]]-ventas[[#This Row],[Valor_descuento]]</f>
        <v>156750</v>
      </c>
    </row>
    <row r="772" spans="1:20" x14ac:dyDescent="0.3">
      <c r="A772">
        <v>449</v>
      </c>
      <c r="B772" s="1">
        <v>45376</v>
      </c>
      <c r="C772">
        <v>38</v>
      </c>
      <c r="D772">
        <v>8</v>
      </c>
      <c r="E772">
        <v>201</v>
      </c>
      <c r="F772" t="s">
        <v>296</v>
      </c>
      <c r="G772" t="s">
        <v>297</v>
      </c>
      <c r="H772" t="s">
        <v>42</v>
      </c>
      <c r="I772">
        <v>42</v>
      </c>
      <c r="J772" t="s">
        <v>52</v>
      </c>
      <c r="K772" t="str">
        <f>_xlfn.XLOOKUP( ventas[[#This Row],[ciudad_cliente]],  ciudades[Ciudad], ciudades[Region])</f>
        <v>Biobío</v>
      </c>
      <c r="L772" t="s">
        <v>38</v>
      </c>
      <c r="M772" t="s">
        <v>102</v>
      </c>
      <c r="N772" t="str">
        <f>_xlfn.XLOOKUP(ventas[[#This Row],[producto]], categ[Producto], categ[Categoria])</f>
        <v>Vestuario</v>
      </c>
      <c r="O772">
        <v>12000</v>
      </c>
      <c r="P772">
        <v>2</v>
      </c>
      <c r="Q772" s="11">
        <v>0</v>
      </c>
      <c r="R772">
        <f>(ventas[[#This Row],[precio_unitario]]*ventas[[#This Row],[cantidad]])</f>
        <v>24000</v>
      </c>
      <c r="S772">
        <f>ventas[[#This Row],[Total_Productos]]*ventas[[#This Row],[descuento_pct]]</f>
        <v>0</v>
      </c>
      <c r="T772">
        <f>ventas[[#This Row],[Total_Productos]]-ventas[[#This Row],[Valor_descuento]]</f>
        <v>24000</v>
      </c>
    </row>
    <row r="773" spans="1:20" x14ac:dyDescent="0.3">
      <c r="A773">
        <v>666</v>
      </c>
      <c r="B773" s="1">
        <v>45593</v>
      </c>
      <c r="C773">
        <v>32</v>
      </c>
      <c r="D773">
        <v>5</v>
      </c>
      <c r="E773">
        <v>201</v>
      </c>
      <c r="F773" t="s">
        <v>296</v>
      </c>
      <c r="G773" t="s">
        <v>297</v>
      </c>
      <c r="H773" t="s">
        <v>42</v>
      </c>
      <c r="I773">
        <v>42</v>
      </c>
      <c r="J773" t="s">
        <v>76</v>
      </c>
      <c r="K773" t="str">
        <f>_xlfn.XLOOKUP( ventas[[#This Row],[ciudad_cliente]],  ciudades[Ciudad], ciudades[Region])</f>
        <v>Los Lagos</v>
      </c>
      <c r="L773" t="s">
        <v>38</v>
      </c>
      <c r="M773" t="s">
        <v>102</v>
      </c>
      <c r="N773" t="str">
        <f>_xlfn.XLOOKUP(ventas[[#This Row],[producto]], categ[Producto], categ[Categoria])</f>
        <v>Vestuario</v>
      </c>
      <c r="O773">
        <v>12000</v>
      </c>
      <c r="P773">
        <v>3</v>
      </c>
      <c r="Q773" s="11">
        <v>0</v>
      </c>
      <c r="R773">
        <f>(ventas[[#This Row],[precio_unitario]]*ventas[[#This Row],[cantidad]])</f>
        <v>36000</v>
      </c>
      <c r="S773">
        <f>ventas[[#This Row],[Total_Productos]]*ventas[[#This Row],[descuento_pct]]</f>
        <v>0</v>
      </c>
      <c r="T773">
        <f>ventas[[#This Row],[Total_Productos]]-ventas[[#This Row],[Valor_descuento]]</f>
        <v>36000</v>
      </c>
    </row>
    <row r="774" spans="1:20" x14ac:dyDescent="0.3">
      <c r="A774">
        <v>733</v>
      </c>
      <c r="B774" s="1">
        <v>45660</v>
      </c>
      <c r="C774">
        <v>35</v>
      </c>
      <c r="D774">
        <v>1</v>
      </c>
      <c r="E774">
        <v>201</v>
      </c>
      <c r="F774" t="s">
        <v>296</v>
      </c>
      <c r="G774" t="s">
        <v>297</v>
      </c>
      <c r="H774" t="s">
        <v>42</v>
      </c>
      <c r="I774">
        <v>42</v>
      </c>
      <c r="J774" t="s">
        <v>43</v>
      </c>
      <c r="K774" t="str">
        <f>_xlfn.XLOOKUP( ventas[[#This Row],[ciudad_cliente]],  ciudades[Ciudad], ciudades[Region])</f>
        <v>Antofagasta</v>
      </c>
      <c r="L774" t="s">
        <v>22</v>
      </c>
      <c r="M774" t="s">
        <v>102</v>
      </c>
      <c r="N774" t="str">
        <f>_xlfn.XLOOKUP(ventas[[#This Row],[producto]], categ[Producto], categ[Categoria])</f>
        <v>Vestuario</v>
      </c>
      <c r="O774">
        <v>12000</v>
      </c>
      <c r="P774">
        <v>3</v>
      </c>
      <c r="Q774" s="11">
        <v>0.1</v>
      </c>
      <c r="R774">
        <f>(ventas[[#This Row],[precio_unitario]]*ventas[[#This Row],[cantidad]])</f>
        <v>36000</v>
      </c>
      <c r="S774">
        <f>ventas[[#This Row],[Total_Productos]]*ventas[[#This Row],[descuento_pct]]</f>
        <v>3600</v>
      </c>
      <c r="T774">
        <f>ventas[[#This Row],[Total_Productos]]-ventas[[#This Row],[Valor_descuento]]</f>
        <v>32400</v>
      </c>
    </row>
    <row r="775" spans="1:20" x14ac:dyDescent="0.3">
      <c r="A775">
        <v>782</v>
      </c>
      <c r="B775" s="1">
        <v>45709</v>
      </c>
      <c r="C775">
        <v>5</v>
      </c>
      <c r="D775">
        <v>1</v>
      </c>
      <c r="E775">
        <v>201</v>
      </c>
      <c r="F775" t="s">
        <v>296</v>
      </c>
      <c r="G775" t="s">
        <v>297</v>
      </c>
      <c r="H775" t="s">
        <v>42</v>
      </c>
      <c r="I775">
        <v>42</v>
      </c>
      <c r="J775" t="s">
        <v>27</v>
      </c>
      <c r="K775" t="str">
        <f>_xlfn.XLOOKUP( ventas[[#This Row],[ciudad_cliente]],  ciudades[Ciudad], ciudades[Region])</f>
        <v>Biobío</v>
      </c>
      <c r="L775" t="s">
        <v>29</v>
      </c>
      <c r="M775" t="s">
        <v>23</v>
      </c>
      <c r="N775" t="str">
        <f>_xlfn.XLOOKUP(ventas[[#This Row],[producto]], categ[Producto], categ[Categoria])</f>
        <v>Belleza</v>
      </c>
      <c r="O775">
        <v>15000</v>
      </c>
      <c r="P775">
        <v>3</v>
      </c>
      <c r="Q775" s="11">
        <v>0.05</v>
      </c>
      <c r="R775">
        <f>(ventas[[#This Row],[precio_unitario]]*ventas[[#This Row],[cantidad]])</f>
        <v>45000</v>
      </c>
      <c r="S775">
        <f>ventas[[#This Row],[Total_Productos]]*ventas[[#This Row],[descuento_pct]]</f>
        <v>2250</v>
      </c>
      <c r="T775">
        <f>ventas[[#This Row],[Total_Productos]]-ventas[[#This Row],[Valor_descuento]]</f>
        <v>42750</v>
      </c>
    </row>
    <row r="776" spans="1:20" x14ac:dyDescent="0.3">
      <c r="A776">
        <v>176</v>
      </c>
      <c r="B776" s="1">
        <v>45103</v>
      </c>
      <c r="C776">
        <v>3</v>
      </c>
      <c r="D776">
        <v>1</v>
      </c>
      <c r="E776">
        <v>243</v>
      </c>
      <c r="F776" t="s">
        <v>328</v>
      </c>
      <c r="G776" t="s">
        <v>329</v>
      </c>
      <c r="H776" t="s">
        <v>42</v>
      </c>
      <c r="I776">
        <v>44</v>
      </c>
      <c r="J776" t="s">
        <v>37</v>
      </c>
      <c r="K776" t="str">
        <f>_xlfn.XLOOKUP( ventas[[#This Row],[ciudad_cliente]],  ciudades[Ciudad], ciudades[Region])</f>
        <v>Valparaíso</v>
      </c>
      <c r="L776" t="s">
        <v>38</v>
      </c>
      <c r="M776" t="s">
        <v>23</v>
      </c>
      <c r="N776" t="str">
        <f>_xlfn.XLOOKUP(ventas[[#This Row],[producto]], categ[Producto], categ[Categoria])</f>
        <v>Belleza</v>
      </c>
      <c r="O776">
        <v>15000</v>
      </c>
      <c r="P776">
        <v>2</v>
      </c>
      <c r="Q776" s="11">
        <v>0</v>
      </c>
      <c r="R776">
        <f>(ventas[[#This Row],[precio_unitario]]*ventas[[#This Row],[cantidad]])</f>
        <v>30000</v>
      </c>
      <c r="S776">
        <f>ventas[[#This Row],[Total_Productos]]*ventas[[#This Row],[descuento_pct]]</f>
        <v>0</v>
      </c>
      <c r="T776">
        <f>ventas[[#This Row],[Total_Productos]]-ventas[[#This Row],[Valor_descuento]]</f>
        <v>30000</v>
      </c>
    </row>
    <row r="777" spans="1:20" x14ac:dyDescent="0.3">
      <c r="A777">
        <v>257</v>
      </c>
      <c r="B777" s="1">
        <v>45184</v>
      </c>
      <c r="C777">
        <v>7</v>
      </c>
      <c r="D777">
        <v>8</v>
      </c>
      <c r="E777">
        <v>243</v>
      </c>
      <c r="F777" t="s">
        <v>328</v>
      </c>
      <c r="G777" t="s">
        <v>329</v>
      </c>
      <c r="H777" t="s">
        <v>42</v>
      </c>
      <c r="I777">
        <v>44</v>
      </c>
      <c r="J777" t="s">
        <v>37</v>
      </c>
      <c r="K777" t="str">
        <f>_xlfn.XLOOKUP( ventas[[#This Row],[ciudad_cliente]],  ciudades[Ciudad], ciudades[Region])</f>
        <v>Valparaíso</v>
      </c>
      <c r="L777" t="s">
        <v>38</v>
      </c>
      <c r="M777" t="s">
        <v>49</v>
      </c>
      <c r="N777" t="str">
        <f>_xlfn.XLOOKUP(ventas[[#This Row],[producto]], categ[Producto], categ[Categoria])</f>
        <v>Electrohogar</v>
      </c>
      <c r="O777">
        <v>800000</v>
      </c>
      <c r="P777">
        <v>3</v>
      </c>
      <c r="Q777" s="11">
        <v>0</v>
      </c>
      <c r="R777">
        <f>(ventas[[#This Row],[precio_unitario]]*ventas[[#This Row],[cantidad]])</f>
        <v>2400000</v>
      </c>
      <c r="S777">
        <f>ventas[[#This Row],[Total_Productos]]*ventas[[#This Row],[descuento_pct]]</f>
        <v>0</v>
      </c>
      <c r="T777">
        <f>ventas[[#This Row],[Total_Productos]]-ventas[[#This Row],[Valor_descuento]]</f>
        <v>2400000</v>
      </c>
    </row>
    <row r="778" spans="1:20" x14ac:dyDescent="0.3">
      <c r="A778">
        <v>744</v>
      </c>
      <c r="B778" s="1">
        <v>45671</v>
      </c>
      <c r="C778">
        <v>41</v>
      </c>
      <c r="D778">
        <v>4</v>
      </c>
      <c r="E778">
        <v>243</v>
      </c>
      <c r="F778" t="s">
        <v>328</v>
      </c>
      <c r="G778" t="s">
        <v>329</v>
      </c>
      <c r="H778" t="s">
        <v>42</v>
      </c>
      <c r="I778">
        <v>44</v>
      </c>
      <c r="J778" t="s">
        <v>43</v>
      </c>
      <c r="K778" t="str">
        <f>_xlfn.XLOOKUP( ventas[[#This Row],[ciudad_cliente]],  ciudades[Ciudad], ciudades[Region])</f>
        <v>Antofagasta</v>
      </c>
      <c r="L778" t="s">
        <v>29</v>
      </c>
      <c r="M778" t="s">
        <v>98</v>
      </c>
      <c r="N778" t="str">
        <f>_xlfn.XLOOKUP(ventas[[#This Row],[producto]], categ[Producto], categ[Categoria])</f>
        <v>Calzado</v>
      </c>
      <c r="O778">
        <v>55000</v>
      </c>
      <c r="P778">
        <v>2</v>
      </c>
      <c r="Q778" s="11">
        <v>0.1</v>
      </c>
      <c r="R778">
        <f>(ventas[[#This Row],[precio_unitario]]*ventas[[#This Row],[cantidad]])</f>
        <v>110000</v>
      </c>
      <c r="S778">
        <f>ventas[[#This Row],[Total_Productos]]*ventas[[#This Row],[descuento_pct]]</f>
        <v>11000</v>
      </c>
      <c r="T778">
        <f>ventas[[#This Row],[Total_Productos]]-ventas[[#This Row],[Valor_descuento]]</f>
        <v>99000</v>
      </c>
    </row>
    <row r="779" spans="1:20" x14ac:dyDescent="0.3">
      <c r="A779">
        <v>36</v>
      </c>
      <c r="B779" s="1">
        <v>44963</v>
      </c>
      <c r="C779">
        <v>43</v>
      </c>
      <c r="D779">
        <v>0</v>
      </c>
      <c r="E779">
        <v>45</v>
      </c>
      <c r="F779" t="s">
        <v>121</v>
      </c>
      <c r="G779" t="s">
        <v>122</v>
      </c>
      <c r="H779" t="s">
        <v>19</v>
      </c>
      <c r="I779">
        <v>20</v>
      </c>
      <c r="J779" t="s">
        <v>34</v>
      </c>
      <c r="K779" t="str">
        <f>_xlfn.XLOOKUP( ventas[[#This Row],[ciudad_cliente]],  ciudades[Ciudad], ciudades[Region])</f>
        <v>Metropolitana</v>
      </c>
      <c r="L779" t="s">
        <v>38</v>
      </c>
      <c r="M779" t="s">
        <v>30</v>
      </c>
      <c r="N779" t="str">
        <f>_xlfn.XLOOKUP(ventas[[#This Row],[producto]], categ[Producto], categ[Categoria])</f>
        <v>Electrohogar</v>
      </c>
      <c r="O779">
        <v>700000</v>
      </c>
      <c r="P779">
        <v>1</v>
      </c>
      <c r="Q779" s="11">
        <v>0</v>
      </c>
      <c r="R779">
        <f>(ventas[[#This Row],[precio_unitario]]*ventas[[#This Row],[cantidad]])</f>
        <v>700000</v>
      </c>
      <c r="S779">
        <f>ventas[[#This Row],[Total_Productos]]*ventas[[#This Row],[descuento_pct]]</f>
        <v>0</v>
      </c>
      <c r="T779">
        <f>ventas[[#This Row],[Total_Productos]]-ventas[[#This Row],[Valor_descuento]]</f>
        <v>700000</v>
      </c>
    </row>
    <row r="780" spans="1:20" x14ac:dyDescent="0.3">
      <c r="A780">
        <v>118</v>
      </c>
      <c r="B780" s="1">
        <v>45045</v>
      </c>
      <c r="C780">
        <v>51</v>
      </c>
      <c r="D780">
        <v>7</v>
      </c>
      <c r="E780">
        <v>45</v>
      </c>
      <c r="F780" t="s">
        <v>121</v>
      </c>
      <c r="G780" t="s">
        <v>122</v>
      </c>
      <c r="H780" t="s">
        <v>19</v>
      </c>
      <c r="I780">
        <v>20</v>
      </c>
      <c r="J780" t="s">
        <v>101</v>
      </c>
      <c r="K780" t="str">
        <f>_xlfn.XLOOKUP( ventas[[#This Row],[ciudad_cliente]],  ciudades[Ciudad], ciudades[Region])</f>
        <v>O'Higgins</v>
      </c>
      <c r="L780" t="s">
        <v>22</v>
      </c>
      <c r="M780" t="s">
        <v>39</v>
      </c>
      <c r="N780" t="str">
        <f>_xlfn.XLOOKUP(ventas[[#This Row],[producto]], categ[Producto], categ[Categoria])</f>
        <v>Belleza</v>
      </c>
      <c r="O780">
        <v>35000</v>
      </c>
      <c r="P780">
        <v>1</v>
      </c>
      <c r="Q780" s="11">
        <v>0.1</v>
      </c>
      <c r="R780">
        <f>(ventas[[#This Row],[precio_unitario]]*ventas[[#This Row],[cantidad]])</f>
        <v>35000</v>
      </c>
      <c r="S780">
        <f>ventas[[#This Row],[Total_Productos]]*ventas[[#This Row],[descuento_pct]]</f>
        <v>3500</v>
      </c>
      <c r="T780">
        <f>ventas[[#This Row],[Total_Productos]]-ventas[[#This Row],[Valor_descuento]]</f>
        <v>31500</v>
      </c>
    </row>
    <row r="781" spans="1:20" x14ac:dyDescent="0.3">
      <c r="A781">
        <v>707</v>
      </c>
      <c r="B781" s="1">
        <v>45634</v>
      </c>
      <c r="C781">
        <v>8</v>
      </c>
      <c r="D781">
        <v>1</v>
      </c>
      <c r="E781">
        <v>45</v>
      </c>
      <c r="F781" t="s">
        <v>121</v>
      </c>
      <c r="G781" t="s">
        <v>122</v>
      </c>
      <c r="H781" t="s">
        <v>19</v>
      </c>
      <c r="I781">
        <v>20</v>
      </c>
      <c r="J781" t="s">
        <v>76</v>
      </c>
      <c r="K781" t="str">
        <f>_xlfn.XLOOKUP( ventas[[#This Row],[ciudad_cliente]],  ciudades[Ciudad], ciudades[Region])</f>
        <v>Los Lagos</v>
      </c>
      <c r="L781" t="s">
        <v>22</v>
      </c>
      <c r="M781" t="s">
        <v>69</v>
      </c>
      <c r="N781" t="str">
        <f>_xlfn.XLOOKUP(ventas[[#This Row],[producto]], categ[Producto], categ[Categoria])</f>
        <v>Tecnología</v>
      </c>
      <c r="O781">
        <v>450000</v>
      </c>
      <c r="P781">
        <v>3</v>
      </c>
      <c r="Q781" s="11">
        <v>0.1</v>
      </c>
      <c r="R781">
        <f>(ventas[[#This Row],[precio_unitario]]*ventas[[#This Row],[cantidad]])</f>
        <v>1350000</v>
      </c>
      <c r="S781">
        <f>ventas[[#This Row],[Total_Productos]]*ventas[[#This Row],[descuento_pct]]</f>
        <v>135000</v>
      </c>
      <c r="T781">
        <f>ventas[[#This Row],[Total_Productos]]-ventas[[#This Row],[Valor_descuento]]</f>
        <v>1215000</v>
      </c>
    </row>
    <row r="782" spans="1:20" x14ac:dyDescent="0.3">
      <c r="A782">
        <v>796</v>
      </c>
      <c r="B782" s="1">
        <v>45723</v>
      </c>
      <c r="C782">
        <v>9</v>
      </c>
      <c r="D782">
        <v>9</v>
      </c>
      <c r="E782">
        <v>45</v>
      </c>
      <c r="F782" t="s">
        <v>121</v>
      </c>
      <c r="G782" t="s">
        <v>122</v>
      </c>
      <c r="H782" t="s">
        <v>19</v>
      </c>
      <c r="I782">
        <v>20</v>
      </c>
      <c r="J782" t="s">
        <v>37</v>
      </c>
      <c r="K782" t="str">
        <f>_xlfn.XLOOKUP( ventas[[#This Row],[ciudad_cliente]],  ciudades[Ciudad], ciudades[Region])</f>
        <v>Valparaíso</v>
      </c>
      <c r="L782" t="s">
        <v>38</v>
      </c>
      <c r="M782" t="s">
        <v>39</v>
      </c>
      <c r="N782" t="str">
        <f>_xlfn.XLOOKUP(ventas[[#This Row],[producto]], categ[Producto], categ[Categoria])</f>
        <v>Belleza</v>
      </c>
      <c r="O782">
        <v>35000</v>
      </c>
      <c r="P782">
        <v>1</v>
      </c>
      <c r="Q782" s="11">
        <v>0.05</v>
      </c>
      <c r="R782">
        <f>(ventas[[#This Row],[precio_unitario]]*ventas[[#This Row],[cantidad]])</f>
        <v>35000</v>
      </c>
      <c r="S782">
        <f>ventas[[#This Row],[Total_Productos]]*ventas[[#This Row],[descuento_pct]]</f>
        <v>1750</v>
      </c>
      <c r="T782">
        <f>ventas[[#This Row],[Total_Productos]]-ventas[[#This Row],[Valor_descuento]]</f>
        <v>33250</v>
      </c>
    </row>
    <row r="783" spans="1:20" x14ac:dyDescent="0.3">
      <c r="A783">
        <v>186</v>
      </c>
      <c r="B783" s="1">
        <v>45113</v>
      </c>
      <c r="C783">
        <v>24</v>
      </c>
      <c r="D783">
        <v>3</v>
      </c>
      <c r="E783">
        <v>51</v>
      </c>
      <c r="F783" t="s">
        <v>342</v>
      </c>
      <c r="G783" t="s">
        <v>343</v>
      </c>
      <c r="H783" t="s">
        <v>19</v>
      </c>
      <c r="I783">
        <v>18</v>
      </c>
      <c r="J783" t="s">
        <v>84</v>
      </c>
      <c r="K783" t="str">
        <f>_xlfn.XLOOKUP( ventas[[#This Row],[ciudad_cliente]],  ciudades[Ciudad], ciudades[Region])</f>
        <v>Coquimbo</v>
      </c>
      <c r="L783" t="s">
        <v>29</v>
      </c>
      <c r="M783" t="s">
        <v>56</v>
      </c>
      <c r="N783" t="str">
        <f>_xlfn.XLOOKUP(ventas[[#This Row],[producto]], categ[Producto], categ[Categoria])</f>
        <v>Vestuario</v>
      </c>
      <c r="O783">
        <v>25000</v>
      </c>
      <c r="P783">
        <v>2</v>
      </c>
      <c r="Q783" s="11">
        <v>0</v>
      </c>
      <c r="R783">
        <f>(ventas[[#This Row],[precio_unitario]]*ventas[[#This Row],[cantidad]])</f>
        <v>50000</v>
      </c>
      <c r="S783">
        <f>ventas[[#This Row],[Total_Productos]]*ventas[[#This Row],[descuento_pct]]</f>
        <v>0</v>
      </c>
      <c r="T783">
        <f>ventas[[#This Row],[Total_Productos]]-ventas[[#This Row],[Valor_descuento]]</f>
        <v>50000</v>
      </c>
    </row>
    <row r="784" spans="1:20" x14ac:dyDescent="0.3">
      <c r="A784">
        <v>214</v>
      </c>
      <c r="B784" s="1">
        <v>45141</v>
      </c>
      <c r="C784">
        <v>18</v>
      </c>
      <c r="D784">
        <v>1</v>
      </c>
      <c r="E784">
        <v>51</v>
      </c>
      <c r="F784" t="s">
        <v>342</v>
      </c>
      <c r="G784" t="s">
        <v>343</v>
      </c>
      <c r="H784" t="s">
        <v>19</v>
      </c>
      <c r="I784">
        <v>18</v>
      </c>
      <c r="J784" t="s">
        <v>27</v>
      </c>
      <c r="K784" t="str">
        <f>_xlfn.XLOOKUP( ventas[[#This Row],[ciudad_cliente]],  ciudades[Ciudad], ciudades[Region])</f>
        <v>Biobío</v>
      </c>
      <c r="L784" t="s">
        <v>38</v>
      </c>
      <c r="M784" t="s">
        <v>69</v>
      </c>
      <c r="N784" t="str">
        <f>_xlfn.XLOOKUP(ventas[[#This Row],[producto]], categ[Producto], categ[Categoria])</f>
        <v>Tecnología</v>
      </c>
      <c r="O784">
        <v>450000</v>
      </c>
      <c r="P784">
        <v>2</v>
      </c>
      <c r="Q784" s="11">
        <v>0.1</v>
      </c>
      <c r="R784">
        <f>(ventas[[#This Row],[precio_unitario]]*ventas[[#This Row],[cantidad]])</f>
        <v>900000</v>
      </c>
      <c r="S784">
        <f>ventas[[#This Row],[Total_Productos]]*ventas[[#This Row],[descuento_pct]]</f>
        <v>90000</v>
      </c>
      <c r="T784">
        <f>ventas[[#This Row],[Total_Productos]]-ventas[[#This Row],[Valor_descuento]]</f>
        <v>810000</v>
      </c>
    </row>
    <row r="785" spans="1:20" x14ac:dyDescent="0.3">
      <c r="A785">
        <v>547</v>
      </c>
      <c r="B785" s="1">
        <v>45474</v>
      </c>
      <c r="C785">
        <v>11</v>
      </c>
      <c r="D785">
        <v>0</v>
      </c>
      <c r="E785">
        <v>51</v>
      </c>
      <c r="F785" t="s">
        <v>342</v>
      </c>
      <c r="G785" t="s">
        <v>343</v>
      </c>
      <c r="H785" t="s">
        <v>19</v>
      </c>
      <c r="I785">
        <v>18</v>
      </c>
      <c r="J785" t="s">
        <v>43</v>
      </c>
      <c r="K785" t="str">
        <f>_xlfn.XLOOKUP( ventas[[#This Row],[ciudad_cliente]],  ciudades[Ciudad], ciudades[Region])</f>
        <v>Antofagasta</v>
      </c>
      <c r="L785" t="s">
        <v>29</v>
      </c>
      <c r="M785" t="s">
        <v>98</v>
      </c>
      <c r="N785" t="str">
        <f>_xlfn.XLOOKUP(ventas[[#This Row],[producto]], categ[Producto], categ[Categoria])</f>
        <v>Calzado</v>
      </c>
      <c r="O785">
        <v>55000</v>
      </c>
      <c r="P785">
        <v>3</v>
      </c>
      <c r="Q785" s="11">
        <v>0.1</v>
      </c>
      <c r="R785">
        <f>(ventas[[#This Row],[precio_unitario]]*ventas[[#This Row],[cantidad]])</f>
        <v>165000</v>
      </c>
      <c r="S785">
        <f>ventas[[#This Row],[Total_Productos]]*ventas[[#This Row],[descuento_pct]]</f>
        <v>16500</v>
      </c>
      <c r="T785">
        <f>ventas[[#This Row],[Total_Productos]]-ventas[[#This Row],[Valor_descuento]]</f>
        <v>148500</v>
      </c>
    </row>
    <row r="786" spans="1:20" x14ac:dyDescent="0.3">
      <c r="A786">
        <v>7</v>
      </c>
      <c r="B786" s="1">
        <v>44934</v>
      </c>
      <c r="C786">
        <v>17</v>
      </c>
      <c r="D786">
        <v>0</v>
      </c>
      <c r="E786">
        <v>160</v>
      </c>
      <c r="F786" t="s">
        <v>47</v>
      </c>
      <c r="G786" t="s">
        <v>48</v>
      </c>
      <c r="H786" t="s">
        <v>42</v>
      </c>
      <c r="I786">
        <v>45</v>
      </c>
      <c r="J786" t="s">
        <v>34</v>
      </c>
      <c r="K786" t="str">
        <f>_xlfn.XLOOKUP( ventas[[#This Row],[ciudad_cliente]],  ciudades[Ciudad], ciudades[Region])</f>
        <v>Metropolitana</v>
      </c>
      <c r="L786" t="s">
        <v>22</v>
      </c>
      <c r="M786" t="s">
        <v>49</v>
      </c>
      <c r="N786" t="str">
        <f>_xlfn.XLOOKUP(ventas[[#This Row],[producto]], categ[Producto], categ[Categoria])</f>
        <v>Electrohogar</v>
      </c>
      <c r="O786">
        <v>800000</v>
      </c>
      <c r="P786">
        <v>2</v>
      </c>
      <c r="Q786" s="11">
        <v>0.1</v>
      </c>
      <c r="R786">
        <f>(ventas[[#This Row],[precio_unitario]]*ventas[[#This Row],[cantidad]])</f>
        <v>1600000</v>
      </c>
      <c r="S786">
        <f>ventas[[#This Row],[Total_Productos]]*ventas[[#This Row],[descuento_pct]]</f>
        <v>160000</v>
      </c>
      <c r="T786">
        <f>ventas[[#This Row],[Total_Productos]]-ventas[[#This Row],[Valor_descuento]]</f>
        <v>1440000</v>
      </c>
    </row>
    <row r="787" spans="1:20" x14ac:dyDescent="0.3">
      <c r="A787">
        <v>7</v>
      </c>
      <c r="B787" s="1">
        <v>44934</v>
      </c>
      <c r="C787">
        <v>17</v>
      </c>
      <c r="D787">
        <v>0</v>
      </c>
      <c r="E787">
        <v>160</v>
      </c>
      <c r="F787" t="s">
        <v>47</v>
      </c>
      <c r="G787" t="s">
        <v>48</v>
      </c>
      <c r="H787" t="s">
        <v>42</v>
      </c>
      <c r="I787">
        <v>45</v>
      </c>
      <c r="J787" t="s">
        <v>34</v>
      </c>
      <c r="K787" t="str">
        <f>_xlfn.XLOOKUP( ventas[[#This Row],[ciudad_cliente]],  ciudades[Ciudad], ciudades[Region])</f>
        <v>Metropolitana</v>
      </c>
      <c r="L787" t="s">
        <v>22</v>
      </c>
      <c r="M787" t="s">
        <v>49</v>
      </c>
      <c r="N787" t="str">
        <f>_xlfn.XLOOKUP(ventas[[#This Row],[producto]], categ[Producto], categ[Categoria])</f>
        <v>Electrohogar</v>
      </c>
      <c r="O787">
        <v>800000</v>
      </c>
      <c r="P787">
        <v>2</v>
      </c>
      <c r="Q787" s="11">
        <v>0.1</v>
      </c>
      <c r="R787">
        <f>(ventas[[#This Row],[precio_unitario]]*ventas[[#This Row],[cantidad]])</f>
        <v>1600000</v>
      </c>
      <c r="S787">
        <f>ventas[[#This Row],[Total_Productos]]*ventas[[#This Row],[descuento_pct]]</f>
        <v>160000</v>
      </c>
      <c r="T787">
        <f>ventas[[#This Row],[Total_Productos]]-ventas[[#This Row],[Valor_descuento]]</f>
        <v>1440000</v>
      </c>
    </row>
    <row r="788" spans="1:20" x14ac:dyDescent="0.3">
      <c r="A788">
        <v>139</v>
      </c>
      <c r="B788" s="1">
        <v>45066</v>
      </c>
      <c r="C788">
        <v>25</v>
      </c>
      <c r="D788">
        <v>3</v>
      </c>
      <c r="E788">
        <v>160</v>
      </c>
      <c r="F788" t="s">
        <v>47</v>
      </c>
      <c r="G788" t="s">
        <v>48</v>
      </c>
      <c r="H788" t="s">
        <v>42</v>
      </c>
      <c r="I788">
        <v>45</v>
      </c>
      <c r="J788" t="s">
        <v>76</v>
      </c>
      <c r="K788" t="str">
        <f>_xlfn.XLOOKUP( ventas[[#This Row],[ciudad_cliente]],  ciudades[Ciudad], ciudades[Region])</f>
        <v>Los Lagos</v>
      </c>
      <c r="L788" t="s">
        <v>22</v>
      </c>
      <c r="M788" t="s">
        <v>102</v>
      </c>
      <c r="N788" t="str">
        <f>_xlfn.XLOOKUP(ventas[[#This Row],[producto]], categ[Producto], categ[Categoria])</f>
        <v>Vestuario</v>
      </c>
      <c r="O788">
        <v>12000</v>
      </c>
      <c r="P788">
        <v>1</v>
      </c>
      <c r="Q788" s="11">
        <v>0.1</v>
      </c>
      <c r="R788">
        <f>(ventas[[#This Row],[precio_unitario]]*ventas[[#This Row],[cantidad]])</f>
        <v>12000</v>
      </c>
      <c r="S788">
        <f>ventas[[#This Row],[Total_Productos]]*ventas[[#This Row],[descuento_pct]]</f>
        <v>1200</v>
      </c>
      <c r="T788">
        <f>ventas[[#This Row],[Total_Productos]]-ventas[[#This Row],[Valor_descuento]]</f>
        <v>10800</v>
      </c>
    </row>
    <row r="789" spans="1:20" x14ac:dyDescent="0.3">
      <c r="A789">
        <v>372</v>
      </c>
      <c r="B789" s="1">
        <v>45299</v>
      </c>
      <c r="C789">
        <v>14</v>
      </c>
      <c r="D789">
        <v>0</v>
      </c>
      <c r="E789">
        <v>160</v>
      </c>
      <c r="F789" t="s">
        <v>47</v>
      </c>
      <c r="G789" t="s">
        <v>48</v>
      </c>
      <c r="H789" t="s">
        <v>42</v>
      </c>
      <c r="I789">
        <v>45</v>
      </c>
      <c r="J789" t="s">
        <v>34</v>
      </c>
      <c r="K789" t="str">
        <f>_xlfn.XLOOKUP( ventas[[#This Row],[ciudad_cliente]],  ciudades[Ciudad], ciudades[Region])</f>
        <v>Metropolitana</v>
      </c>
      <c r="L789" t="s">
        <v>22</v>
      </c>
      <c r="M789" t="s">
        <v>102</v>
      </c>
      <c r="N789" t="str">
        <f>_xlfn.XLOOKUP(ventas[[#This Row],[producto]], categ[Producto], categ[Categoria])</f>
        <v>Vestuario</v>
      </c>
      <c r="O789">
        <v>12000</v>
      </c>
      <c r="P789">
        <v>3</v>
      </c>
      <c r="Q789" s="11">
        <v>0</v>
      </c>
      <c r="R789">
        <f>(ventas[[#This Row],[precio_unitario]]*ventas[[#This Row],[cantidad]])</f>
        <v>36000</v>
      </c>
      <c r="S789">
        <f>ventas[[#This Row],[Total_Productos]]*ventas[[#This Row],[descuento_pct]]</f>
        <v>0</v>
      </c>
      <c r="T789">
        <f>ventas[[#This Row],[Total_Productos]]-ventas[[#This Row],[Valor_descuento]]</f>
        <v>36000</v>
      </c>
    </row>
    <row r="790" spans="1:20" x14ac:dyDescent="0.3">
      <c r="A790">
        <v>460</v>
      </c>
      <c r="B790" s="1">
        <v>45387</v>
      </c>
      <c r="C790">
        <v>4</v>
      </c>
      <c r="D790">
        <v>3</v>
      </c>
      <c r="E790">
        <v>160</v>
      </c>
      <c r="F790" t="s">
        <v>47</v>
      </c>
      <c r="G790" t="s">
        <v>48</v>
      </c>
      <c r="H790" t="s">
        <v>42</v>
      </c>
      <c r="I790">
        <v>45</v>
      </c>
      <c r="J790" t="s">
        <v>52</v>
      </c>
      <c r="K790" t="str">
        <f>_xlfn.XLOOKUP( ventas[[#This Row],[ciudad_cliente]],  ciudades[Ciudad], ciudades[Region])</f>
        <v>Biobío</v>
      </c>
      <c r="L790" t="s">
        <v>38</v>
      </c>
      <c r="M790" t="s">
        <v>46</v>
      </c>
      <c r="N790" t="str">
        <f>_xlfn.XLOOKUP(ventas[[#This Row],[producto]], categ[Producto], categ[Categoria])</f>
        <v>Tecnología</v>
      </c>
      <c r="O790">
        <v>750000</v>
      </c>
      <c r="P790">
        <v>1</v>
      </c>
      <c r="Q790" s="11">
        <v>0</v>
      </c>
      <c r="R790">
        <f>(ventas[[#This Row],[precio_unitario]]*ventas[[#This Row],[cantidad]])</f>
        <v>750000</v>
      </c>
      <c r="S790">
        <f>ventas[[#This Row],[Total_Productos]]*ventas[[#This Row],[descuento_pct]]</f>
        <v>0</v>
      </c>
      <c r="T790">
        <f>ventas[[#This Row],[Total_Productos]]-ventas[[#This Row],[Valor_descuento]]</f>
        <v>750000</v>
      </c>
    </row>
    <row r="791" spans="1:20" x14ac:dyDescent="0.3">
      <c r="A791">
        <v>767</v>
      </c>
      <c r="B791" s="1">
        <v>45694</v>
      </c>
      <c r="C791">
        <v>56</v>
      </c>
      <c r="D791">
        <v>2</v>
      </c>
      <c r="E791">
        <v>160</v>
      </c>
      <c r="F791" t="s">
        <v>47</v>
      </c>
      <c r="G791" t="s">
        <v>48</v>
      </c>
      <c r="H791" t="s">
        <v>42</v>
      </c>
      <c r="I791">
        <v>45</v>
      </c>
      <c r="J791" t="s">
        <v>27</v>
      </c>
      <c r="K791" t="str">
        <f>_xlfn.XLOOKUP( ventas[[#This Row],[ciudad_cliente]],  ciudades[Ciudad], ciudades[Region])</f>
        <v>Biobío</v>
      </c>
      <c r="L791" t="s">
        <v>38</v>
      </c>
      <c r="M791" t="s">
        <v>62</v>
      </c>
      <c r="N791" t="str">
        <f>_xlfn.XLOOKUP(ventas[[#This Row],[producto]], categ[Producto], categ[Categoria])</f>
        <v>Electrohogar</v>
      </c>
      <c r="O791">
        <v>650000</v>
      </c>
      <c r="P791">
        <v>3</v>
      </c>
      <c r="Q791" s="11">
        <v>0</v>
      </c>
      <c r="R791">
        <f>(ventas[[#This Row],[precio_unitario]]*ventas[[#This Row],[cantidad]])</f>
        <v>1950000</v>
      </c>
      <c r="S791">
        <f>ventas[[#This Row],[Total_Productos]]*ventas[[#This Row],[descuento_pct]]</f>
        <v>0</v>
      </c>
      <c r="T791">
        <f>ventas[[#This Row],[Total_Productos]]-ventas[[#This Row],[Valor_descuento]]</f>
        <v>1950000</v>
      </c>
    </row>
    <row r="792" spans="1:20" x14ac:dyDescent="0.3">
      <c r="A792">
        <v>946</v>
      </c>
      <c r="B792" s="1">
        <v>45873</v>
      </c>
      <c r="C792">
        <v>1</v>
      </c>
      <c r="D792">
        <v>8</v>
      </c>
      <c r="E792">
        <v>160</v>
      </c>
      <c r="F792" t="s">
        <v>47</v>
      </c>
      <c r="G792" t="s">
        <v>48</v>
      </c>
      <c r="H792" t="s">
        <v>42</v>
      </c>
      <c r="I792">
        <v>45</v>
      </c>
      <c r="J792" t="s">
        <v>34</v>
      </c>
      <c r="K792" t="str">
        <f>_xlfn.XLOOKUP( ventas[[#This Row],[ciudad_cliente]],  ciudades[Ciudad], ciudades[Region])</f>
        <v>Metropolitana</v>
      </c>
      <c r="L792" t="s">
        <v>38</v>
      </c>
      <c r="M792" t="s">
        <v>62</v>
      </c>
      <c r="N792" t="str">
        <f>_xlfn.XLOOKUP(ventas[[#This Row],[producto]], categ[Producto], categ[Categoria])</f>
        <v>Electrohogar</v>
      </c>
      <c r="O792">
        <v>650000</v>
      </c>
      <c r="P792">
        <v>3</v>
      </c>
      <c r="Q792" s="11">
        <v>0</v>
      </c>
      <c r="R792">
        <f>(ventas[[#This Row],[precio_unitario]]*ventas[[#This Row],[cantidad]])</f>
        <v>1950000</v>
      </c>
      <c r="S792">
        <f>ventas[[#This Row],[Total_Productos]]*ventas[[#This Row],[descuento_pct]]</f>
        <v>0</v>
      </c>
      <c r="T792">
        <f>ventas[[#This Row],[Total_Productos]]-ventas[[#This Row],[Valor_descuento]]</f>
        <v>1950000</v>
      </c>
    </row>
    <row r="793" spans="1:20" x14ac:dyDescent="0.3">
      <c r="A793">
        <v>150</v>
      </c>
      <c r="B793" s="1">
        <v>45077</v>
      </c>
      <c r="C793">
        <v>64</v>
      </c>
      <c r="D793">
        <v>4</v>
      </c>
      <c r="E793">
        <v>157</v>
      </c>
      <c r="F793" t="s">
        <v>290</v>
      </c>
      <c r="G793" t="s">
        <v>291</v>
      </c>
      <c r="H793" t="s">
        <v>42</v>
      </c>
      <c r="I793">
        <v>60</v>
      </c>
      <c r="J793" t="s">
        <v>20</v>
      </c>
      <c r="K793" t="str">
        <f>_xlfn.XLOOKUP( ventas[[#This Row],[ciudad_cliente]],  ciudades[Ciudad], ciudades[Region])</f>
        <v>La Araucanía</v>
      </c>
      <c r="L793" t="s">
        <v>22</v>
      </c>
      <c r="M793" t="s">
        <v>49</v>
      </c>
      <c r="N793" t="str">
        <f>_xlfn.XLOOKUP(ventas[[#This Row],[producto]], categ[Producto], categ[Categoria])</f>
        <v>Electrohogar</v>
      </c>
      <c r="O793">
        <v>800000</v>
      </c>
      <c r="P793">
        <v>2</v>
      </c>
      <c r="Q793" s="11">
        <v>0.05</v>
      </c>
      <c r="R793">
        <f>(ventas[[#This Row],[precio_unitario]]*ventas[[#This Row],[cantidad]])</f>
        <v>1600000</v>
      </c>
      <c r="S793">
        <f>ventas[[#This Row],[Total_Productos]]*ventas[[#This Row],[descuento_pct]]</f>
        <v>80000</v>
      </c>
      <c r="T793">
        <f>ventas[[#This Row],[Total_Productos]]-ventas[[#This Row],[Valor_descuento]]</f>
        <v>1520000</v>
      </c>
    </row>
    <row r="794" spans="1:20" x14ac:dyDescent="0.3">
      <c r="A794">
        <v>753</v>
      </c>
      <c r="B794" s="1">
        <v>45680</v>
      </c>
      <c r="C794">
        <v>65</v>
      </c>
      <c r="D794">
        <v>0</v>
      </c>
      <c r="E794">
        <v>157</v>
      </c>
      <c r="F794" t="s">
        <v>290</v>
      </c>
      <c r="G794" t="s">
        <v>291</v>
      </c>
      <c r="H794" t="s">
        <v>42</v>
      </c>
      <c r="I794">
        <v>60</v>
      </c>
      <c r="J794" t="s">
        <v>101</v>
      </c>
      <c r="K794" t="str">
        <f>_xlfn.XLOOKUP( ventas[[#This Row],[ciudad_cliente]],  ciudades[Ciudad], ciudades[Region])</f>
        <v>O'Higgins</v>
      </c>
      <c r="L794" t="s">
        <v>38</v>
      </c>
      <c r="M794" t="s">
        <v>46</v>
      </c>
      <c r="N794" t="str">
        <f>_xlfn.XLOOKUP(ventas[[#This Row],[producto]], categ[Producto], categ[Categoria])</f>
        <v>Tecnología</v>
      </c>
      <c r="O794">
        <v>750000</v>
      </c>
      <c r="P794">
        <v>3</v>
      </c>
      <c r="Q794" s="11">
        <v>0.1</v>
      </c>
      <c r="R794">
        <f>(ventas[[#This Row],[precio_unitario]]*ventas[[#This Row],[cantidad]])</f>
        <v>2250000</v>
      </c>
      <c r="S794">
        <f>ventas[[#This Row],[Total_Productos]]*ventas[[#This Row],[descuento_pct]]</f>
        <v>225000</v>
      </c>
      <c r="T794">
        <f>ventas[[#This Row],[Total_Productos]]-ventas[[#This Row],[Valor_descuento]]</f>
        <v>2025000</v>
      </c>
    </row>
    <row r="795" spans="1:20" x14ac:dyDescent="0.3">
      <c r="A795">
        <v>536</v>
      </c>
      <c r="B795" s="1">
        <v>45463</v>
      </c>
      <c r="C795">
        <v>27</v>
      </c>
      <c r="D795">
        <v>4</v>
      </c>
      <c r="E795">
        <v>262</v>
      </c>
      <c r="F795" t="s">
        <v>546</v>
      </c>
      <c r="G795" t="s">
        <v>547</v>
      </c>
      <c r="H795" t="s">
        <v>42</v>
      </c>
      <c r="I795">
        <v>37</v>
      </c>
      <c r="J795" t="s">
        <v>116</v>
      </c>
      <c r="K795" t="str">
        <f>_xlfn.XLOOKUP( ventas[[#This Row],[ciudad_cliente]],  ciudades[Ciudad], ciudades[Region])</f>
        <v>Valparaíso</v>
      </c>
      <c r="L795" t="s">
        <v>38</v>
      </c>
      <c r="M795" t="s">
        <v>56</v>
      </c>
      <c r="N795" t="str">
        <f>_xlfn.XLOOKUP(ventas[[#This Row],[producto]], categ[Producto], categ[Categoria])</f>
        <v>Vestuario</v>
      </c>
      <c r="O795">
        <v>25000</v>
      </c>
      <c r="P795">
        <v>1</v>
      </c>
      <c r="Q795" s="11">
        <v>0</v>
      </c>
      <c r="R795">
        <f>(ventas[[#This Row],[precio_unitario]]*ventas[[#This Row],[cantidad]])</f>
        <v>25000</v>
      </c>
      <c r="S795">
        <f>ventas[[#This Row],[Total_Productos]]*ventas[[#This Row],[descuento_pct]]</f>
        <v>0</v>
      </c>
      <c r="T795">
        <f>ventas[[#This Row],[Total_Productos]]-ventas[[#This Row],[Valor_descuento]]</f>
        <v>25000</v>
      </c>
    </row>
    <row r="796" spans="1:20" x14ac:dyDescent="0.3">
      <c r="A796">
        <v>577</v>
      </c>
      <c r="B796" s="1">
        <v>45504</v>
      </c>
      <c r="C796">
        <v>26</v>
      </c>
      <c r="D796">
        <v>6</v>
      </c>
      <c r="E796">
        <v>262</v>
      </c>
      <c r="F796" t="s">
        <v>546</v>
      </c>
      <c r="G796" t="s">
        <v>547</v>
      </c>
      <c r="H796" t="s">
        <v>42</v>
      </c>
      <c r="I796">
        <v>37</v>
      </c>
      <c r="J796" t="s">
        <v>101</v>
      </c>
      <c r="K796" t="str">
        <f>_xlfn.XLOOKUP( ventas[[#This Row],[ciudad_cliente]],  ciudades[Ciudad], ciudades[Region])</f>
        <v>O'Higgins</v>
      </c>
      <c r="L796" t="s">
        <v>22</v>
      </c>
      <c r="M796" t="s">
        <v>49</v>
      </c>
      <c r="N796" t="str">
        <f>_xlfn.XLOOKUP(ventas[[#This Row],[producto]], categ[Producto], categ[Categoria])</f>
        <v>Electrohogar</v>
      </c>
      <c r="O796">
        <v>800000</v>
      </c>
      <c r="P796">
        <v>2</v>
      </c>
      <c r="Q796" s="11">
        <v>0.1</v>
      </c>
      <c r="R796">
        <f>(ventas[[#This Row],[precio_unitario]]*ventas[[#This Row],[cantidad]])</f>
        <v>1600000</v>
      </c>
      <c r="S796">
        <f>ventas[[#This Row],[Total_Productos]]*ventas[[#This Row],[descuento_pct]]</f>
        <v>160000</v>
      </c>
      <c r="T796">
        <f>ventas[[#This Row],[Total_Productos]]-ventas[[#This Row],[Valor_descuento]]</f>
        <v>1440000</v>
      </c>
    </row>
    <row r="797" spans="1:20" x14ac:dyDescent="0.3">
      <c r="A797">
        <v>599</v>
      </c>
      <c r="B797" s="1">
        <v>45526</v>
      </c>
      <c r="C797">
        <v>16</v>
      </c>
      <c r="D797">
        <v>3</v>
      </c>
      <c r="E797">
        <v>262</v>
      </c>
      <c r="F797" t="s">
        <v>546</v>
      </c>
      <c r="G797" t="s">
        <v>547</v>
      </c>
      <c r="H797" t="s">
        <v>42</v>
      </c>
      <c r="I797">
        <v>37</v>
      </c>
      <c r="J797" t="s">
        <v>20</v>
      </c>
      <c r="K797" t="str">
        <f>_xlfn.XLOOKUP( ventas[[#This Row],[ciudad_cliente]],  ciudades[Ciudad], ciudades[Region])</f>
        <v>La Araucanía</v>
      </c>
      <c r="L797" t="s">
        <v>29</v>
      </c>
      <c r="M797" t="s">
        <v>98</v>
      </c>
      <c r="N797" t="str">
        <f>_xlfn.XLOOKUP(ventas[[#This Row],[producto]], categ[Producto], categ[Categoria])</f>
        <v>Calzado</v>
      </c>
      <c r="O797">
        <v>55000</v>
      </c>
      <c r="P797">
        <v>1</v>
      </c>
      <c r="Q797" s="11">
        <v>0.1</v>
      </c>
      <c r="R797">
        <f>(ventas[[#This Row],[precio_unitario]]*ventas[[#This Row],[cantidad]])</f>
        <v>55000</v>
      </c>
      <c r="S797">
        <f>ventas[[#This Row],[Total_Productos]]*ventas[[#This Row],[descuento_pct]]</f>
        <v>5500</v>
      </c>
      <c r="T797">
        <f>ventas[[#This Row],[Total_Productos]]-ventas[[#This Row],[Valor_descuento]]</f>
        <v>49500</v>
      </c>
    </row>
    <row r="798" spans="1:20" x14ac:dyDescent="0.3">
      <c r="A798">
        <v>313</v>
      </c>
      <c r="B798" s="1">
        <v>45240</v>
      </c>
      <c r="C798">
        <v>34</v>
      </c>
      <c r="D798">
        <v>1</v>
      </c>
      <c r="E798">
        <v>82</v>
      </c>
      <c r="F798" t="s">
        <v>448</v>
      </c>
      <c r="G798" t="s">
        <v>449</v>
      </c>
      <c r="H798" t="s">
        <v>19</v>
      </c>
      <c r="I798">
        <v>18</v>
      </c>
      <c r="J798" t="s">
        <v>52</v>
      </c>
      <c r="K798" t="str">
        <f>_xlfn.XLOOKUP( ventas[[#This Row],[ciudad_cliente]],  ciudades[Ciudad], ciudades[Region])</f>
        <v>Biobío</v>
      </c>
      <c r="L798" t="s">
        <v>38</v>
      </c>
      <c r="M798" t="s">
        <v>49</v>
      </c>
      <c r="N798" t="str">
        <f>_xlfn.XLOOKUP(ventas[[#This Row],[producto]], categ[Producto], categ[Categoria])</f>
        <v>Electrohogar</v>
      </c>
      <c r="O798">
        <v>800000</v>
      </c>
      <c r="P798">
        <v>3</v>
      </c>
      <c r="Q798" s="11">
        <v>0</v>
      </c>
      <c r="R798">
        <f>(ventas[[#This Row],[precio_unitario]]*ventas[[#This Row],[cantidad]])</f>
        <v>2400000</v>
      </c>
      <c r="S798">
        <f>ventas[[#This Row],[Total_Productos]]*ventas[[#This Row],[descuento_pct]]</f>
        <v>0</v>
      </c>
      <c r="T798">
        <f>ventas[[#This Row],[Total_Productos]]-ventas[[#This Row],[Valor_descuento]]</f>
        <v>2400000</v>
      </c>
    </row>
    <row r="799" spans="1:20" x14ac:dyDescent="0.3">
      <c r="A799">
        <v>524</v>
      </c>
      <c r="B799" s="1">
        <v>45451</v>
      </c>
      <c r="C799">
        <v>57</v>
      </c>
      <c r="D799">
        <v>3</v>
      </c>
      <c r="E799">
        <v>82</v>
      </c>
      <c r="F799" t="s">
        <v>448</v>
      </c>
      <c r="G799" t="s">
        <v>449</v>
      </c>
      <c r="H799" t="s">
        <v>19</v>
      </c>
      <c r="I799">
        <v>18</v>
      </c>
      <c r="J799" t="s">
        <v>52</v>
      </c>
      <c r="K799" t="str">
        <f>_xlfn.XLOOKUP( ventas[[#This Row],[ciudad_cliente]],  ciudades[Ciudad], ciudades[Region])</f>
        <v>Biobío</v>
      </c>
      <c r="L799" t="s">
        <v>22</v>
      </c>
      <c r="M799" t="s">
        <v>69</v>
      </c>
      <c r="N799" t="str">
        <f>_xlfn.XLOOKUP(ventas[[#This Row],[producto]], categ[Producto], categ[Categoria])</f>
        <v>Tecnología</v>
      </c>
      <c r="O799">
        <v>450000</v>
      </c>
      <c r="P799">
        <v>2</v>
      </c>
      <c r="Q799" s="11">
        <v>0.1</v>
      </c>
      <c r="R799">
        <f>(ventas[[#This Row],[precio_unitario]]*ventas[[#This Row],[cantidad]])</f>
        <v>900000</v>
      </c>
      <c r="S799">
        <f>ventas[[#This Row],[Total_Productos]]*ventas[[#This Row],[descuento_pct]]</f>
        <v>90000</v>
      </c>
      <c r="T799">
        <f>ventas[[#This Row],[Total_Productos]]-ventas[[#This Row],[Valor_descuento]]</f>
        <v>810000</v>
      </c>
    </row>
    <row r="800" spans="1:20" x14ac:dyDescent="0.3">
      <c r="A800">
        <v>847</v>
      </c>
      <c r="B800" s="1">
        <v>45774</v>
      </c>
      <c r="C800">
        <v>12</v>
      </c>
      <c r="D800">
        <v>0</v>
      </c>
      <c r="E800">
        <v>82</v>
      </c>
      <c r="F800" t="s">
        <v>448</v>
      </c>
      <c r="G800" t="s">
        <v>449</v>
      </c>
      <c r="H800" t="s">
        <v>19</v>
      </c>
      <c r="I800">
        <v>18</v>
      </c>
      <c r="J800" t="s">
        <v>116</v>
      </c>
      <c r="K800" t="str">
        <f>_xlfn.XLOOKUP( ventas[[#This Row],[ciudad_cliente]],  ciudades[Ciudad], ciudades[Region])</f>
        <v>Valparaíso</v>
      </c>
      <c r="L800" t="s">
        <v>38</v>
      </c>
      <c r="M800" t="s">
        <v>23</v>
      </c>
      <c r="N800" t="str">
        <f>_xlfn.XLOOKUP(ventas[[#This Row],[producto]], categ[Producto], categ[Categoria])</f>
        <v>Belleza</v>
      </c>
      <c r="O800">
        <v>15000</v>
      </c>
      <c r="P800">
        <v>2</v>
      </c>
      <c r="Q800" s="11">
        <v>0</v>
      </c>
      <c r="R800">
        <f>(ventas[[#This Row],[precio_unitario]]*ventas[[#This Row],[cantidad]])</f>
        <v>30000</v>
      </c>
      <c r="S800">
        <f>ventas[[#This Row],[Total_Productos]]*ventas[[#This Row],[descuento_pct]]</f>
        <v>0</v>
      </c>
      <c r="T800">
        <f>ventas[[#This Row],[Total_Productos]]-ventas[[#This Row],[Valor_descuento]]</f>
        <v>30000</v>
      </c>
    </row>
    <row r="801" spans="1:20" x14ac:dyDescent="0.3">
      <c r="A801">
        <v>264</v>
      </c>
      <c r="B801" s="1">
        <v>45191</v>
      </c>
      <c r="C801">
        <v>40</v>
      </c>
      <c r="D801">
        <v>1</v>
      </c>
      <c r="E801">
        <v>192</v>
      </c>
      <c r="F801" t="s">
        <v>412</v>
      </c>
      <c r="G801" t="s">
        <v>413</v>
      </c>
      <c r="H801" t="s">
        <v>42</v>
      </c>
      <c r="I801">
        <v>18</v>
      </c>
      <c r="J801" t="s">
        <v>27</v>
      </c>
      <c r="K801" t="str">
        <f>_xlfn.XLOOKUP( ventas[[#This Row],[ciudad_cliente]],  ciudades[Ciudad], ciudades[Region])</f>
        <v>Biobío</v>
      </c>
      <c r="L801" t="s">
        <v>29</v>
      </c>
      <c r="M801" t="s">
        <v>102</v>
      </c>
      <c r="N801" t="str">
        <f>_xlfn.XLOOKUP(ventas[[#This Row],[producto]], categ[Producto], categ[Categoria])</f>
        <v>Vestuario</v>
      </c>
      <c r="O801">
        <v>12000</v>
      </c>
      <c r="P801">
        <v>1</v>
      </c>
      <c r="Q801" s="11">
        <v>0</v>
      </c>
      <c r="R801">
        <f>(ventas[[#This Row],[precio_unitario]]*ventas[[#This Row],[cantidad]])</f>
        <v>12000</v>
      </c>
      <c r="S801">
        <f>ventas[[#This Row],[Total_Productos]]*ventas[[#This Row],[descuento_pct]]</f>
        <v>0</v>
      </c>
      <c r="T801">
        <f>ventas[[#This Row],[Total_Productos]]-ventas[[#This Row],[Valor_descuento]]</f>
        <v>12000</v>
      </c>
    </row>
    <row r="802" spans="1:20" x14ac:dyDescent="0.3">
      <c r="A802">
        <v>265</v>
      </c>
      <c r="B802" s="1">
        <v>45192</v>
      </c>
      <c r="C802">
        <v>19</v>
      </c>
      <c r="D802">
        <v>5</v>
      </c>
      <c r="E802">
        <v>192</v>
      </c>
      <c r="F802" t="s">
        <v>412</v>
      </c>
      <c r="G802" t="s">
        <v>413</v>
      </c>
      <c r="H802" t="s">
        <v>42</v>
      </c>
      <c r="I802">
        <v>18</v>
      </c>
      <c r="J802" t="s">
        <v>20</v>
      </c>
      <c r="K802" t="str">
        <f>_xlfn.XLOOKUP( ventas[[#This Row],[ciudad_cliente]],  ciudades[Ciudad], ciudades[Region])</f>
        <v>La Araucanía</v>
      </c>
      <c r="L802" t="s">
        <v>38</v>
      </c>
      <c r="M802" t="s">
        <v>102</v>
      </c>
      <c r="N802" t="str">
        <f>_xlfn.XLOOKUP(ventas[[#This Row],[producto]], categ[Producto], categ[Categoria])</f>
        <v>Vestuario</v>
      </c>
      <c r="O802">
        <v>12000</v>
      </c>
      <c r="P802">
        <v>3</v>
      </c>
      <c r="Q802" s="11">
        <v>0</v>
      </c>
      <c r="R802">
        <f>(ventas[[#This Row],[precio_unitario]]*ventas[[#This Row],[cantidad]])</f>
        <v>36000</v>
      </c>
      <c r="S802">
        <f>ventas[[#This Row],[Total_Productos]]*ventas[[#This Row],[descuento_pct]]</f>
        <v>0</v>
      </c>
      <c r="T802">
        <f>ventas[[#This Row],[Total_Productos]]-ventas[[#This Row],[Valor_descuento]]</f>
        <v>36000</v>
      </c>
    </row>
    <row r="803" spans="1:20" x14ac:dyDescent="0.3">
      <c r="A803">
        <v>315</v>
      </c>
      <c r="B803" s="1">
        <v>45242</v>
      </c>
      <c r="C803">
        <v>17</v>
      </c>
      <c r="D803">
        <v>0</v>
      </c>
      <c r="E803">
        <v>192</v>
      </c>
      <c r="F803" t="s">
        <v>412</v>
      </c>
      <c r="G803" t="s">
        <v>413</v>
      </c>
      <c r="H803" t="s">
        <v>42</v>
      </c>
      <c r="I803">
        <v>18</v>
      </c>
      <c r="J803" t="s">
        <v>34</v>
      </c>
      <c r="K803" t="str">
        <f>_xlfn.XLOOKUP( ventas[[#This Row],[ciudad_cliente]],  ciudades[Ciudad], ciudades[Region])</f>
        <v>Metropolitana</v>
      </c>
      <c r="L803" t="s">
        <v>38</v>
      </c>
      <c r="M803" t="s">
        <v>30</v>
      </c>
      <c r="N803" t="str">
        <f>_xlfn.XLOOKUP(ventas[[#This Row],[producto]], categ[Producto], categ[Categoria])</f>
        <v>Electrohogar</v>
      </c>
      <c r="O803">
        <v>700000</v>
      </c>
      <c r="P803">
        <v>2</v>
      </c>
      <c r="Q803" s="11">
        <v>0</v>
      </c>
      <c r="R803">
        <f>(ventas[[#This Row],[precio_unitario]]*ventas[[#This Row],[cantidad]])</f>
        <v>1400000</v>
      </c>
      <c r="S803">
        <f>ventas[[#This Row],[Total_Productos]]*ventas[[#This Row],[descuento_pct]]</f>
        <v>0</v>
      </c>
      <c r="T803">
        <f>ventas[[#This Row],[Total_Productos]]-ventas[[#This Row],[Valor_descuento]]</f>
        <v>1400000</v>
      </c>
    </row>
    <row r="804" spans="1:20" x14ac:dyDescent="0.3">
      <c r="A804">
        <v>399</v>
      </c>
      <c r="B804" s="1">
        <v>45326</v>
      </c>
      <c r="C804">
        <v>49</v>
      </c>
      <c r="D804">
        <v>1</v>
      </c>
      <c r="E804">
        <v>192</v>
      </c>
      <c r="F804" t="s">
        <v>412</v>
      </c>
      <c r="G804" t="s">
        <v>413</v>
      </c>
      <c r="H804" t="s">
        <v>42</v>
      </c>
      <c r="I804">
        <v>18</v>
      </c>
      <c r="J804" t="s">
        <v>43</v>
      </c>
      <c r="K804" t="str">
        <f>_xlfn.XLOOKUP( ventas[[#This Row],[ciudad_cliente]],  ciudades[Ciudad], ciudades[Region])</f>
        <v>Antofagasta</v>
      </c>
      <c r="L804" t="s">
        <v>38</v>
      </c>
      <c r="M804" t="s">
        <v>56</v>
      </c>
      <c r="N804" t="str">
        <f>_xlfn.XLOOKUP(ventas[[#This Row],[producto]], categ[Producto], categ[Categoria])</f>
        <v>Vestuario</v>
      </c>
      <c r="O804">
        <v>25000</v>
      </c>
      <c r="P804">
        <v>1</v>
      </c>
      <c r="Q804" s="11">
        <v>0.05</v>
      </c>
      <c r="R804">
        <f>(ventas[[#This Row],[precio_unitario]]*ventas[[#This Row],[cantidad]])</f>
        <v>25000</v>
      </c>
      <c r="S804">
        <f>ventas[[#This Row],[Total_Productos]]*ventas[[#This Row],[descuento_pct]]</f>
        <v>1250</v>
      </c>
      <c r="T804">
        <f>ventas[[#This Row],[Total_Productos]]-ventas[[#This Row],[Valor_descuento]]</f>
        <v>23750</v>
      </c>
    </row>
    <row r="805" spans="1:20" x14ac:dyDescent="0.3">
      <c r="A805">
        <v>750</v>
      </c>
      <c r="B805" s="1">
        <v>45677</v>
      </c>
      <c r="C805">
        <v>66</v>
      </c>
      <c r="D805">
        <v>2</v>
      </c>
      <c r="E805">
        <v>192</v>
      </c>
      <c r="F805" t="s">
        <v>412</v>
      </c>
      <c r="G805" t="s">
        <v>413</v>
      </c>
      <c r="H805" t="s">
        <v>42</v>
      </c>
      <c r="I805">
        <v>18</v>
      </c>
      <c r="J805" t="s">
        <v>27</v>
      </c>
      <c r="K805" t="str">
        <f>_xlfn.XLOOKUP( ventas[[#This Row],[ciudad_cliente]],  ciudades[Ciudad], ciudades[Region])</f>
        <v>Biobío</v>
      </c>
      <c r="L805" t="s">
        <v>22</v>
      </c>
      <c r="M805" t="s">
        <v>98</v>
      </c>
      <c r="N805" t="str">
        <f>_xlfn.XLOOKUP(ventas[[#This Row],[producto]], categ[Producto], categ[Categoria])</f>
        <v>Calzado</v>
      </c>
      <c r="O805">
        <v>55000</v>
      </c>
      <c r="P805">
        <v>2</v>
      </c>
      <c r="Q805" s="11">
        <v>0.1</v>
      </c>
      <c r="R805">
        <f>(ventas[[#This Row],[precio_unitario]]*ventas[[#This Row],[cantidad]])</f>
        <v>110000</v>
      </c>
      <c r="S805">
        <f>ventas[[#This Row],[Total_Productos]]*ventas[[#This Row],[descuento_pct]]</f>
        <v>11000</v>
      </c>
      <c r="T805">
        <f>ventas[[#This Row],[Total_Productos]]-ventas[[#This Row],[Valor_descuento]]</f>
        <v>99000</v>
      </c>
    </row>
    <row r="806" spans="1:20" x14ac:dyDescent="0.3">
      <c r="A806">
        <v>307</v>
      </c>
      <c r="B806" s="1">
        <v>45234</v>
      </c>
      <c r="C806">
        <v>64</v>
      </c>
      <c r="D806">
        <v>4</v>
      </c>
      <c r="E806">
        <v>149</v>
      </c>
      <c r="F806" t="s">
        <v>440</v>
      </c>
      <c r="G806" t="s">
        <v>441</v>
      </c>
      <c r="H806" t="s">
        <v>42</v>
      </c>
      <c r="I806">
        <v>44</v>
      </c>
      <c r="J806" t="s">
        <v>20</v>
      </c>
      <c r="K806" t="str">
        <f>_xlfn.XLOOKUP( ventas[[#This Row],[ciudad_cliente]],  ciudades[Ciudad], ciudades[Region])</f>
        <v>La Araucanía</v>
      </c>
      <c r="L806" t="s">
        <v>29</v>
      </c>
      <c r="M806" t="s">
        <v>98</v>
      </c>
      <c r="N806" t="str">
        <f>_xlfn.XLOOKUP(ventas[[#This Row],[producto]], categ[Producto], categ[Categoria])</f>
        <v>Calzado</v>
      </c>
      <c r="O806">
        <v>55000</v>
      </c>
      <c r="P806">
        <v>1</v>
      </c>
      <c r="Q806" s="11">
        <v>0.05</v>
      </c>
      <c r="R806">
        <f>(ventas[[#This Row],[precio_unitario]]*ventas[[#This Row],[cantidad]])</f>
        <v>55000</v>
      </c>
      <c r="S806">
        <f>ventas[[#This Row],[Total_Productos]]*ventas[[#This Row],[descuento_pct]]</f>
        <v>2750</v>
      </c>
      <c r="T806">
        <f>ventas[[#This Row],[Total_Productos]]-ventas[[#This Row],[Valor_descuento]]</f>
        <v>52250</v>
      </c>
    </row>
    <row r="807" spans="1:20" x14ac:dyDescent="0.3">
      <c r="A807">
        <v>477</v>
      </c>
      <c r="B807" s="1">
        <v>45404</v>
      </c>
      <c r="C807">
        <v>63</v>
      </c>
      <c r="D807">
        <v>5</v>
      </c>
      <c r="E807">
        <v>149</v>
      </c>
      <c r="F807" t="s">
        <v>440</v>
      </c>
      <c r="G807" t="s">
        <v>441</v>
      </c>
      <c r="H807" t="s">
        <v>42</v>
      </c>
      <c r="I807">
        <v>44</v>
      </c>
      <c r="J807" t="s">
        <v>101</v>
      </c>
      <c r="K807" t="str">
        <f>_xlfn.XLOOKUP( ventas[[#This Row],[ciudad_cliente]],  ciudades[Ciudad], ciudades[Region])</f>
        <v>O'Higgins</v>
      </c>
      <c r="L807" t="s">
        <v>22</v>
      </c>
      <c r="M807" t="s">
        <v>49</v>
      </c>
      <c r="N807" t="str">
        <f>_xlfn.XLOOKUP(ventas[[#This Row],[producto]], categ[Producto], categ[Categoria])</f>
        <v>Electrohogar</v>
      </c>
      <c r="O807">
        <v>800000</v>
      </c>
      <c r="P807">
        <v>2</v>
      </c>
      <c r="Q807" s="11">
        <v>0.1</v>
      </c>
      <c r="R807">
        <f>(ventas[[#This Row],[precio_unitario]]*ventas[[#This Row],[cantidad]])</f>
        <v>1600000</v>
      </c>
      <c r="S807">
        <f>ventas[[#This Row],[Total_Productos]]*ventas[[#This Row],[descuento_pct]]</f>
        <v>160000</v>
      </c>
      <c r="T807">
        <f>ventas[[#This Row],[Total_Productos]]-ventas[[#This Row],[Valor_descuento]]</f>
        <v>1440000</v>
      </c>
    </row>
    <row r="808" spans="1:20" x14ac:dyDescent="0.3">
      <c r="A808">
        <v>948</v>
      </c>
      <c r="B808" s="1">
        <v>45875</v>
      </c>
      <c r="C808">
        <v>58</v>
      </c>
      <c r="D808">
        <v>1</v>
      </c>
      <c r="E808">
        <v>149</v>
      </c>
      <c r="F808" t="s">
        <v>440</v>
      </c>
      <c r="G808" t="s">
        <v>441</v>
      </c>
      <c r="H808" t="s">
        <v>42</v>
      </c>
      <c r="I808">
        <v>44</v>
      </c>
      <c r="J808" t="s">
        <v>76</v>
      </c>
      <c r="K808" t="str">
        <f>_xlfn.XLOOKUP( ventas[[#This Row],[ciudad_cliente]],  ciudades[Ciudad], ciudades[Region])</f>
        <v>Los Lagos</v>
      </c>
      <c r="L808" t="s">
        <v>22</v>
      </c>
      <c r="M808" t="s">
        <v>102</v>
      </c>
      <c r="N808" t="str">
        <f>_xlfn.XLOOKUP(ventas[[#This Row],[producto]], categ[Producto], categ[Categoria])</f>
        <v>Vestuario</v>
      </c>
      <c r="O808">
        <v>12000</v>
      </c>
      <c r="P808">
        <v>3</v>
      </c>
      <c r="Q808" s="11">
        <v>0</v>
      </c>
      <c r="R808">
        <f>(ventas[[#This Row],[precio_unitario]]*ventas[[#This Row],[cantidad]])</f>
        <v>36000</v>
      </c>
      <c r="S808">
        <f>ventas[[#This Row],[Total_Productos]]*ventas[[#This Row],[descuento_pct]]</f>
        <v>0</v>
      </c>
      <c r="T808">
        <f>ventas[[#This Row],[Total_Productos]]-ventas[[#This Row],[Valor_descuento]]</f>
        <v>36000</v>
      </c>
    </row>
    <row r="809" spans="1:20" x14ac:dyDescent="0.3">
      <c r="A809">
        <v>158</v>
      </c>
      <c r="B809" s="1">
        <v>45085</v>
      </c>
      <c r="C809">
        <v>41</v>
      </c>
      <c r="D809">
        <v>4</v>
      </c>
      <c r="E809">
        <v>34</v>
      </c>
      <c r="F809" t="s">
        <v>302</v>
      </c>
      <c r="G809" t="s">
        <v>303</v>
      </c>
      <c r="H809" t="s">
        <v>42</v>
      </c>
      <c r="I809">
        <v>25</v>
      </c>
      <c r="J809" t="s">
        <v>43</v>
      </c>
      <c r="K809" t="str">
        <f>_xlfn.XLOOKUP( ventas[[#This Row],[ciudad_cliente]],  ciudades[Ciudad], ciudades[Region])</f>
        <v>Antofagasta</v>
      </c>
      <c r="L809" t="s">
        <v>38</v>
      </c>
      <c r="M809" t="s">
        <v>62</v>
      </c>
      <c r="N809" t="str">
        <f>_xlfn.XLOOKUP(ventas[[#This Row],[producto]], categ[Producto], categ[Categoria])</f>
        <v>Electrohogar</v>
      </c>
      <c r="O809">
        <v>650000</v>
      </c>
      <c r="P809">
        <v>2</v>
      </c>
      <c r="Q809" s="11">
        <v>0.1</v>
      </c>
      <c r="R809">
        <f>(ventas[[#This Row],[precio_unitario]]*ventas[[#This Row],[cantidad]])</f>
        <v>1300000</v>
      </c>
      <c r="S809">
        <f>ventas[[#This Row],[Total_Productos]]*ventas[[#This Row],[descuento_pct]]</f>
        <v>130000</v>
      </c>
      <c r="T809">
        <f>ventas[[#This Row],[Total_Productos]]-ventas[[#This Row],[Valor_descuento]]</f>
        <v>1170000</v>
      </c>
    </row>
    <row r="810" spans="1:20" x14ac:dyDescent="0.3">
      <c r="A810">
        <v>851</v>
      </c>
      <c r="B810" s="1">
        <v>45778</v>
      </c>
      <c r="C810">
        <v>56</v>
      </c>
      <c r="D810">
        <v>2</v>
      </c>
      <c r="E810">
        <v>34</v>
      </c>
      <c r="F810" t="s">
        <v>302</v>
      </c>
      <c r="G810" t="s">
        <v>303</v>
      </c>
      <c r="H810" t="s">
        <v>42</v>
      </c>
      <c r="I810">
        <v>25</v>
      </c>
      <c r="J810" t="s">
        <v>27</v>
      </c>
      <c r="K810" t="str">
        <f>_xlfn.XLOOKUP( ventas[[#This Row],[ciudad_cliente]],  ciudades[Ciudad], ciudades[Region])</f>
        <v>Biobío</v>
      </c>
      <c r="L810" t="s">
        <v>38</v>
      </c>
      <c r="M810" t="s">
        <v>56</v>
      </c>
      <c r="N810" t="str">
        <f>_xlfn.XLOOKUP(ventas[[#This Row],[producto]], categ[Producto], categ[Categoria])</f>
        <v>Vestuario</v>
      </c>
      <c r="O810">
        <v>25000</v>
      </c>
      <c r="P810">
        <v>3</v>
      </c>
      <c r="Q810" s="11">
        <v>0.05</v>
      </c>
      <c r="R810">
        <f>(ventas[[#This Row],[precio_unitario]]*ventas[[#This Row],[cantidad]])</f>
        <v>75000</v>
      </c>
      <c r="S810">
        <f>ventas[[#This Row],[Total_Productos]]*ventas[[#This Row],[descuento_pct]]</f>
        <v>3750</v>
      </c>
      <c r="T810">
        <f>ventas[[#This Row],[Total_Productos]]-ventas[[#This Row],[Valor_descuento]]</f>
        <v>71250</v>
      </c>
    </row>
    <row r="811" spans="1:20" x14ac:dyDescent="0.3">
      <c r="A811">
        <v>231</v>
      </c>
      <c r="B811" s="1">
        <v>45158</v>
      </c>
      <c r="C811">
        <v>66</v>
      </c>
      <c r="D811">
        <v>2</v>
      </c>
      <c r="E811">
        <v>279</v>
      </c>
      <c r="F811" t="s">
        <v>382</v>
      </c>
      <c r="G811" t="s">
        <v>383</v>
      </c>
      <c r="H811" t="s">
        <v>42</v>
      </c>
      <c r="I811">
        <v>38</v>
      </c>
      <c r="J811" t="s">
        <v>27</v>
      </c>
      <c r="K811" t="str">
        <f>_xlfn.XLOOKUP( ventas[[#This Row],[ciudad_cliente]],  ciudades[Ciudad], ciudades[Region])</f>
        <v>Biobío</v>
      </c>
      <c r="L811" t="s">
        <v>29</v>
      </c>
      <c r="M811" t="s">
        <v>46</v>
      </c>
      <c r="N811" t="str">
        <f>_xlfn.XLOOKUP(ventas[[#This Row],[producto]], categ[Producto], categ[Categoria])</f>
        <v>Tecnología</v>
      </c>
      <c r="O811">
        <v>750000</v>
      </c>
      <c r="P811">
        <v>2</v>
      </c>
      <c r="Q811" s="11">
        <v>0</v>
      </c>
      <c r="R811">
        <f>(ventas[[#This Row],[precio_unitario]]*ventas[[#This Row],[cantidad]])</f>
        <v>1500000</v>
      </c>
      <c r="S811">
        <f>ventas[[#This Row],[Total_Productos]]*ventas[[#This Row],[descuento_pct]]</f>
        <v>0</v>
      </c>
      <c r="T811">
        <f>ventas[[#This Row],[Total_Productos]]-ventas[[#This Row],[Valor_descuento]]</f>
        <v>1500000</v>
      </c>
    </row>
    <row r="812" spans="1:20" x14ac:dyDescent="0.3">
      <c r="A812">
        <v>498</v>
      </c>
      <c r="B812" s="1">
        <v>45425</v>
      </c>
      <c r="C812">
        <v>29</v>
      </c>
      <c r="D812">
        <v>1</v>
      </c>
      <c r="E812">
        <v>279</v>
      </c>
      <c r="F812" t="s">
        <v>382</v>
      </c>
      <c r="G812" t="s">
        <v>383</v>
      </c>
      <c r="H812" t="s">
        <v>42</v>
      </c>
      <c r="I812">
        <v>38</v>
      </c>
      <c r="J812" t="s">
        <v>116</v>
      </c>
      <c r="K812" t="str">
        <f>_xlfn.XLOOKUP( ventas[[#This Row],[ciudad_cliente]],  ciudades[Ciudad], ciudades[Region])</f>
        <v>Valparaíso</v>
      </c>
      <c r="L812" t="s">
        <v>29</v>
      </c>
      <c r="M812" t="s">
        <v>56</v>
      </c>
      <c r="N812" t="str">
        <f>_xlfn.XLOOKUP(ventas[[#This Row],[producto]], categ[Producto], categ[Categoria])</f>
        <v>Vestuario</v>
      </c>
      <c r="O812">
        <v>25000</v>
      </c>
      <c r="P812">
        <v>2</v>
      </c>
      <c r="Q812" s="11">
        <v>0</v>
      </c>
      <c r="R812">
        <f>(ventas[[#This Row],[precio_unitario]]*ventas[[#This Row],[cantidad]])</f>
        <v>50000</v>
      </c>
      <c r="S812">
        <f>ventas[[#This Row],[Total_Productos]]*ventas[[#This Row],[descuento_pct]]</f>
        <v>0</v>
      </c>
      <c r="T812">
        <f>ventas[[#This Row],[Total_Productos]]-ventas[[#This Row],[Valor_descuento]]</f>
        <v>50000</v>
      </c>
    </row>
    <row r="813" spans="1:20" x14ac:dyDescent="0.3">
      <c r="A813">
        <v>526</v>
      </c>
      <c r="B813" s="1">
        <v>45453</v>
      </c>
      <c r="C813">
        <v>40</v>
      </c>
      <c r="D813">
        <v>1</v>
      </c>
      <c r="E813">
        <v>279</v>
      </c>
      <c r="F813" t="s">
        <v>382</v>
      </c>
      <c r="G813" t="s">
        <v>383</v>
      </c>
      <c r="H813" t="s">
        <v>42</v>
      </c>
      <c r="I813">
        <v>38</v>
      </c>
      <c r="J813" t="s">
        <v>27</v>
      </c>
      <c r="K813" t="str">
        <f>_xlfn.XLOOKUP( ventas[[#This Row],[ciudad_cliente]],  ciudades[Ciudad], ciudades[Region])</f>
        <v>Biobío</v>
      </c>
      <c r="L813" t="s">
        <v>38</v>
      </c>
      <c r="M813" t="s">
        <v>62</v>
      </c>
      <c r="N813" t="str">
        <f>_xlfn.XLOOKUP(ventas[[#This Row],[producto]], categ[Producto], categ[Categoria])</f>
        <v>Electrohogar</v>
      </c>
      <c r="O813">
        <v>650000</v>
      </c>
      <c r="P813">
        <v>3</v>
      </c>
      <c r="Q813" s="11">
        <v>0</v>
      </c>
      <c r="R813">
        <f>(ventas[[#This Row],[precio_unitario]]*ventas[[#This Row],[cantidad]])</f>
        <v>1950000</v>
      </c>
      <c r="S813">
        <f>ventas[[#This Row],[Total_Productos]]*ventas[[#This Row],[descuento_pct]]</f>
        <v>0</v>
      </c>
      <c r="T813">
        <f>ventas[[#This Row],[Total_Productos]]-ventas[[#This Row],[Valor_descuento]]</f>
        <v>1950000</v>
      </c>
    </row>
    <row r="814" spans="1:20" x14ac:dyDescent="0.3">
      <c r="A814">
        <v>854</v>
      </c>
      <c r="B814" s="1">
        <v>45781</v>
      </c>
      <c r="C814">
        <v>31</v>
      </c>
      <c r="D814">
        <v>4</v>
      </c>
      <c r="E814">
        <v>279</v>
      </c>
      <c r="F814" t="s">
        <v>382</v>
      </c>
      <c r="G814" t="s">
        <v>383</v>
      </c>
      <c r="H814" t="s">
        <v>42</v>
      </c>
      <c r="I814">
        <v>38</v>
      </c>
      <c r="J814" t="s">
        <v>101</v>
      </c>
      <c r="K814" t="str">
        <f>_xlfn.XLOOKUP( ventas[[#This Row],[ciudad_cliente]],  ciudades[Ciudad], ciudades[Region])</f>
        <v>O'Higgins</v>
      </c>
      <c r="L814" t="s">
        <v>38</v>
      </c>
      <c r="M814" t="s">
        <v>62</v>
      </c>
      <c r="N814" t="str">
        <f>_xlfn.XLOOKUP(ventas[[#This Row],[producto]], categ[Producto], categ[Categoria])</f>
        <v>Electrohogar</v>
      </c>
      <c r="O814">
        <v>650000</v>
      </c>
      <c r="P814">
        <v>1</v>
      </c>
      <c r="Q814" s="11">
        <v>0.05</v>
      </c>
      <c r="R814">
        <f>(ventas[[#This Row],[precio_unitario]]*ventas[[#This Row],[cantidad]])</f>
        <v>650000</v>
      </c>
      <c r="S814">
        <f>ventas[[#This Row],[Total_Productos]]*ventas[[#This Row],[descuento_pct]]</f>
        <v>32500</v>
      </c>
      <c r="T814">
        <f>ventas[[#This Row],[Total_Productos]]-ventas[[#This Row],[Valor_descuento]]</f>
        <v>617500</v>
      </c>
    </row>
    <row r="815" spans="1:20" x14ac:dyDescent="0.3">
      <c r="A815">
        <v>875</v>
      </c>
      <c r="B815" s="1">
        <v>45802</v>
      </c>
      <c r="C815">
        <v>17</v>
      </c>
      <c r="D815">
        <v>0</v>
      </c>
      <c r="E815">
        <v>279</v>
      </c>
      <c r="F815" t="s">
        <v>382</v>
      </c>
      <c r="G815" t="s">
        <v>383</v>
      </c>
      <c r="H815" t="s">
        <v>42</v>
      </c>
      <c r="I815">
        <v>38</v>
      </c>
      <c r="J815" t="s">
        <v>34</v>
      </c>
      <c r="K815" t="str">
        <f>_xlfn.XLOOKUP( ventas[[#This Row],[ciudad_cliente]],  ciudades[Ciudad], ciudades[Region])</f>
        <v>Metropolitana</v>
      </c>
      <c r="L815" t="s">
        <v>29</v>
      </c>
      <c r="M815" t="s">
        <v>62</v>
      </c>
      <c r="N815" t="str">
        <f>_xlfn.XLOOKUP(ventas[[#This Row],[producto]], categ[Producto], categ[Categoria])</f>
        <v>Electrohogar</v>
      </c>
      <c r="O815">
        <v>650000</v>
      </c>
      <c r="P815">
        <v>1</v>
      </c>
      <c r="Q815" s="11">
        <v>0.05</v>
      </c>
      <c r="R815">
        <f>(ventas[[#This Row],[precio_unitario]]*ventas[[#This Row],[cantidad]])</f>
        <v>650000</v>
      </c>
      <c r="S815">
        <f>ventas[[#This Row],[Total_Productos]]*ventas[[#This Row],[descuento_pct]]</f>
        <v>32500</v>
      </c>
      <c r="T815">
        <f>ventas[[#This Row],[Total_Productos]]-ventas[[#This Row],[Valor_descuento]]</f>
        <v>617500</v>
      </c>
    </row>
    <row r="816" spans="1:20" x14ac:dyDescent="0.3">
      <c r="A816">
        <v>904</v>
      </c>
      <c r="B816" s="1">
        <v>45831</v>
      </c>
      <c r="C816">
        <v>64</v>
      </c>
      <c r="D816">
        <v>4</v>
      </c>
      <c r="E816">
        <v>279</v>
      </c>
      <c r="F816" t="s">
        <v>382</v>
      </c>
      <c r="G816" t="s">
        <v>383</v>
      </c>
      <c r="H816" t="s">
        <v>42</v>
      </c>
      <c r="I816">
        <v>38</v>
      </c>
      <c r="J816" t="s">
        <v>20</v>
      </c>
      <c r="K816" t="str">
        <f>_xlfn.XLOOKUP( ventas[[#This Row],[ciudad_cliente]],  ciudades[Ciudad], ciudades[Region])</f>
        <v>La Araucanía</v>
      </c>
      <c r="L816" t="s">
        <v>38</v>
      </c>
      <c r="M816" t="s">
        <v>56</v>
      </c>
      <c r="N816" t="str">
        <f>_xlfn.XLOOKUP(ventas[[#This Row],[producto]], categ[Producto], categ[Categoria])</f>
        <v>Vestuario</v>
      </c>
      <c r="O816">
        <v>25000</v>
      </c>
      <c r="P816">
        <v>2</v>
      </c>
      <c r="Q816" s="11">
        <v>0</v>
      </c>
      <c r="R816">
        <f>(ventas[[#This Row],[precio_unitario]]*ventas[[#This Row],[cantidad]])</f>
        <v>50000</v>
      </c>
      <c r="S816">
        <f>ventas[[#This Row],[Total_Productos]]*ventas[[#This Row],[descuento_pct]]</f>
        <v>0</v>
      </c>
      <c r="T816">
        <f>ventas[[#This Row],[Total_Productos]]-ventas[[#This Row],[Valor_descuento]]</f>
        <v>50000</v>
      </c>
    </row>
    <row r="817" spans="1:20" x14ac:dyDescent="0.3">
      <c r="A817">
        <v>968</v>
      </c>
      <c r="B817" s="1">
        <v>45895</v>
      </c>
      <c r="C817">
        <v>43</v>
      </c>
      <c r="D817">
        <v>0</v>
      </c>
      <c r="E817">
        <v>279</v>
      </c>
      <c r="F817" t="s">
        <v>382</v>
      </c>
      <c r="G817" t="s">
        <v>383</v>
      </c>
      <c r="H817" t="s">
        <v>42</v>
      </c>
      <c r="I817">
        <v>38</v>
      </c>
      <c r="J817" t="s">
        <v>34</v>
      </c>
      <c r="K817" t="str">
        <f>_xlfn.XLOOKUP( ventas[[#This Row],[ciudad_cliente]],  ciudades[Ciudad], ciudades[Region])</f>
        <v>Metropolitana</v>
      </c>
      <c r="L817" t="s">
        <v>38</v>
      </c>
      <c r="M817" t="s">
        <v>49</v>
      </c>
      <c r="N817" t="str">
        <f>_xlfn.XLOOKUP(ventas[[#This Row],[producto]], categ[Producto], categ[Categoria])</f>
        <v>Electrohogar</v>
      </c>
      <c r="O817">
        <v>800000</v>
      </c>
      <c r="P817">
        <v>3</v>
      </c>
      <c r="Q817" s="11">
        <v>0</v>
      </c>
      <c r="R817">
        <f>(ventas[[#This Row],[precio_unitario]]*ventas[[#This Row],[cantidad]])</f>
        <v>2400000</v>
      </c>
      <c r="S817">
        <f>ventas[[#This Row],[Total_Productos]]*ventas[[#This Row],[descuento_pct]]</f>
        <v>0</v>
      </c>
      <c r="T817">
        <f>ventas[[#This Row],[Total_Productos]]-ventas[[#This Row],[Valor_descuento]]</f>
        <v>2400000</v>
      </c>
    </row>
    <row r="818" spans="1:20" x14ac:dyDescent="0.3">
      <c r="A818">
        <v>344</v>
      </c>
      <c r="B818" s="1">
        <v>45271</v>
      </c>
      <c r="C818">
        <v>21</v>
      </c>
      <c r="D818">
        <v>5</v>
      </c>
      <c r="E818">
        <v>265</v>
      </c>
      <c r="F818" t="s">
        <v>472</v>
      </c>
      <c r="G818" t="s">
        <v>473</v>
      </c>
      <c r="H818" t="s">
        <v>42</v>
      </c>
      <c r="I818">
        <v>34</v>
      </c>
      <c r="J818" t="s">
        <v>76</v>
      </c>
      <c r="K818" t="str">
        <f>_xlfn.XLOOKUP( ventas[[#This Row],[ciudad_cliente]],  ciudades[Ciudad], ciudades[Region])</f>
        <v>Los Lagos</v>
      </c>
      <c r="L818" t="s">
        <v>38</v>
      </c>
      <c r="M818" t="s">
        <v>62</v>
      </c>
      <c r="N818" t="str">
        <f>_xlfn.XLOOKUP(ventas[[#This Row],[producto]], categ[Producto], categ[Categoria])</f>
        <v>Electrohogar</v>
      </c>
      <c r="O818">
        <v>650000</v>
      </c>
      <c r="P818">
        <v>1</v>
      </c>
      <c r="Q818" s="11">
        <v>0.05</v>
      </c>
      <c r="R818">
        <f>(ventas[[#This Row],[precio_unitario]]*ventas[[#This Row],[cantidad]])</f>
        <v>650000</v>
      </c>
      <c r="S818">
        <f>ventas[[#This Row],[Total_Productos]]*ventas[[#This Row],[descuento_pct]]</f>
        <v>32500</v>
      </c>
      <c r="T818">
        <f>ventas[[#This Row],[Total_Productos]]-ventas[[#This Row],[Valor_descuento]]</f>
        <v>617500</v>
      </c>
    </row>
    <row r="819" spans="1:20" x14ac:dyDescent="0.3">
      <c r="A819">
        <v>423</v>
      </c>
      <c r="B819" s="1">
        <v>45350</v>
      </c>
      <c r="C819">
        <v>9</v>
      </c>
      <c r="D819">
        <v>9</v>
      </c>
      <c r="E819">
        <v>265</v>
      </c>
      <c r="F819" t="s">
        <v>472</v>
      </c>
      <c r="G819" t="s">
        <v>473</v>
      </c>
      <c r="H819" t="s">
        <v>42</v>
      </c>
      <c r="I819">
        <v>34</v>
      </c>
      <c r="J819" t="s">
        <v>37</v>
      </c>
      <c r="K819" t="str">
        <f>_xlfn.XLOOKUP( ventas[[#This Row],[ciudad_cliente]],  ciudades[Ciudad], ciudades[Region])</f>
        <v>Valparaíso</v>
      </c>
      <c r="L819" t="s">
        <v>29</v>
      </c>
      <c r="M819" t="s">
        <v>46</v>
      </c>
      <c r="N819" t="str">
        <f>_xlfn.XLOOKUP(ventas[[#This Row],[producto]], categ[Producto], categ[Categoria])</f>
        <v>Tecnología</v>
      </c>
      <c r="O819">
        <v>750000</v>
      </c>
      <c r="P819">
        <v>2</v>
      </c>
      <c r="Q819" s="11">
        <v>0</v>
      </c>
      <c r="R819">
        <f>(ventas[[#This Row],[precio_unitario]]*ventas[[#This Row],[cantidad]])</f>
        <v>1500000</v>
      </c>
      <c r="S819">
        <f>ventas[[#This Row],[Total_Productos]]*ventas[[#This Row],[descuento_pct]]</f>
        <v>0</v>
      </c>
      <c r="T819">
        <f>ventas[[#This Row],[Total_Productos]]-ventas[[#This Row],[Valor_descuento]]</f>
        <v>1500000</v>
      </c>
    </row>
    <row r="820" spans="1:20" x14ac:dyDescent="0.3">
      <c r="A820">
        <v>825</v>
      </c>
      <c r="B820" s="1">
        <v>45752</v>
      </c>
      <c r="C820">
        <v>49</v>
      </c>
      <c r="D820">
        <v>1</v>
      </c>
      <c r="E820">
        <v>265</v>
      </c>
      <c r="F820" t="s">
        <v>472</v>
      </c>
      <c r="G820" t="s">
        <v>473</v>
      </c>
      <c r="H820" t="s">
        <v>42</v>
      </c>
      <c r="I820">
        <v>34</v>
      </c>
      <c r="J820" t="s">
        <v>43</v>
      </c>
      <c r="K820" t="str">
        <f>_xlfn.XLOOKUP( ventas[[#This Row],[ciudad_cliente]],  ciudades[Ciudad], ciudades[Region])</f>
        <v>Antofagasta</v>
      </c>
      <c r="L820" t="s">
        <v>22</v>
      </c>
      <c r="M820" t="s">
        <v>62</v>
      </c>
      <c r="N820" t="str">
        <f>_xlfn.XLOOKUP(ventas[[#This Row],[producto]], categ[Producto], categ[Categoria])</f>
        <v>Electrohogar</v>
      </c>
      <c r="O820">
        <v>650000</v>
      </c>
      <c r="P820">
        <v>1</v>
      </c>
      <c r="Q820" s="11">
        <v>0.05</v>
      </c>
      <c r="R820">
        <f>(ventas[[#This Row],[precio_unitario]]*ventas[[#This Row],[cantidad]])</f>
        <v>650000</v>
      </c>
      <c r="S820">
        <f>ventas[[#This Row],[Total_Productos]]*ventas[[#This Row],[descuento_pct]]</f>
        <v>32500</v>
      </c>
      <c r="T820">
        <f>ventas[[#This Row],[Total_Productos]]-ventas[[#This Row],[Valor_descuento]]</f>
        <v>617500</v>
      </c>
    </row>
    <row r="821" spans="1:20" x14ac:dyDescent="0.3">
      <c r="A821">
        <v>966</v>
      </c>
      <c r="B821" s="1">
        <v>45893</v>
      </c>
      <c r="C821">
        <v>27</v>
      </c>
      <c r="D821">
        <v>4</v>
      </c>
      <c r="E821">
        <v>265</v>
      </c>
      <c r="F821" t="s">
        <v>472</v>
      </c>
      <c r="G821" t="s">
        <v>473</v>
      </c>
      <c r="H821" t="s">
        <v>42</v>
      </c>
      <c r="I821">
        <v>34</v>
      </c>
      <c r="J821" t="s">
        <v>116</v>
      </c>
      <c r="K821" t="str">
        <f>_xlfn.XLOOKUP( ventas[[#This Row],[ciudad_cliente]],  ciudades[Ciudad], ciudades[Region])</f>
        <v>Valparaíso</v>
      </c>
      <c r="L821" t="s">
        <v>38</v>
      </c>
      <c r="M821" t="s">
        <v>39</v>
      </c>
      <c r="N821" t="str">
        <f>_xlfn.XLOOKUP(ventas[[#This Row],[producto]], categ[Producto], categ[Categoria])</f>
        <v>Belleza</v>
      </c>
      <c r="O821">
        <v>35000</v>
      </c>
      <c r="P821">
        <v>1</v>
      </c>
      <c r="Q821" s="11">
        <v>0.05</v>
      </c>
      <c r="R821">
        <f>(ventas[[#This Row],[precio_unitario]]*ventas[[#This Row],[cantidad]])</f>
        <v>35000</v>
      </c>
      <c r="S821">
        <f>ventas[[#This Row],[Total_Productos]]*ventas[[#This Row],[descuento_pct]]</f>
        <v>1750</v>
      </c>
      <c r="T821">
        <f>ventas[[#This Row],[Total_Productos]]-ventas[[#This Row],[Valor_descuento]]</f>
        <v>33250</v>
      </c>
    </row>
    <row r="822" spans="1:20" x14ac:dyDescent="0.3">
      <c r="A822">
        <v>19</v>
      </c>
      <c r="B822" s="1">
        <v>44946</v>
      </c>
      <c r="C822">
        <v>6</v>
      </c>
      <c r="D822">
        <v>2</v>
      </c>
      <c r="E822">
        <v>39</v>
      </c>
      <c r="F822" t="s">
        <v>80</v>
      </c>
      <c r="G822" t="s">
        <v>81</v>
      </c>
      <c r="H822" t="s">
        <v>19</v>
      </c>
      <c r="I822">
        <v>22</v>
      </c>
      <c r="J822" t="s">
        <v>52</v>
      </c>
      <c r="K822" t="str">
        <f>_xlfn.XLOOKUP( ventas[[#This Row],[ciudad_cliente]],  ciudades[Ciudad], ciudades[Region])</f>
        <v>Biobío</v>
      </c>
      <c r="L822" t="s">
        <v>29</v>
      </c>
      <c r="M822" t="s">
        <v>46</v>
      </c>
      <c r="N822" t="str">
        <f>_xlfn.XLOOKUP(ventas[[#This Row],[producto]], categ[Producto], categ[Categoria])</f>
        <v>Tecnología</v>
      </c>
      <c r="O822">
        <v>750000</v>
      </c>
      <c r="P822">
        <v>1</v>
      </c>
      <c r="Q822" s="11">
        <v>0.1</v>
      </c>
      <c r="R822">
        <f>(ventas[[#This Row],[precio_unitario]]*ventas[[#This Row],[cantidad]])</f>
        <v>750000</v>
      </c>
      <c r="S822">
        <f>ventas[[#This Row],[Total_Productos]]*ventas[[#This Row],[descuento_pct]]</f>
        <v>75000</v>
      </c>
      <c r="T822">
        <f>ventas[[#This Row],[Total_Productos]]-ventas[[#This Row],[Valor_descuento]]</f>
        <v>675000</v>
      </c>
    </row>
    <row r="823" spans="1:20" x14ac:dyDescent="0.3">
      <c r="A823">
        <v>893</v>
      </c>
      <c r="B823" s="1">
        <v>45820</v>
      </c>
      <c r="C823">
        <v>27</v>
      </c>
      <c r="D823">
        <v>4</v>
      </c>
      <c r="E823">
        <v>39</v>
      </c>
      <c r="F823" t="s">
        <v>80</v>
      </c>
      <c r="G823" t="s">
        <v>81</v>
      </c>
      <c r="H823" t="s">
        <v>19</v>
      </c>
      <c r="I823">
        <v>22</v>
      </c>
      <c r="J823" t="s">
        <v>116</v>
      </c>
      <c r="K823" t="str">
        <f>_xlfn.XLOOKUP( ventas[[#This Row],[ciudad_cliente]],  ciudades[Ciudad], ciudades[Region])</f>
        <v>Valparaíso</v>
      </c>
      <c r="L823" t="s">
        <v>22</v>
      </c>
      <c r="M823" t="s">
        <v>98</v>
      </c>
      <c r="N823" t="str">
        <f>_xlfn.XLOOKUP(ventas[[#This Row],[producto]], categ[Producto], categ[Categoria])</f>
        <v>Calzado</v>
      </c>
      <c r="O823">
        <v>55000</v>
      </c>
      <c r="P823">
        <v>3</v>
      </c>
      <c r="Q823" s="11">
        <v>0.05</v>
      </c>
      <c r="R823">
        <f>(ventas[[#This Row],[precio_unitario]]*ventas[[#This Row],[cantidad]])</f>
        <v>165000</v>
      </c>
      <c r="S823">
        <f>ventas[[#This Row],[Total_Productos]]*ventas[[#This Row],[descuento_pct]]</f>
        <v>8250</v>
      </c>
      <c r="T823">
        <f>ventas[[#This Row],[Total_Productos]]-ventas[[#This Row],[Valor_descuento]]</f>
        <v>156750</v>
      </c>
    </row>
    <row r="824" spans="1:20" x14ac:dyDescent="0.3">
      <c r="A824">
        <v>917</v>
      </c>
      <c r="B824" s="1">
        <v>45844</v>
      </c>
      <c r="C824">
        <v>6</v>
      </c>
      <c r="D824">
        <v>2</v>
      </c>
      <c r="E824">
        <v>235</v>
      </c>
      <c r="F824" t="s">
        <v>600</v>
      </c>
      <c r="G824" t="s">
        <v>601</v>
      </c>
      <c r="H824" t="s">
        <v>42</v>
      </c>
      <c r="I824">
        <v>63</v>
      </c>
      <c r="J824" t="s">
        <v>52</v>
      </c>
      <c r="K824" t="str">
        <f>_xlfn.XLOOKUP( ventas[[#This Row],[ciudad_cliente]],  ciudades[Ciudad], ciudades[Region])</f>
        <v>Biobío</v>
      </c>
      <c r="L824" t="s">
        <v>38</v>
      </c>
      <c r="M824" t="s">
        <v>49</v>
      </c>
      <c r="N824" t="str">
        <f>_xlfn.XLOOKUP(ventas[[#This Row],[producto]], categ[Producto], categ[Categoria])</f>
        <v>Electrohogar</v>
      </c>
      <c r="O824">
        <v>800000</v>
      </c>
      <c r="P824">
        <v>1</v>
      </c>
      <c r="Q824" s="11">
        <v>0.05</v>
      </c>
      <c r="R824">
        <f>(ventas[[#This Row],[precio_unitario]]*ventas[[#This Row],[cantidad]])</f>
        <v>800000</v>
      </c>
      <c r="S824">
        <f>ventas[[#This Row],[Total_Productos]]*ventas[[#This Row],[descuento_pct]]</f>
        <v>40000</v>
      </c>
      <c r="T824">
        <f>ventas[[#This Row],[Total_Productos]]-ventas[[#This Row],[Valor_descuento]]</f>
        <v>760000</v>
      </c>
    </row>
    <row r="825" spans="1:20" x14ac:dyDescent="0.3">
      <c r="A825">
        <v>665</v>
      </c>
      <c r="B825" s="1">
        <v>45592</v>
      </c>
      <c r="C825">
        <v>52</v>
      </c>
      <c r="D825">
        <v>0</v>
      </c>
      <c r="E825">
        <v>183</v>
      </c>
      <c r="F825" t="s">
        <v>568</v>
      </c>
      <c r="G825" t="s">
        <v>569</v>
      </c>
      <c r="H825" t="s">
        <v>42</v>
      </c>
      <c r="I825">
        <v>25</v>
      </c>
      <c r="J825" t="s">
        <v>27</v>
      </c>
      <c r="K825" t="str">
        <f>_xlfn.XLOOKUP( ventas[[#This Row],[ciudad_cliente]],  ciudades[Ciudad], ciudades[Region])</f>
        <v>Biobío</v>
      </c>
      <c r="L825" t="s">
        <v>38</v>
      </c>
      <c r="M825" t="s">
        <v>102</v>
      </c>
      <c r="N825" t="str">
        <f>_xlfn.XLOOKUP(ventas[[#This Row],[producto]], categ[Producto], categ[Categoria])</f>
        <v>Vestuario</v>
      </c>
      <c r="O825">
        <v>12000</v>
      </c>
      <c r="P825">
        <v>2</v>
      </c>
      <c r="Q825" s="11">
        <v>0.05</v>
      </c>
      <c r="R825">
        <f>(ventas[[#This Row],[precio_unitario]]*ventas[[#This Row],[cantidad]])</f>
        <v>24000</v>
      </c>
      <c r="S825">
        <f>ventas[[#This Row],[Total_Productos]]*ventas[[#This Row],[descuento_pct]]</f>
        <v>1200</v>
      </c>
      <c r="T825">
        <f>ventas[[#This Row],[Total_Productos]]-ventas[[#This Row],[Valor_descuento]]</f>
        <v>22800</v>
      </c>
    </row>
    <row r="826" spans="1:20" x14ac:dyDescent="0.3">
      <c r="A826">
        <v>762</v>
      </c>
      <c r="B826" s="1">
        <v>45689</v>
      </c>
      <c r="C826">
        <v>55</v>
      </c>
      <c r="D826">
        <v>9</v>
      </c>
      <c r="E826">
        <v>183</v>
      </c>
      <c r="F826" t="s">
        <v>568</v>
      </c>
      <c r="G826" t="s">
        <v>569</v>
      </c>
      <c r="H826" t="s">
        <v>42</v>
      </c>
      <c r="I826">
        <v>25</v>
      </c>
      <c r="J826" t="s">
        <v>43</v>
      </c>
      <c r="K826" t="str">
        <f>_xlfn.XLOOKUP( ventas[[#This Row],[ciudad_cliente]],  ciudades[Ciudad], ciudades[Region])</f>
        <v>Antofagasta</v>
      </c>
      <c r="L826" t="s">
        <v>38</v>
      </c>
      <c r="M826" t="s">
        <v>69</v>
      </c>
      <c r="N826" t="str">
        <f>_xlfn.XLOOKUP(ventas[[#This Row],[producto]], categ[Producto], categ[Categoria])</f>
        <v>Tecnología</v>
      </c>
      <c r="O826">
        <v>450000</v>
      </c>
      <c r="P826">
        <v>3</v>
      </c>
      <c r="Q826" s="11">
        <v>0</v>
      </c>
      <c r="R826">
        <f>(ventas[[#This Row],[precio_unitario]]*ventas[[#This Row],[cantidad]])</f>
        <v>1350000</v>
      </c>
      <c r="S826">
        <f>ventas[[#This Row],[Total_Productos]]*ventas[[#This Row],[descuento_pct]]</f>
        <v>0</v>
      </c>
      <c r="T826">
        <f>ventas[[#This Row],[Total_Productos]]-ventas[[#This Row],[Valor_descuento]]</f>
        <v>1350000</v>
      </c>
    </row>
    <row r="827" spans="1:20" x14ac:dyDescent="0.3">
      <c r="A827">
        <v>688</v>
      </c>
      <c r="B827" s="1">
        <v>45615</v>
      </c>
      <c r="C827">
        <v>56</v>
      </c>
      <c r="D827">
        <v>2</v>
      </c>
      <c r="E827">
        <v>150</v>
      </c>
      <c r="F827" t="s">
        <v>572</v>
      </c>
      <c r="G827" t="s">
        <v>573</v>
      </c>
      <c r="H827" t="s">
        <v>19</v>
      </c>
      <c r="I827">
        <v>41</v>
      </c>
      <c r="J827" t="s">
        <v>27</v>
      </c>
      <c r="K827" t="str">
        <f>_xlfn.XLOOKUP( ventas[[#This Row],[ciudad_cliente]],  ciudades[Ciudad], ciudades[Region])</f>
        <v>Biobío</v>
      </c>
      <c r="L827" t="s">
        <v>22</v>
      </c>
      <c r="M827" t="s">
        <v>102</v>
      </c>
      <c r="N827" t="str">
        <f>_xlfn.XLOOKUP(ventas[[#This Row],[producto]], categ[Producto], categ[Categoria])</f>
        <v>Vestuario</v>
      </c>
      <c r="O827">
        <v>12000</v>
      </c>
      <c r="P827">
        <v>2</v>
      </c>
      <c r="Q827" s="11">
        <v>0</v>
      </c>
      <c r="R827">
        <f>(ventas[[#This Row],[precio_unitario]]*ventas[[#This Row],[cantidad]])</f>
        <v>24000</v>
      </c>
      <c r="S827">
        <f>ventas[[#This Row],[Total_Productos]]*ventas[[#This Row],[descuento_pct]]</f>
        <v>0</v>
      </c>
      <c r="T827">
        <f>ventas[[#This Row],[Total_Productos]]-ventas[[#This Row],[Valor_descuento]]</f>
        <v>24000</v>
      </c>
    </row>
    <row r="828" spans="1:20" x14ac:dyDescent="0.3">
      <c r="A828">
        <v>809</v>
      </c>
      <c r="B828" s="1">
        <v>45736</v>
      </c>
      <c r="C828">
        <v>49</v>
      </c>
      <c r="D828">
        <v>1</v>
      </c>
      <c r="E828">
        <v>150</v>
      </c>
      <c r="F828" t="s">
        <v>572</v>
      </c>
      <c r="G828" t="s">
        <v>573</v>
      </c>
      <c r="H828" t="s">
        <v>19</v>
      </c>
      <c r="I828">
        <v>41</v>
      </c>
      <c r="J828" t="s">
        <v>43</v>
      </c>
      <c r="K828" t="str">
        <f>_xlfn.XLOOKUP( ventas[[#This Row],[ciudad_cliente]],  ciudades[Ciudad], ciudades[Region])</f>
        <v>Antofagasta</v>
      </c>
      <c r="L828" t="s">
        <v>29</v>
      </c>
      <c r="M828" t="s">
        <v>46</v>
      </c>
      <c r="N828" t="str">
        <f>_xlfn.XLOOKUP(ventas[[#This Row],[producto]], categ[Producto], categ[Categoria])</f>
        <v>Tecnología</v>
      </c>
      <c r="O828">
        <v>750000</v>
      </c>
      <c r="P828">
        <v>2</v>
      </c>
      <c r="Q828" s="11">
        <v>0.1</v>
      </c>
      <c r="R828">
        <f>(ventas[[#This Row],[precio_unitario]]*ventas[[#This Row],[cantidad]])</f>
        <v>1500000</v>
      </c>
      <c r="S828">
        <f>ventas[[#This Row],[Total_Productos]]*ventas[[#This Row],[descuento_pct]]</f>
        <v>150000</v>
      </c>
      <c r="T828">
        <f>ventas[[#This Row],[Total_Productos]]-ventas[[#This Row],[Valor_descuento]]</f>
        <v>1350000</v>
      </c>
    </row>
    <row r="829" spans="1:20" x14ac:dyDescent="0.3">
      <c r="A829">
        <v>821</v>
      </c>
      <c r="B829" s="1">
        <v>45748</v>
      </c>
      <c r="C829">
        <v>65</v>
      </c>
      <c r="D829">
        <v>0</v>
      </c>
      <c r="E829">
        <v>150</v>
      </c>
      <c r="F829" t="s">
        <v>572</v>
      </c>
      <c r="G829" t="s">
        <v>573</v>
      </c>
      <c r="H829" t="s">
        <v>19</v>
      </c>
      <c r="I829">
        <v>41</v>
      </c>
      <c r="J829" t="s">
        <v>101</v>
      </c>
      <c r="K829" t="str">
        <f>_xlfn.XLOOKUP( ventas[[#This Row],[ciudad_cliente]],  ciudades[Ciudad], ciudades[Region])</f>
        <v>O'Higgins</v>
      </c>
      <c r="L829" t="s">
        <v>22</v>
      </c>
      <c r="M829" t="s">
        <v>39</v>
      </c>
      <c r="N829" t="str">
        <f>_xlfn.XLOOKUP(ventas[[#This Row],[producto]], categ[Producto], categ[Categoria])</f>
        <v>Belleza</v>
      </c>
      <c r="O829">
        <v>35000</v>
      </c>
      <c r="P829">
        <v>2</v>
      </c>
      <c r="Q829" s="11">
        <v>0.1</v>
      </c>
      <c r="R829">
        <f>(ventas[[#This Row],[precio_unitario]]*ventas[[#This Row],[cantidad]])</f>
        <v>70000</v>
      </c>
      <c r="S829">
        <f>ventas[[#This Row],[Total_Productos]]*ventas[[#This Row],[descuento_pct]]</f>
        <v>7000</v>
      </c>
      <c r="T829">
        <f>ventas[[#This Row],[Total_Productos]]-ventas[[#This Row],[Valor_descuento]]</f>
        <v>63000</v>
      </c>
    </row>
    <row r="830" spans="1:20" x14ac:dyDescent="0.3">
      <c r="A830">
        <v>965</v>
      </c>
      <c r="B830" s="1">
        <v>45892</v>
      </c>
      <c r="C830">
        <v>61</v>
      </c>
      <c r="D830">
        <v>3</v>
      </c>
      <c r="E830">
        <v>150</v>
      </c>
      <c r="F830" t="s">
        <v>572</v>
      </c>
      <c r="G830" t="s">
        <v>573</v>
      </c>
      <c r="H830" t="s">
        <v>19</v>
      </c>
      <c r="I830">
        <v>41</v>
      </c>
      <c r="J830" t="s">
        <v>52</v>
      </c>
      <c r="K830" t="str">
        <f>_xlfn.XLOOKUP( ventas[[#This Row],[ciudad_cliente]],  ciudades[Ciudad], ciudades[Region])</f>
        <v>Biobío</v>
      </c>
      <c r="L830" t="s">
        <v>29</v>
      </c>
      <c r="M830" t="s">
        <v>23</v>
      </c>
      <c r="N830" t="str">
        <f>_xlfn.XLOOKUP(ventas[[#This Row],[producto]], categ[Producto], categ[Categoria])</f>
        <v>Belleza</v>
      </c>
      <c r="O830">
        <v>15000</v>
      </c>
      <c r="P830">
        <v>3</v>
      </c>
      <c r="Q830" s="11">
        <v>0.1</v>
      </c>
      <c r="R830">
        <f>(ventas[[#This Row],[precio_unitario]]*ventas[[#This Row],[cantidad]])</f>
        <v>45000</v>
      </c>
      <c r="S830">
        <f>ventas[[#This Row],[Total_Productos]]*ventas[[#This Row],[descuento_pct]]</f>
        <v>4500</v>
      </c>
      <c r="T830">
        <f>ventas[[#This Row],[Total_Productos]]-ventas[[#This Row],[Valor_descuento]]</f>
        <v>40500</v>
      </c>
    </row>
    <row r="831" spans="1:20" x14ac:dyDescent="0.3">
      <c r="A831">
        <v>164</v>
      </c>
      <c r="B831" s="1">
        <v>45091</v>
      </c>
      <c r="C831">
        <v>30</v>
      </c>
      <c r="D831">
        <v>0</v>
      </c>
      <c r="E831">
        <v>211</v>
      </c>
      <c r="F831" t="s">
        <v>312</v>
      </c>
      <c r="G831" t="s">
        <v>313</v>
      </c>
      <c r="H831" t="s">
        <v>19</v>
      </c>
      <c r="I831">
        <v>44</v>
      </c>
      <c r="J831" t="s">
        <v>37</v>
      </c>
      <c r="K831" t="str">
        <f>_xlfn.XLOOKUP( ventas[[#This Row],[ciudad_cliente]],  ciudades[Ciudad], ciudades[Region])</f>
        <v>Valparaíso</v>
      </c>
      <c r="L831" t="s">
        <v>38</v>
      </c>
      <c r="M831" t="s">
        <v>98</v>
      </c>
      <c r="N831" t="str">
        <f>_xlfn.XLOOKUP(ventas[[#This Row],[producto]], categ[Producto], categ[Categoria])</f>
        <v>Calzado</v>
      </c>
      <c r="O831">
        <v>55000</v>
      </c>
      <c r="P831">
        <v>2</v>
      </c>
      <c r="Q831" s="11">
        <v>0.05</v>
      </c>
      <c r="R831">
        <f>(ventas[[#This Row],[precio_unitario]]*ventas[[#This Row],[cantidad]])</f>
        <v>110000</v>
      </c>
      <c r="S831">
        <f>ventas[[#This Row],[Total_Productos]]*ventas[[#This Row],[descuento_pct]]</f>
        <v>5500</v>
      </c>
      <c r="T831">
        <f>ventas[[#This Row],[Total_Productos]]-ventas[[#This Row],[Valor_descuento]]</f>
        <v>104500</v>
      </c>
    </row>
    <row r="832" spans="1:20" x14ac:dyDescent="0.3">
      <c r="A832">
        <v>199</v>
      </c>
      <c r="B832" s="1">
        <v>45126</v>
      </c>
      <c r="C832">
        <v>16</v>
      </c>
      <c r="D832">
        <v>3</v>
      </c>
      <c r="E832">
        <v>211</v>
      </c>
      <c r="F832" t="s">
        <v>312</v>
      </c>
      <c r="G832" t="s">
        <v>313</v>
      </c>
      <c r="H832" t="s">
        <v>19</v>
      </c>
      <c r="I832">
        <v>44</v>
      </c>
      <c r="J832" t="s">
        <v>20</v>
      </c>
      <c r="K832" t="str">
        <f>_xlfn.XLOOKUP( ventas[[#This Row],[ciudad_cliente]],  ciudades[Ciudad], ciudades[Region])</f>
        <v>La Araucanía</v>
      </c>
      <c r="L832" t="s">
        <v>22</v>
      </c>
      <c r="M832" t="s">
        <v>69</v>
      </c>
      <c r="N832" t="str">
        <f>_xlfn.XLOOKUP(ventas[[#This Row],[producto]], categ[Producto], categ[Categoria])</f>
        <v>Tecnología</v>
      </c>
      <c r="O832">
        <v>450000</v>
      </c>
      <c r="P832">
        <v>3</v>
      </c>
      <c r="Q832" s="11">
        <v>0.05</v>
      </c>
      <c r="R832">
        <f>(ventas[[#This Row],[precio_unitario]]*ventas[[#This Row],[cantidad]])</f>
        <v>1350000</v>
      </c>
      <c r="S832">
        <f>ventas[[#This Row],[Total_Productos]]*ventas[[#This Row],[descuento_pct]]</f>
        <v>67500</v>
      </c>
      <c r="T832">
        <f>ventas[[#This Row],[Total_Productos]]-ventas[[#This Row],[Valor_descuento]]</f>
        <v>1282500</v>
      </c>
    </row>
    <row r="833" spans="1:20" x14ac:dyDescent="0.3">
      <c r="A833">
        <v>390</v>
      </c>
      <c r="B833" s="1">
        <v>45317</v>
      </c>
      <c r="C833">
        <v>8</v>
      </c>
      <c r="D833">
        <v>1</v>
      </c>
      <c r="E833">
        <v>211</v>
      </c>
      <c r="F833" t="s">
        <v>312</v>
      </c>
      <c r="G833" t="s">
        <v>313</v>
      </c>
      <c r="H833" t="s">
        <v>19</v>
      </c>
      <c r="I833">
        <v>44</v>
      </c>
      <c r="J833" t="s">
        <v>76</v>
      </c>
      <c r="K833" t="str">
        <f>_xlfn.XLOOKUP( ventas[[#This Row],[ciudad_cliente]],  ciudades[Ciudad], ciudades[Region])</f>
        <v>Los Lagos</v>
      </c>
      <c r="L833" t="s">
        <v>29</v>
      </c>
      <c r="M833" t="s">
        <v>56</v>
      </c>
      <c r="N833" t="str">
        <f>_xlfn.XLOOKUP(ventas[[#This Row],[producto]], categ[Producto], categ[Categoria])</f>
        <v>Vestuario</v>
      </c>
      <c r="O833">
        <v>25000</v>
      </c>
      <c r="P833">
        <v>2</v>
      </c>
      <c r="Q833" s="11">
        <v>0</v>
      </c>
      <c r="R833">
        <f>(ventas[[#This Row],[precio_unitario]]*ventas[[#This Row],[cantidad]])</f>
        <v>50000</v>
      </c>
      <c r="S833">
        <f>ventas[[#This Row],[Total_Productos]]*ventas[[#This Row],[descuento_pct]]</f>
        <v>0</v>
      </c>
      <c r="T833">
        <f>ventas[[#This Row],[Total_Productos]]-ventas[[#This Row],[Valor_descuento]]</f>
        <v>50000</v>
      </c>
    </row>
    <row r="834" spans="1:20" x14ac:dyDescent="0.3">
      <c r="A834">
        <v>717</v>
      </c>
      <c r="B834" s="1">
        <v>45644</v>
      </c>
      <c r="C834">
        <v>13</v>
      </c>
      <c r="D834">
        <v>0</v>
      </c>
      <c r="E834">
        <v>211</v>
      </c>
      <c r="F834" t="s">
        <v>312</v>
      </c>
      <c r="G834" t="s">
        <v>313</v>
      </c>
      <c r="H834" t="s">
        <v>19</v>
      </c>
      <c r="I834">
        <v>44</v>
      </c>
      <c r="J834" t="s">
        <v>27</v>
      </c>
      <c r="K834" t="str">
        <f>_xlfn.XLOOKUP( ventas[[#This Row],[ciudad_cliente]],  ciudades[Ciudad], ciudades[Region])</f>
        <v>Biobío</v>
      </c>
      <c r="L834" t="s">
        <v>38</v>
      </c>
      <c r="M834" t="s">
        <v>56</v>
      </c>
      <c r="N834" t="str">
        <f>_xlfn.XLOOKUP(ventas[[#This Row],[producto]], categ[Producto], categ[Categoria])</f>
        <v>Vestuario</v>
      </c>
      <c r="O834">
        <v>25000</v>
      </c>
      <c r="P834">
        <v>3</v>
      </c>
      <c r="Q834" s="11">
        <v>0.1</v>
      </c>
      <c r="R834">
        <f>(ventas[[#This Row],[precio_unitario]]*ventas[[#This Row],[cantidad]])</f>
        <v>75000</v>
      </c>
      <c r="S834">
        <f>ventas[[#This Row],[Total_Productos]]*ventas[[#This Row],[descuento_pct]]</f>
        <v>7500</v>
      </c>
      <c r="T834">
        <f>ventas[[#This Row],[Total_Productos]]-ventas[[#This Row],[Valor_descuento]]</f>
        <v>67500</v>
      </c>
    </row>
    <row r="835" spans="1:20" x14ac:dyDescent="0.3">
      <c r="A835">
        <v>195</v>
      </c>
      <c r="B835" s="1">
        <v>45122</v>
      </c>
      <c r="C835">
        <v>30</v>
      </c>
      <c r="D835">
        <v>0</v>
      </c>
      <c r="E835">
        <v>159</v>
      </c>
      <c r="F835" t="s">
        <v>350</v>
      </c>
      <c r="G835" t="s">
        <v>351</v>
      </c>
      <c r="H835" t="s">
        <v>42</v>
      </c>
      <c r="I835">
        <v>18</v>
      </c>
      <c r="J835" t="s">
        <v>37</v>
      </c>
      <c r="K835" t="str">
        <f>_xlfn.XLOOKUP( ventas[[#This Row],[ciudad_cliente]],  ciudades[Ciudad], ciudades[Region])</f>
        <v>Valparaíso</v>
      </c>
      <c r="L835" t="s">
        <v>29</v>
      </c>
      <c r="M835" t="s">
        <v>98</v>
      </c>
      <c r="N835" t="str">
        <f>_xlfn.XLOOKUP(ventas[[#This Row],[producto]], categ[Producto], categ[Categoria])</f>
        <v>Calzado</v>
      </c>
      <c r="O835">
        <v>55000</v>
      </c>
      <c r="P835">
        <v>2</v>
      </c>
      <c r="Q835" s="11">
        <v>0.1</v>
      </c>
      <c r="R835">
        <f>(ventas[[#This Row],[precio_unitario]]*ventas[[#This Row],[cantidad]])</f>
        <v>110000</v>
      </c>
      <c r="S835">
        <f>ventas[[#This Row],[Total_Productos]]*ventas[[#This Row],[descuento_pct]]</f>
        <v>11000</v>
      </c>
      <c r="T835">
        <f>ventas[[#This Row],[Total_Productos]]-ventas[[#This Row],[Valor_descuento]]</f>
        <v>99000</v>
      </c>
    </row>
    <row r="836" spans="1:20" x14ac:dyDescent="0.3">
      <c r="A836">
        <v>494</v>
      </c>
      <c r="B836" s="1">
        <v>45421</v>
      </c>
      <c r="C836">
        <v>45</v>
      </c>
      <c r="D836">
        <v>2</v>
      </c>
      <c r="E836">
        <v>159</v>
      </c>
      <c r="F836" t="s">
        <v>350</v>
      </c>
      <c r="G836" t="s">
        <v>351</v>
      </c>
      <c r="H836" t="s">
        <v>42</v>
      </c>
      <c r="I836">
        <v>18</v>
      </c>
      <c r="J836" t="s">
        <v>27</v>
      </c>
      <c r="K836" t="str">
        <f>_xlfn.XLOOKUP( ventas[[#This Row],[ciudad_cliente]],  ciudades[Ciudad], ciudades[Region])</f>
        <v>Biobío</v>
      </c>
      <c r="L836" t="s">
        <v>22</v>
      </c>
      <c r="M836" t="s">
        <v>23</v>
      </c>
      <c r="N836" t="str">
        <f>_xlfn.XLOOKUP(ventas[[#This Row],[producto]], categ[Producto], categ[Categoria])</f>
        <v>Belleza</v>
      </c>
      <c r="O836">
        <v>15000</v>
      </c>
      <c r="P836">
        <v>2</v>
      </c>
      <c r="Q836" s="11">
        <v>0</v>
      </c>
      <c r="R836">
        <f>(ventas[[#This Row],[precio_unitario]]*ventas[[#This Row],[cantidad]])</f>
        <v>30000</v>
      </c>
      <c r="S836">
        <f>ventas[[#This Row],[Total_Productos]]*ventas[[#This Row],[descuento_pct]]</f>
        <v>0</v>
      </c>
      <c r="T836">
        <f>ventas[[#This Row],[Total_Productos]]-ventas[[#This Row],[Valor_descuento]]</f>
        <v>30000</v>
      </c>
    </row>
    <row r="837" spans="1:20" x14ac:dyDescent="0.3">
      <c r="A837">
        <v>540</v>
      </c>
      <c r="B837" s="1">
        <v>45467</v>
      </c>
      <c r="C837">
        <v>58</v>
      </c>
      <c r="D837">
        <v>1</v>
      </c>
      <c r="E837">
        <v>159</v>
      </c>
      <c r="F837" t="s">
        <v>350</v>
      </c>
      <c r="G837" t="s">
        <v>351</v>
      </c>
      <c r="H837" t="s">
        <v>42</v>
      </c>
      <c r="I837">
        <v>18</v>
      </c>
      <c r="J837" t="s">
        <v>76</v>
      </c>
      <c r="K837" t="str">
        <f>_xlfn.XLOOKUP( ventas[[#This Row],[ciudad_cliente]],  ciudades[Ciudad], ciudades[Region])</f>
        <v>Los Lagos</v>
      </c>
      <c r="L837" t="s">
        <v>29</v>
      </c>
      <c r="M837" t="s">
        <v>46</v>
      </c>
      <c r="N837" t="str">
        <f>_xlfn.XLOOKUP(ventas[[#This Row],[producto]], categ[Producto], categ[Categoria])</f>
        <v>Tecnología</v>
      </c>
      <c r="O837">
        <v>750000</v>
      </c>
      <c r="P837">
        <v>2</v>
      </c>
      <c r="Q837" s="11">
        <v>0</v>
      </c>
      <c r="R837">
        <f>(ventas[[#This Row],[precio_unitario]]*ventas[[#This Row],[cantidad]])</f>
        <v>1500000</v>
      </c>
      <c r="S837">
        <f>ventas[[#This Row],[Total_Productos]]*ventas[[#This Row],[descuento_pct]]</f>
        <v>0</v>
      </c>
      <c r="T837">
        <f>ventas[[#This Row],[Total_Productos]]-ventas[[#This Row],[Valor_descuento]]</f>
        <v>1500000</v>
      </c>
    </row>
    <row r="838" spans="1:20" x14ac:dyDescent="0.3">
      <c r="A838">
        <v>914</v>
      </c>
      <c r="B838" s="1">
        <v>45841</v>
      </c>
      <c r="C838">
        <v>11</v>
      </c>
      <c r="D838">
        <v>0</v>
      </c>
      <c r="E838">
        <v>159</v>
      </c>
      <c r="F838" t="s">
        <v>350</v>
      </c>
      <c r="G838" t="s">
        <v>351</v>
      </c>
      <c r="H838" t="s">
        <v>42</v>
      </c>
      <c r="I838">
        <v>18</v>
      </c>
      <c r="J838" t="s">
        <v>43</v>
      </c>
      <c r="K838" t="str">
        <f>_xlfn.XLOOKUP( ventas[[#This Row],[ciudad_cliente]],  ciudades[Ciudad], ciudades[Region])</f>
        <v>Antofagasta</v>
      </c>
      <c r="L838" t="s">
        <v>38</v>
      </c>
      <c r="M838" t="s">
        <v>30</v>
      </c>
      <c r="N838" t="str">
        <f>_xlfn.XLOOKUP(ventas[[#This Row],[producto]], categ[Producto], categ[Categoria])</f>
        <v>Electrohogar</v>
      </c>
      <c r="O838">
        <v>700000</v>
      </c>
      <c r="P838">
        <v>1</v>
      </c>
      <c r="Q838" s="11">
        <v>0.1</v>
      </c>
      <c r="R838">
        <f>(ventas[[#This Row],[precio_unitario]]*ventas[[#This Row],[cantidad]])</f>
        <v>700000</v>
      </c>
      <c r="S838">
        <f>ventas[[#This Row],[Total_Productos]]*ventas[[#This Row],[descuento_pct]]</f>
        <v>70000</v>
      </c>
      <c r="T838">
        <f>ventas[[#This Row],[Total_Productos]]-ventas[[#This Row],[Valor_descuento]]</f>
        <v>630000</v>
      </c>
    </row>
    <row r="839" spans="1:20" x14ac:dyDescent="0.3">
      <c r="A839">
        <v>59</v>
      </c>
      <c r="B839" s="1">
        <v>44986</v>
      </c>
      <c r="C839">
        <v>2</v>
      </c>
      <c r="D839">
        <v>2</v>
      </c>
      <c r="E839">
        <v>123</v>
      </c>
      <c r="F839" t="s">
        <v>159</v>
      </c>
      <c r="G839" t="s">
        <v>160</v>
      </c>
      <c r="H839" t="s">
        <v>19</v>
      </c>
      <c r="I839">
        <v>54</v>
      </c>
      <c r="J839" t="s">
        <v>101</v>
      </c>
      <c r="K839" t="str">
        <f>_xlfn.XLOOKUP( ventas[[#This Row],[ciudad_cliente]],  ciudades[Ciudad], ciudades[Region])</f>
        <v>O'Higgins</v>
      </c>
      <c r="L839" t="s">
        <v>22</v>
      </c>
      <c r="M839" t="s">
        <v>23</v>
      </c>
      <c r="N839" t="str">
        <f>_xlfn.XLOOKUP(ventas[[#This Row],[producto]], categ[Producto], categ[Categoria])</f>
        <v>Belleza</v>
      </c>
      <c r="O839">
        <v>15000</v>
      </c>
      <c r="P839">
        <v>1</v>
      </c>
      <c r="Q839" s="11">
        <v>0.1</v>
      </c>
      <c r="R839">
        <f>(ventas[[#This Row],[precio_unitario]]*ventas[[#This Row],[cantidad]])</f>
        <v>15000</v>
      </c>
      <c r="S839">
        <f>ventas[[#This Row],[Total_Productos]]*ventas[[#This Row],[descuento_pct]]</f>
        <v>1500</v>
      </c>
      <c r="T839">
        <f>ventas[[#This Row],[Total_Productos]]-ventas[[#This Row],[Valor_descuento]]</f>
        <v>13500</v>
      </c>
    </row>
    <row r="840" spans="1:20" x14ac:dyDescent="0.3">
      <c r="A840">
        <v>471</v>
      </c>
      <c r="B840" s="1">
        <v>45398</v>
      </c>
      <c r="C840">
        <v>11</v>
      </c>
      <c r="D840">
        <v>0</v>
      </c>
      <c r="E840">
        <v>123</v>
      </c>
      <c r="F840" t="s">
        <v>159</v>
      </c>
      <c r="G840" t="s">
        <v>160</v>
      </c>
      <c r="H840" t="s">
        <v>19</v>
      </c>
      <c r="I840">
        <v>54</v>
      </c>
      <c r="J840" t="s">
        <v>43</v>
      </c>
      <c r="K840" t="str">
        <f>_xlfn.XLOOKUP( ventas[[#This Row],[ciudad_cliente]],  ciudades[Ciudad], ciudades[Region])</f>
        <v>Antofagasta</v>
      </c>
      <c r="L840" t="s">
        <v>29</v>
      </c>
      <c r="M840" t="s">
        <v>49</v>
      </c>
      <c r="N840" t="str">
        <f>_xlfn.XLOOKUP(ventas[[#This Row],[producto]], categ[Producto], categ[Categoria])</f>
        <v>Electrohogar</v>
      </c>
      <c r="O840">
        <v>800000</v>
      </c>
      <c r="P840">
        <v>2</v>
      </c>
      <c r="Q840" s="11">
        <v>0.1</v>
      </c>
      <c r="R840">
        <f>(ventas[[#This Row],[precio_unitario]]*ventas[[#This Row],[cantidad]])</f>
        <v>1600000</v>
      </c>
      <c r="S840">
        <f>ventas[[#This Row],[Total_Productos]]*ventas[[#This Row],[descuento_pct]]</f>
        <v>160000</v>
      </c>
      <c r="T840">
        <f>ventas[[#This Row],[Total_Productos]]-ventas[[#This Row],[Valor_descuento]]</f>
        <v>1440000</v>
      </c>
    </row>
    <row r="841" spans="1:20" x14ac:dyDescent="0.3">
      <c r="A841">
        <v>591</v>
      </c>
      <c r="B841" s="1">
        <v>45518</v>
      </c>
      <c r="C841">
        <v>29</v>
      </c>
      <c r="D841">
        <v>1</v>
      </c>
      <c r="E841">
        <v>123</v>
      </c>
      <c r="F841" t="s">
        <v>159</v>
      </c>
      <c r="G841" t="s">
        <v>160</v>
      </c>
      <c r="H841" t="s">
        <v>19</v>
      </c>
      <c r="I841">
        <v>54</v>
      </c>
      <c r="J841" t="s">
        <v>116</v>
      </c>
      <c r="K841" t="str">
        <f>_xlfn.XLOOKUP( ventas[[#This Row],[ciudad_cliente]],  ciudades[Ciudad], ciudades[Region])</f>
        <v>Valparaíso</v>
      </c>
      <c r="L841" t="s">
        <v>22</v>
      </c>
      <c r="M841" t="s">
        <v>98</v>
      </c>
      <c r="N841" t="str">
        <f>_xlfn.XLOOKUP(ventas[[#This Row],[producto]], categ[Producto], categ[Categoria])</f>
        <v>Calzado</v>
      </c>
      <c r="O841">
        <v>55000</v>
      </c>
      <c r="P841">
        <v>2</v>
      </c>
      <c r="Q841" s="11">
        <v>0</v>
      </c>
      <c r="R841">
        <f>(ventas[[#This Row],[precio_unitario]]*ventas[[#This Row],[cantidad]])</f>
        <v>110000</v>
      </c>
      <c r="S841">
        <f>ventas[[#This Row],[Total_Productos]]*ventas[[#This Row],[descuento_pct]]</f>
        <v>0</v>
      </c>
      <c r="T841">
        <f>ventas[[#This Row],[Total_Productos]]-ventas[[#This Row],[Valor_descuento]]</f>
        <v>110000</v>
      </c>
    </row>
    <row r="842" spans="1:20" x14ac:dyDescent="0.3">
      <c r="A842">
        <v>819</v>
      </c>
      <c r="B842" s="1">
        <v>45746</v>
      </c>
      <c r="C842">
        <v>52</v>
      </c>
      <c r="D842">
        <v>0</v>
      </c>
      <c r="E842">
        <v>123</v>
      </c>
      <c r="F842" t="s">
        <v>159</v>
      </c>
      <c r="G842" t="s">
        <v>160</v>
      </c>
      <c r="H842" t="s">
        <v>19</v>
      </c>
      <c r="I842">
        <v>54</v>
      </c>
      <c r="J842" t="s">
        <v>27</v>
      </c>
      <c r="K842" t="str">
        <f>_xlfn.XLOOKUP( ventas[[#This Row],[ciudad_cliente]],  ciudades[Ciudad], ciudades[Region])</f>
        <v>Biobío</v>
      </c>
      <c r="L842" t="s">
        <v>22</v>
      </c>
      <c r="M842" t="s">
        <v>46</v>
      </c>
      <c r="N842" t="str">
        <f>_xlfn.XLOOKUP(ventas[[#This Row],[producto]], categ[Producto], categ[Categoria])</f>
        <v>Tecnología</v>
      </c>
      <c r="O842">
        <v>750000</v>
      </c>
      <c r="P842">
        <v>3</v>
      </c>
      <c r="Q842" s="11">
        <v>0</v>
      </c>
      <c r="R842">
        <f>(ventas[[#This Row],[precio_unitario]]*ventas[[#This Row],[cantidad]])</f>
        <v>2250000</v>
      </c>
      <c r="S842">
        <f>ventas[[#This Row],[Total_Productos]]*ventas[[#This Row],[descuento_pct]]</f>
        <v>0</v>
      </c>
      <c r="T842">
        <f>ventas[[#This Row],[Total_Productos]]-ventas[[#This Row],[Valor_descuento]]</f>
        <v>2250000</v>
      </c>
    </row>
    <row r="843" spans="1:20" x14ac:dyDescent="0.3">
      <c r="A843">
        <v>819</v>
      </c>
      <c r="B843" s="1">
        <v>45746</v>
      </c>
      <c r="C843">
        <v>52</v>
      </c>
      <c r="D843">
        <v>0</v>
      </c>
      <c r="E843">
        <v>123</v>
      </c>
      <c r="F843" t="s">
        <v>159</v>
      </c>
      <c r="G843" t="s">
        <v>160</v>
      </c>
      <c r="H843" t="s">
        <v>19</v>
      </c>
      <c r="I843">
        <v>54</v>
      </c>
      <c r="J843" t="s">
        <v>27</v>
      </c>
      <c r="K843" t="str">
        <f>_xlfn.XLOOKUP( ventas[[#This Row],[ciudad_cliente]],  ciudades[Ciudad], ciudades[Region])</f>
        <v>Biobío</v>
      </c>
      <c r="L843" t="s">
        <v>22</v>
      </c>
      <c r="M843" t="s">
        <v>46</v>
      </c>
      <c r="N843" t="str">
        <f>_xlfn.XLOOKUP(ventas[[#This Row],[producto]], categ[Producto], categ[Categoria])</f>
        <v>Tecnología</v>
      </c>
      <c r="O843">
        <v>750000</v>
      </c>
      <c r="P843">
        <v>3</v>
      </c>
      <c r="Q843" s="11">
        <v>0</v>
      </c>
      <c r="R843">
        <f>(ventas[[#This Row],[precio_unitario]]*ventas[[#This Row],[cantidad]])</f>
        <v>2250000</v>
      </c>
      <c r="S843">
        <f>ventas[[#This Row],[Total_Productos]]*ventas[[#This Row],[descuento_pct]]</f>
        <v>0</v>
      </c>
      <c r="T843">
        <f>ventas[[#This Row],[Total_Productos]]-ventas[[#This Row],[Valor_descuento]]</f>
        <v>2250000</v>
      </c>
    </row>
    <row r="844" spans="1:20" x14ac:dyDescent="0.3">
      <c r="A844">
        <v>357</v>
      </c>
      <c r="B844" s="1">
        <v>45284</v>
      </c>
      <c r="C844">
        <v>43</v>
      </c>
      <c r="D844">
        <v>0</v>
      </c>
      <c r="E844">
        <v>113</v>
      </c>
      <c r="F844" t="s">
        <v>480</v>
      </c>
      <c r="G844" t="s">
        <v>481</v>
      </c>
      <c r="H844" t="s">
        <v>42</v>
      </c>
      <c r="I844">
        <v>38</v>
      </c>
      <c r="J844" t="s">
        <v>34</v>
      </c>
      <c r="K844" t="str">
        <f>_xlfn.XLOOKUP( ventas[[#This Row],[ciudad_cliente]],  ciudades[Ciudad], ciudades[Region])</f>
        <v>Metropolitana</v>
      </c>
      <c r="L844" t="s">
        <v>22</v>
      </c>
      <c r="M844" t="s">
        <v>62</v>
      </c>
      <c r="N844" t="str">
        <f>_xlfn.XLOOKUP(ventas[[#This Row],[producto]], categ[Producto], categ[Categoria])</f>
        <v>Electrohogar</v>
      </c>
      <c r="O844">
        <v>650000</v>
      </c>
      <c r="P844">
        <v>1</v>
      </c>
      <c r="Q844" s="11">
        <v>0</v>
      </c>
      <c r="R844">
        <f>(ventas[[#This Row],[precio_unitario]]*ventas[[#This Row],[cantidad]])</f>
        <v>650000</v>
      </c>
      <c r="S844">
        <f>ventas[[#This Row],[Total_Productos]]*ventas[[#This Row],[descuento_pct]]</f>
        <v>0</v>
      </c>
      <c r="T844">
        <f>ventas[[#This Row],[Total_Productos]]-ventas[[#This Row],[Valor_descuento]]</f>
        <v>650000</v>
      </c>
    </row>
    <row r="845" spans="1:20" x14ac:dyDescent="0.3">
      <c r="A845">
        <v>363</v>
      </c>
      <c r="B845" s="1">
        <v>45290</v>
      </c>
      <c r="C845">
        <v>65</v>
      </c>
      <c r="D845">
        <v>0</v>
      </c>
      <c r="E845">
        <v>113</v>
      </c>
      <c r="F845" t="s">
        <v>480</v>
      </c>
      <c r="G845" t="s">
        <v>481</v>
      </c>
      <c r="H845" t="s">
        <v>42</v>
      </c>
      <c r="I845">
        <v>38</v>
      </c>
      <c r="J845" t="s">
        <v>101</v>
      </c>
      <c r="K845" t="str">
        <f>_xlfn.XLOOKUP( ventas[[#This Row],[ciudad_cliente]],  ciudades[Ciudad], ciudades[Region])</f>
        <v>O'Higgins</v>
      </c>
      <c r="L845" t="s">
        <v>38</v>
      </c>
      <c r="M845" t="s">
        <v>69</v>
      </c>
      <c r="N845" t="str">
        <f>_xlfn.XLOOKUP(ventas[[#This Row],[producto]], categ[Producto], categ[Categoria])</f>
        <v>Tecnología</v>
      </c>
      <c r="O845">
        <v>450000</v>
      </c>
      <c r="P845">
        <v>1</v>
      </c>
      <c r="Q845" s="11">
        <v>0.1</v>
      </c>
      <c r="R845">
        <f>(ventas[[#This Row],[precio_unitario]]*ventas[[#This Row],[cantidad]])</f>
        <v>450000</v>
      </c>
      <c r="S845">
        <f>ventas[[#This Row],[Total_Productos]]*ventas[[#This Row],[descuento_pct]]</f>
        <v>45000</v>
      </c>
      <c r="T845">
        <f>ventas[[#This Row],[Total_Productos]]-ventas[[#This Row],[Valor_descuento]]</f>
        <v>405000</v>
      </c>
    </row>
    <row r="846" spans="1:20" x14ac:dyDescent="0.3">
      <c r="A846">
        <v>525</v>
      </c>
      <c r="B846" s="1">
        <v>45452</v>
      </c>
      <c r="C846">
        <v>42</v>
      </c>
      <c r="D846">
        <v>4</v>
      </c>
      <c r="E846">
        <v>113</v>
      </c>
      <c r="F846" t="s">
        <v>480</v>
      </c>
      <c r="G846" t="s">
        <v>481</v>
      </c>
      <c r="H846" t="s">
        <v>42</v>
      </c>
      <c r="I846">
        <v>38</v>
      </c>
      <c r="J846" t="s">
        <v>27</v>
      </c>
      <c r="K846" t="str">
        <f>_xlfn.XLOOKUP( ventas[[#This Row],[ciudad_cliente]],  ciudades[Ciudad], ciudades[Region])</f>
        <v>Biobío</v>
      </c>
      <c r="L846" t="s">
        <v>38</v>
      </c>
      <c r="M846" t="s">
        <v>62</v>
      </c>
      <c r="N846" t="str">
        <f>_xlfn.XLOOKUP(ventas[[#This Row],[producto]], categ[Producto], categ[Categoria])</f>
        <v>Electrohogar</v>
      </c>
      <c r="O846">
        <v>650000</v>
      </c>
      <c r="P846">
        <v>3</v>
      </c>
      <c r="Q846" s="11">
        <v>0</v>
      </c>
      <c r="R846">
        <f>(ventas[[#This Row],[precio_unitario]]*ventas[[#This Row],[cantidad]])</f>
        <v>1950000</v>
      </c>
      <c r="S846">
        <f>ventas[[#This Row],[Total_Productos]]*ventas[[#This Row],[descuento_pct]]</f>
        <v>0</v>
      </c>
      <c r="T846">
        <f>ventas[[#This Row],[Total_Productos]]-ventas[[#This Row],[Valor_descuento]]</f>
        <v>1950000</v>
      </c>
    </row>
    <row r="847" spans="1:20" x14ac:dyDescent="0.3">
      <c r="A847">
        <v>209</v>
      </c>
      <c r="B847" s="1">
        <v>45136</v>
      </c>
      <c r="C847">
        <v>45</v>
      </c>
      <c r="D847">
        <v>2</v>
      </c>
      <c r="E847">
        <v>182</v>
      </c>
      <c r="F847" t="s">
        <v>362</v>
      </c>
      <c r="G847" t="s">
        <v>363</v>
      </c>
      <c r="H847" t="s">
        <v>19</v>
      </c>
      <c r="I847">
        <v>27</v>
      </c>
      <c r="J847" t="s">
        <v>27</v>
      </c>
      <c r="K847" t="str">
        <f>_xlfn.XLOOKUP( ventas[[#This Row],[ciudad_cliente]],  ciudades[Ciudad], ciudades[Region])</f>
        <v>Biobío</v>
      </c>
      <c r="L847" t="s">
        <v>22</v>
      </c>
      <c r="M847" t="s">
        <v>102</v>
      </c>
      <c r="N847" t="str">
        <f>_xlfn.XLOOKUP(ventas[[#This Row],[producto]], categ[Producto], categ[Categoria])</f>
        <v>Vestuario</v>
      </c>
      <c r="O847">
        <v>12000</v>
      </c>
      <c r="P847">
        <v>3</v>
      </c>
      <c r="Q847" s="11">
        <v>0.05</v>
      </c>
      <c r="R847">
        <f>(ventas[[#This Row],[precio_unitario]]*ventas[[#This Row],[cantidad]])</f>
        <v>36000</v>
      </c>
      <c r="S847">
        <f>ventas[[#This Row],[Total_Productos]]*ventas[[#This Row],[descuento_pct]]</f>
        <v>1800</v>
      </c>
      <c r="T847">
        <f>ventas[[#This Row],[Total_Productos]]-ventas[[#This Row],[Valor_descuento]]</f>
        <v>34200</v>
      </c>
    </row>
    <row r="848" spans="1:20" x14ac:dyDescent="0.3">
      <c r="A848">
        <v>511</v>
      </c>
      <c r="B848" s="1">
        <v>45438</v>
      </c>
      <c r="C848">
        <v>15</v>
      </c>
      <c r="D848">
        <v>0</v>
      </c>
      <c r="E848">
        <v>182</v>
      </c>
      <c r="F848" t="s">
        <v>362</v>
      </c>
      <c r="G848" t="s">
        <v>363</v>
      </c>
      <c r="H848" t="s">
        <v>19</v>
      </c>
      <c r="I848">
        <v>27</v>
      </c>
      <c r="J848" t="s">
        <v>34</v>
      </c>
      <c r="K848" t="str">
        <f>_xlfn.XLOOKUP( ventas[[#This Row],[ciudad_cliente]],  ciudades[Ciudad], ciudades[Region])</f>
        <v>Metropolitana</v>
      </c>
      <c r="L848" t="s">
        <v>38</v>
      </c>
      <c r="M848" t="s">
        <v>69</v>
      </c>
      <c r="N848" t="str">
        <f>_xlfn.XLOOKUP(ventas[[#This Row],[producto]], categ[Producto], categ[Categoria])</f>
        <v>Tecnología</v>
      </c>
      <c r="O848">
        <v>450000</v>
      </c>
      <c r="P848">
        <v>1</v>
      </c>
      <c r="Q848" s="11">
        <v>0</v>
      </c>
      <c r="R848">
        <f>(ventas[[#This Row],[precio_unitario]]*ventas[[#This Row],[cantidad]])</f>
        <v>450000</v>
      </c>
      <c r="S848">
        <f>ventas[[#This Row],[Total_Productos]]*ventas[[#This Row],[descuento_pct]]</f>
        <v>0</v>
      </c>
      <c r="T848">
        <f>ventas[[#This Row],[Total_Productos]]-ventas[[#This Row],[Valor_descuento]]</f>
        <v>450000</v>
      </c>
    </row>
    <row r="849" spans="1:20" x14ac:dyDescent="0.3">
      <c r="A849">
        <v>790</v>
      </c>
      <c r="B849" s="1">
        <v>45717</v>
      </c>
      <c r="C849">
        <v>64</v>
      </c>
      <c r="D849">
        <v>4</v>
      </c>
      <c r="E849">
        <v>182</v>
      </c>
      <c r="F849" t="s">
        <v>362</v>
      </c>
      <c r="G849" t="s">
        <v>363</v>
      </c>
      <c r="H849" t="s">
        <v>19</v>
      </c>
      <c r="I849">
        <v>27</v>
      </c>
      <c r="J849" t="s">
        <v>20</v>
      </c>
      <c r="K849" t="str">
        <f>_xlfn.XLOOKUP( ventas[[#This Row],[ciudad_cliente]],  ciudades[Ciudad], ciudades[Region])</f>
        <v>La Araucanía</v>
      </c>
      <c r="L849" t="s">
        <v>29</v>
      </c>
      <c r="M849" t="s">
        <v>39</v>
      </c>
      <c r="N849" t="str">
        <f>_xlfn.XLOOKUP(ventas[[#This Row],[producto]], categ[Producto], categ[Categoria])</f>
        <v>Belleza</v>
      </c>
      <c r="O849">
        <v>35000</v>
      </c>
      <c r="P849">
        <v>2</v>
      </c>
      <c r="Q849" s="11">
        <v>0.1</v>
      </c>
      <c r="R849">
        <f>(ventas[[#This Row],[precio_unitario]]*ventas[[#This Row],[cantidad]])</f>
        <v>70000</v>
      </c>
      <c r="S849">
        <f>ventas[[#This Row],[Total_Productos]]*ventas[[#This Row],[descuento_pct]]</f>
        <v>7000</v>
      </c>
      <c r="T849">
        <f>ventas[[#This Row],[Total_Productos]]-ventas[[#This Row],[Valor_descuento]]</f>
        <v>63000</v>
      </c>
    </row>
    <row r="850" spans="1:20" x14ac:dyDescent="0.3">
      <c r="A850">
        <v>386</v>
      </c>
      <c r="B850" s="1">
        <v>45313</v>
      </c>
      <c r="C850">
        <v>45</v>
      </c>
      <c r="D850">
        <v>2</v>
      </c>
      <c r="E850">
        <v>141</v>
      </c>
      <c r="F850" t="s">
        <v>500</v>
      </c>
      <c r="G850" t="s">
        <v>501</v>
      </c>
      <c r="H850" t="s">
        <v>42</v>
      </c>
      <c r="I850">
        <v>40</v>
      </c>
      <c r="J850" t="s">
        <v>27</v>
      </c>
      <c r="K850" t="str">
        <f>_xlfn.XLOOKUP( ventas[[#This Row],[ciudad_cliente]],  ciudades[Ciudad], ciudades[Region])</f>
        <v>Biobío</v>
      </c>
      <c r="L850" t="s">
        <v>38</v>
      </c>
      <c r="M850" t="s">
        <v>69</v>
      </c>
      <c r="N850" t="str">
        <f>_xlfn.XLOOKUP(ventas[[#This Row],[producto]], categ[Producto], categ[Categoria])</f>
        <v>Tecnología</v>
      </c>
      <c r="O850">
        <v>450000</v>
      </c>
      <c r="P850">
        <v>3</v>
      </c>
      <c r="Q850" s="11">
        <v>0.05</v>
      </c>
      <c r="R850">
        <f>(ventas[[#This Row],[precio_unitario]]*ventas[[#This Row],[cantidad]])</f>
        <v>1350000</v>
      </c>
      <c r="S850">
        <f>ventas[[#This Row],[Total_Productos]]*ventas[[#This Row],[descuento_pct]]</f>
        <v>67500</v>
      </c>
      <c r="T850">
        <f>ventas[[#This Row],[Total_Productos]]-ventas[[#This Row],[Valor_descuento]]</f>
        <v>1282500</v>
      </c>
    </row>
    <row r="851" spans="1:20" x14ac:dyDescent="0.3">
      <c r="A851">
        <v>652</v>
      </c>
      <c r="B851" s="1">
        <v>45579</v>
      </c>
      <c r="C851">
        <v>48</v>
      </c>
      <c r="D851">
        <v>6</v>
      </c>
      <c r="E851">
        <v>141</v>
      </c>
      <c r="F851" t="s">
        <v>500</v>
      </c>
      <c r="G851" t="s">
        <v>501</v>
      </c>
      <c r="H851" t="s">
        <v>42</v>
      </c>
      <c r="I851">
        <v>40</v>
      </c>
      <c r="J851" t="s">
        <v>37</v>
      </c>
      <c r="K851" t="str">
        <f>_xlfn.XLOOKUP( ventas[[#This Row],[ciudad_cliente]],  ciudades[Ciudad], ciudades[Region])</f>
        <v>Valparaíso</v>
      </c>
      <c r="L851" t="s">
        <v>29</v>
      </c>
      <c r="M851" t="s">
        <v>49</v>
      </c>
      <c r="N851" t="str">
        <f>_xlfn.XLOOKUP(ventas[[#This Row],[producto]], categ[Producto], categ[Categoria])</f>
        <v>Electrohogar</v>
      </c>
      <c r="O851">
        <v>800000</v>
      </c>
      <c r="P851">
        <v>3</v>
      </c>
      <c r="Q851" s="11">
        <v>0</v>
      </c>
      <c r="R851">
        <f>(ventas[[#This Row],[precio_unitario]]*ventas[[#This Row],[cantidad]])</f>
        <v>2400000</v>
      </c>
      <c r="S851">
        <f>ventas[[#This Row],[Total_Productos]]*ventas[[#This Row],[descuento_pct]]</f>
        <v>0</v>
      </c>
      <c r="T851">
        <f>ventas[[#This Row],[Total_Productos]]-ventas[[#This Row],[Valor_descuento]]</f>
        <v>2400000</v>
      </c>
    </row>
    <row r="852" spans="1:20" x14ac:dyDescent="0.3">
      <c r="A852">
        <v>719</v>
      </c>
      <c r="B852" s="1">
        <v>45646</v>
      </c>
      <c r="C852">
        <v>17</v>
      </c>
      <c r="D852">
        <v>0</v>
      </c>
      <c r="E852">
        <v>141</v>
      </c>
      <c r="F852" t="s">
        <v>500</v>
      </c>
      <c r="G852" t="s">
        <v>501</v>
      </c>
      <c r="H852" t="s">
        <v>42</v>
      </c>
      <c r="I852">
        <v>40</v>
      </c>
      <c r="J852" t="s">
        <v>34</v>
      </c>
      <c r="K852" t="str">
        <f>_xlfn.XLOOKUP( ventas[[#This Row],[ciudad_cliente]],  ciudades[Ciudad], ciudades[Region])</f>
        <v>Metropolitana</v>
      </c>
      <c r="L852" t="s">
        <v>22</v>
      </c>
      <c r="M852" t="s">
        <v>30</v>
      </c>
      <c r="N852" t="str">
        <f>_xlfn.XLOOKUP(ventas[[#This Row],[producto]], categ[Producto], categ[Categoria])</f>
        <v>Electrohogar</v>
      </c>
      <c r="O852">
        <v>700000</v>
      </c>
      <c r="P852">
        <v>2</v>
      </c>
      <c r="Q852" s="11">
        <v>0.1</v>
      </c>
      <c r="R852">
        <f>(ventas[[#This Row],[precio_unitario]]*ventas[[#This Row],[cantidad]])</f>
        <v>1400000</v>
      </c>
      <c r="S852">
        <f>ventas[[#This Row],[Total_Productos]]*ventas[[#This Row],[descuento_pct]]</f>
        <v>140000</v>
      </c>
      <c r="T852">
        <f>ventas[[#This Row],[Total_Productos]]-ventas[[#This Row],[Valor_descuento]]</f>
        <v>1260000</v>
      </c>
    </row>
    <row r="853" spans="1:20" x14ac:dyDescent="0.3">
      <c r="A853">
        <v>83</v>
      </c>
      <c r="B853" s="1">
        <v>45010</v>
      </c>
      <c r="C853">
        <v>26</v>
      </c>
      <c r="D853">
        <v>6</v>
      </c>
      <c r="E853">
        <v>80</v>
      </c>
      <c r="F853" t="s">
        <v>199</v>
      </c>
      <c r="G853" t="s">
        <v>200</v>
      </c>
      <c r="H853" t="s">
        <v>42</v>
      </c>
      <c r="I853">
        <v>18</v>
      </c>
      <c r="J853" t="s">
        <v>101</v>
      </c>
      <c r="K853" t="str">
        <f>_xlfn.XLOOKUP( ventas[[#This Row],[ciudad_cliente]],  ciudades[Ciudad], ciudades[Region])</f>
        <v>O'Higgins</v>
      </c>
      <c r="L853" t="s">
        <v>29</v>
      </c>
      <c r="M853" t="s">
        <v>98</v>
      </c>
      <c r="N853" t="str">
        <f>_xlfn.XLOOKUP(ventas[[#This Row],[producto]], categ[Producto], categ[Categoria])</f>
        <v>Calzado</v>
      </c>
      <c r="O853">
        <v>55000</v>
      </c>
      <c r="P853">
        <v>3</v>
      </c>
      <c r="Q853" s="11">
        <v>0.05</v>
      </c>
      <c r="R853">
        <f>(ventas[[#This Row],[precio_unitario]]*ventas[[#This Row],[cantidad]])</f>
        <v>165000</v>
      </c>
      <c r="S853">
        <f>ventas[[#This Row],[Total_Productos]]*ventas[[#This Row],[descuento_pct]]</f>
        <v>8250</v>
      </c>
      <c r="T853">
        <f>ventas[[#This Row],[Total_Productos]]-ventas[[#This Row],[Valor_descuento]]</f>
        <v>156750</v>
      </c>
    </row>
    <row r="854" spans="1:20" x14ac:dyDescent="0.3">
      <c r="A854">
        <v>387</v>
      </c>
      <c r="B854" s="1">
        <v>45314</v>
      </c>
      <c r="C854">
        <v>40</v>
      </c>
      <c r="D854">
        <v>1</v>
      </c>
      <c r="E854">
        <v>80</v>
      </c>
      <c r="F854" t="s">
        <v>199</v>
      </c>
      <c r="G854" t="s">
        <v>200</v>
      </c>
      <c r="H854" t="s">
        <v>42</v>
      </c>
      <c r="I854">
        <v>18</v>
      </c>
      <c r="J854" t="s">
        <v>27</v>
      </c>
      <c r="K854" t="str">
        <f>_xlfn.XLOOKUP( ventas[[#This Row],[ciudad_cliente]],  ciudades[Ciudad], ciudades[Region])</f>
        <v>Biobío</v>
      </c>
      <c r="L854" t="s">
        <v>22</v>
      </c>
      <c r="M854" t="s">
        <v>98</v>
      </c>
      <c r="N854" t="str">
        <f>_xlfn.XLOOKUP(ventas[[#This Row],[producto]], categ[Producto], categ[Categoria])</f>
        <v>Calzado</v>
      </c>
      <c r="O854">
        <v>55000</v>
      </c>
      <c r="P854">
        <v>1</v>
      </c>
      <c r="Q854" s="11">
        <v>0.05</v>
      </c>
      <c r="R854">
        <f>(ventas[[#This Row],[precio_unitario]]*ventas[[#This Row],[cantidad]])</f>
        <v>55000</v>
      </c>
      <c r="S854">
        <f>ventas[[#This Row],[Total_Productos]]*ventas[[#This Row],[descuento_pct]]</f>
        <v>2750</v>
      </c>
      <c r="T854">
        <f>ventas[[#This Row],[Total_Productos]]-ventas[[#This Row],[Valor_descuento]]</f>
        <v>52250</v>
      </c>
    </row>
    <row r="855" spans="1:20" x14ac:dyDescent="0.3">
      <c r="A855">
        <v>602</v>
      </c>
      <c r="B855" s="1">
        <v>45529</v>
      </c>
      <c r="C855">
        <v>60</v>
      </c>
      <c r="D855">
        <v>1</v>
      </c>
      <c r="E855">
        <v>80</v>
      </c>
      <c r="F855" t="s">
        <v>199</v>
      </c>
      <c r="G855" t="s">
        <v>200</v>
      </c>
      <c r="H855" t="s">
        <v>42</v>
      </c>
      <c r="I855">
        <v>18</v>
      </c>
      <c r="J855" t="s">
        <v>37</v>
      </c>
      <c r="K855" t="str">
        <f>_xlfn.XLOOKUP( ventas[[#This Row],[ciudad_cliente]],  ciudades[Ciudad], ciudades[Region])</f>
        <v>Valparaíso</v>
      </c>
      <c r="L855" t="s">
        <v>38</v>
      </c>
      <c r="M855" t="s">
        <v>56</v>
      </c>
      <c r="N855" t="str">
        <f>_xlfn.XLOOKUP(ventas[[#This Row],[producto]], categ[Producto], categ[Categoria])</f>
        <v>Vestuario</v>
      </c>
      <c r="O855">
        <v>25000</v>
      </c>
      <c r="P855">
        <v>3</v>
      </c>
      <c r="Q855" s="11">
        <v>0.1</v>
      </c>
      <c r="R855">
        <f>(ventas[[#This Row],[precio_unitario]]*ventas[[#This Row],[cantidad]])</f>
        <v>75000</v>
      </c>
      <c r="S855">
        <f>ventas[[#This Row],[Total_Productos]]*ventas[[#This Row],[descuento_pct]]</f>
        <v>7500</v>
      </c>
      <c r="T855">
        <f>ventas[[#This Row],[Total_Productos]]-ventas[[#This Row],[Valor_descuento]]</f>
        <v>67500</v>
      </c>
    </row>
    <row r="856" spans="1:20" x14ac:dyDescent="0.3">
      <c r="A856">
        <v>177</v>
      </c>
      <c r="B856" s="1">
        <v>45104</v>
      </c>
      <c r="C856">
        <v>50</v>
      </c>
      <c r="D856">
        <v>0</v>
      </c>
      <c r="E856">
        <v>62</v>
      </c>
      <c r="F856" t="s">
        <v>330</v>
      </c>
      <c r="G856" t="s">
        <v>331</v>
      </c>
      <c r="H856" t="s">
        <v>42</v>
      </c>
      <c r="I856">
        <v>35</v>
      </c>
      <c r="J856" t="s">
        <v>20</v>
      </c>
      <c r="K856" t="str">
        <f>_xlfn.XLOOKUP( ventas[[#This Row],[ciudad_cliente]],  ciudades[Ciudad], ciudades[Region])</f>
        <v>La Araucanía</v>
      </c>
      <c r="L856" t="s">
        <v>38</v>
      </c>
      <c r="M856" t="s">
        <v>102</v>
      </c>
      <c r="N856" t="str">
        <f>_xlfn.XLOOKUP(ventas[[#This Row],[producto]], categ[Producto], categ[Categoria])</f>
        <v>Vestuario</v>
      </c>
      <c r="O856">
        <v>12000</v>
      </c>
      <c r="P856">
        <v>2</v>
      </c>
      <c r="Q856" s="11">
        <v>0.1</v>
      </c>
      <c r="R856">
        <f>(ventas[[#This Row],[precio_unitario]]*ventas[[#This Row],[cantidad]])</f>
        <v>24000</v>
      </c>
      <c r="S856">
        <f>ventas[[#This Row],[Total_Productos]]*ventas[[#This Row],[descuento_pct]]</f>
        <v>2400</v>
      </c>
      <c r="T856">
        <f>ventas[[#This Row],[Total_Productos]]-ventas[[#This Row],[Valor_descuento]]</f>
        <v>21600</v>
      </c>
    </row>
    <row r="857" spans="1:20" x14ac:dyDescent="0.3">
      <c r="A857">
        <v>340</v>
      </c>
      <c r="B857" s="1">
        <v>45267</v>
      </c>
      <c r="C857">
        <v>38</v>
      </c>
      <c r="D857">
        <v>8</v>
      </c>
      <c r="E857">
        <v>62</v>
      </c>
      <c r="F857" t="s">
        <v>330</v>
      </c>
      <c r="G857" t="s">
        <v>331</v>
      </c>
      <c r="H857" t="s">
        <v>42</v>
      </c>
      <c r="I857">
        <v>35</v>
      </c>
      <c r="J857" t="s">
        <v>52</v>
      </c>
      <c r="K857" t="str">
        <f>_xlfn.XLOOKUP( ventas[[#This Row],[ciudad_cliente]],  ciudades[Ciudad], ciudades[Region])</f>
        <v>Biobío</v>
      </c>
      <c r="L857" t="s">
        <v>29</v>
      </c>
      <c r="M857" t="s">
        <v>102</v>
      </c>
      <c r="N857" t="str">
        <f>_xlfn.XLOOKUP(ventas[[#This Row],[producto]], categ[Producto], categ[Categoria])</f>
        <v>Vestuario</v>
      </c>
      <c r="O857">
        <v>12000</v>
      </c>
      <c r="P857">
        <v>1</v>
      </c>
      <c r="Q857" s="11">
        <v>0.1</v>
      </c>
      <c r="R857">
        <f>(ventas[[#This Row],[precio_unitario]]*ventas[[#This Row],[cantidad]])</f>
        <v>12000</v>
      </c>
      <c r="S857">
        <f>ventas[[#This Row],[Total_Productos]]*ventas[[#This Row],[descuento_pct]]</f>
        <v>1200</v>
      </c>
      <c r="T857">
        <f>ventas[[#This Row],[Total_Productos]]-ventas[[#This Row],[Valor_descuento]]</f>
        <v>10800</v>
      </c>
    </row>
    <row r="858" spans="1:20" x14ac:dyDescent="0.3">
      <c r="A858">
        <v>407</v>
      </c>
      <c r="B858" s="1">
        <v>45334</v>
      </c>
      <c r="C858">
        <v>49</v>
      </c>
      <c r="D858">
        <v>1</v>
      </c>
      <c r="E858">
        <v>62</v>
      </c>
      <c r="F858" t="s">
        <v>330</v>
      </c>
      <c r="G858" t="s">
        <v>331</v>
      </c>
      <c r="H858" t="s">
        <v>42</v>
      </c>
      <c r="I858">
        <v>35</v>
      </c>
      <c r="J858" t="s">
        <v>43</v>
      </c>
      <c r="K858" t="str">
        <f>_xlfn.XLOOKUP( ventas[[#This Row],[ciudad_cliente]],  ciudades[Ciudad], ciudades[Region])</f>
        <v>Antofagasta</v>
      </c>
      <c r="L858" t="s">
        <v>22</v>
      </c>
      <c r="M858" t="s">
        <v>30</v>
      </c>
      <c r="N858" t="str">
        <f>_xlfn.XLOOKUP(ventas[[#This Row],[producto]], categ[Producto], categ[Categoria])</f>
        <v>Electrohogar</v>
      </c>
      <c r="O858">
        <v>700000</v>
      </c>
      <c r="P858">
        <v>1</v>
      </c>
      <c r="Q858" s="11">
        <v>0</v>
      </c>
      <c r="R858">
        <f>(ventas[[#This Row],[precio_unitario]]*ventas[[#This Row],[cantidad]])</f>
        <v>700000</v>
      </c>
      <c r="S858">
        <f>ventas[[#This Row],[Total_Productos]]*ventas[[#This Row],[descuento_pct]]</f>
        <v>0</v>
      </c>
      <c r="T858">
        <f>ventas[[#This Row],[Total_Productos]]-ventas[[#This Row],[Valor_descuento]]</f>
        <v>700000</v>
      </c>
    </row>
    <row r="859" spans="1:20" x14ac:dyDescent="0.3">
      <c r="A859">
        <v>653</v>
      </c>
      <c r="B859" s="1">
        <v>45580</v>
      </c>
      <c r="C859">
        <v>23</v>
      </c>
      <c r="D859">
        <v>0</v>
      </c>
      <c r="E859">
        <v>62</v>
      </c>
      <c r="F859" t="s">
        <v>330</v>
      </c>
      <c r="G859" t="s">
        <v>331</v>
      </c>
      <c r="H859" t="s">
        <v>42</v>
      </c>
      <c r="I859">
        <v>35</v>
      </c>
      <c r="J859" t="s">
        <v>52</v>
      </c>
      <c r="K859" t="str">
        <f>_xlfn.XLOOKUP( ventas[[#This Row],[ciudad_cliente]],  ciudades[Ciudad], ciudades[Region])</f>
        <v>Biobío</v>
      </c>
      <c r="L859" t="s">
        <v>22</v>
      </c>
      <c r="M859" t="s">
        <v>102</v>
      </c>
      <c r="N859" t="str">
        <f>_xlfn.XLOOKUP(ventas[[#This Row],[producto]], categ[Producto], categ[Categoria])</f>
        <v>Vestuario</v>
      </c>
      <c r="O859">
        <v>12000</v>
      </c>
      <c r="P859">
        <v>3</v>
      </c>
      <c r="Q859" s="11">
        <v>0.1</v>
      </c>
      <c r="R859">
        <f>(ventas[[#This Row],[precio_unitario]]*ventas[[#This Row],[cantidad]])</f>
        <v>36000</v>
      </c>
      <c r="S859">
        <f>ventas[[#This Row],[Total_Productos]]*ventas[[#This Row],[descuento_pct]]</f>
        <v>3600</v>
      </c>
      <c r="T859">
        <f>ventas[[#This Row],[Total_Productos]]-ventas[[#This Row],[Valor_descuento]]</f>
        <v>32400</v>
      </c>
    </row>
    <row r="860" spans="1:20" x14ac:dyDescent="0.3">
      <c r="A860">
        <v>856</v>
      </c>
      <c r="B860" s="1">
        <v>45783</v>
      </c>
      <c r="C860">
        <v>39</v>
      </c>
      <c r="D860">
        <v>6</v>
      </c>
      <c r="E860">
        <v>62</v>
      </c>
      <c r="F860" t="s">
        <v>330</v>
      </c>
      <c r="G860" t="s">
        <v>331</v>
      </c>
      <c r="H860" t="s">
        <v>42</v>
      </c>
      <c r="I860">
        <v>35</v>
      </c>
      <c r="J860" t="s">
        <v>43</v>
      </c>
      <c r="K860" t="str">
        <f>_xlfn.XLOOKUP( ventas[[#This Row],[ciudad_cliente]],  ciudades[Ciudad], ciudades[Region])</f>
        <v>Antofagasta</v>
      </c>
      <c r="L860" t="s">
        <v>38</v>
      </c>
      <c r="M860" t="s">
        <v>69</v>
      </c>
      <c r="N860" t="str">
        <f>_xlfn.XLOOKUP(ventas[[#This Row],[producto]], categ[Producto], categ[Categoria])</f>
        <v>Tecnología</v>
      </c>
      <c r="O860">
        <v>450000</v>
      </c>
      <c r="P860">
        <v>1</v>
      </c>
      <c r="Q860" s="11">
        <v>0.05</v>
      </c>
      <c r="R860">
        <f>(ventas[[#This Row],[precio_unitario]]*ventas[[#This Row],[cantidad]])</f>
        <v>450000</v>
      </c>
      <c r="S860">
        <f>ventas[[#This Row],[Total_Productos]]*ventas[[#This Row],[descuento_pct]]</f>
        <v>22500</v>
      </c>
      <c r="T860">
        <f>ventas[[#This Row],[Total_Productos]]-ventas[[#This Row],[Valor_descuento]]</f>
        <v>427500</v>
      </c>
    </row>
    <row r="861" spans="1:20" x14ac:dyDescent="0.3">
      <c r="A861">
        <v>70</v>
      </c>
      <c r="B861" s="1">
        <v>44997</v>
      </c>
      <c r="C861">
        <v>41</v>
      </c>
      <c r="D861">
        <v>4</v>
      </c>
      <c r="E861">
        <v>103</v>
      </c>
      <c r="F861" t="s">
        <v>179</v>
      </c>
      <c r="G861" t="s">
        <v>180</v>
      </c>
      <c r="H861" t="s">
        <v>19</v>
      </c>
      <c r="I861">
        <v>33</v>
      </c>
      <c r="J861" t="s">
        <v>43</v>
      </c>
      <c r="K861" t="str">
        <f>_xlfn.XLOOKUP( ventas[[#This Row],[ciudad_cliente]],  ciudades[Ciudad], ciudades[Region])</f>
        <v>Antofagasta</v>
      </c>
      <c r="L861" t="s">
        <v>29</v>
      </c>
      <c r="M861" t="s">
        <v>102</v>
      </c>
      <c r="N861" t="str">
        <f>_xlfn.XLOOKUP(ventas[[#This Row],[producto]], categ[Producto], categ[Categoria])</f>
        <v>Vestuario</v>
      </c>
      <c r="O861">
        <v>12000</v>
      </c>
      <c r="P861">
        <v>1</v>
      </c>
      <c r="Q861" s="11">
        <v>0.05</v>
      </c>
      <c r="R861">
        <f>(ventas[[#This Row],[precio_unitario]]*ventas[[#This Row],[cantidad]])</f>
        <v>12000</v>
      </c>
      <c r="S861">
        <f>ventas[[#This Row],[Total_Productos]]*ventas[[#This Row],[descuento_pct]]</f>
        <v>600</v>
      </c>
      <c r="T861">
        <f>ventas[[#This Row],[Total_Productos]]-ventas[[#This Row],[Valor_descuento]]</f>
        <v>11400</v>
      </c>
    </row>
    <row r="862" spans="1:20" x14ac:dyDescent="0.3">
      <c r="A862">
        <v>91</v>
      </c>
      <c r="B862" s="1">
        <v>45018</v>
      </c>
      <c r="C862">
        <v>6</v>
      </c>
      <c r="D862">
        <v>2</v>
      </c>
      <c r="E862">
        <v>103</v>
      </c>
      <c r="F862" t="s">
        <v>179</v>
      </c>
      <c r="G862" t="s">
        <v>180</v>
      </c>
      <c r="H862" t="s">
        <v>19</v>
      </c>
      <c r="I862">
        <v>33</v>
      </c>
      <c r="J862" t="s">
        <v>52</v>
      </c>
      <c r="K862" t="str">
        <f>_xlfn.XLOOKUP( ventas[[#This Row],[ciudad_cliente]],  ciudades[Ciudad], ciudades[Region])</f>
        <v>Biobío</v>
      </c>
      <c r="L862" t="s">
        <v>38</v>
      </c>
      <c r="M862" t="s">
        <v>102</v>
      </c>
      <c r="N862" t="str">
        <f>_xlfn.XLOOKUP(ventas[[#This Row],[producto]], categ[Producto], categ[Categoria])</f>
        <v>Vestuario</v>
      </c>
      <c r="O862">
        <v>12000</v>
      </c>
      <c r="P862">
        <v>3</v>
      </c>
      <c r="Q862" s="11">
        <v>0.05</v>
      </c>
      <c r="R862">
        <f>(ventas[[#This Row],[precio_unitario]]*ventas[[#This Row],[cantidad]])</f>
        <v>36000</v>
      </c>
      <c r="S862">
        <f>ventas[[#This Row],[Total_Productos]]*ventas[[#This Row],[descuento_pct]]</f>
        <v>1800</v>
      </c>
      <c r="T862">
        <f>ventas[[#This Row],[Total_Productos]]-ventas[[#This Row],[Valor_descuento]]</f>
        <v>34200</v>
      </c>
    </row>
    <row r="863" spans="1:20" x14ac:dyDescent="0.3">
      <c r="A863">
        <v>75</v>
      </c>
      <c r="B863" s="1">
        <v>45002</v>
      </c>
      <c r="C863">
        <v>43</v>
      </c>
      <c r="D863">
        <v>0</v>
      </c>
      <c r="E863">
        <v>69</v>
      </c>
      <c r="F863" t="s">
        <v>189</v>
      </c>
      <c r="G863" t="s">
        <v>190</v>
      </c>
      <c r="H863" t="s">
        <v>42</v>
      </c>
      <c r="I863">
        <v>42</v>
      </c>
      <c r="J863" t="s">
        <v>34</v>
      </c>
      <c r="K863" t="str">
        <f>_xlfn.XLOOKUP( ventas[[#This Row],[ciudad_cliente]],  ciudades[Ciudad], ciudades[Region])</f>
        <v>Metropolitana</v>
      </c>
      <c r="L863" t="s">
        <v>29</v>
      </c>
      <c r="M863" t="s">
        <v>23</v>
      </c>
      <c r="N863" t="str">
        <f>_xlfn.XLOOKUP(ventas[[#This Row],[producto]], categ[Producto], categ[Categoria])</f>
        <v>Belleza</v>
      </c>
      <c r="O863">
        <v>15000</v>
      </c>
      <c r="P863">
        <v>1</v>
      </c>
      <c r="Q863" s="11">
        <v>0</v>
      </c>
      <c r="R863">
        <f>(ventas[[#This Row],[precio_unitario]]*ventas[[#This Row],[cantidad]])</f>
        <v>15000</v>
      </c>
      <c r="S863">
        <f>ventas[[#This Row],[Total_Productos]]*ventas[[#This Row],[descuento_pct]]</f>
        <v>0</v>
      </c>
      <c r="T863">
        <f>ventas[[#This Row],[Total_Productos]]-ventas[[#This Row],[Valor_descuento]]</f>
        <v>15000</v>
      </c>
    </row>
    <row r="864" spans="1:20" x14ac:dyDescent="0.3">
      <c r="A864">
        <v>140</v>
      </c>
      <c r="B864" s="1">
        <v>45067</v>
      </c>
      <c r="C864">
        <v>8</v>
      </c>
      <c r="D864">
        <v>1</v>
      </c>
      <c r="E864">
        <v>69</v>
      </c>
      <c r="F864" t="s">
        <v>189</v>
      </c>
      <c r="G864" t="s">
        <v>190</v>
      </c>
      <c r="H864" t="s">
        <v>42</v>
      </c>
      <c r="I864">
        <v>42</v>
      </c>
      <c r="J864" t="s">
        <v>76</v>
      </c>
      <c r="K864" t="str">
        <f>_xlfn.XLOOKUP( ventas[[#This Row],[ciudad_cliente]],  ciudades[Ciudad], ciudades[Region])</f>
        <v>Los Lagos</v>
      </c>
      <c r="L864" t="s">
        <v>29</v>
      </c>
      <c r="M864" t="s">
        <v>46</v>
      </c>
      <c r="N864" t="str">
        <f>_xlfn.XLOOKUP(ventas[[#This Row],[producto]], categ[Producto], categ[Categoria])</f>
        <v>Tecnología</v>
      </c>
      <c r="O864">
        <v>750000</v>
      </c>
      <c r="P864">
        <v>2</v>
      </c>
      <c r="Q864" s="11">
        <v>0.1</v>
      </c>
      <c r="R864">
        <f>(ventas[[#This Row],[precio_unitario]]*ventas[[#This Row],[cantidad]])</f>
        <v>1500000</v>
      </c>
      <c r="S864">
        <f>ventas[[#This Row],[Total_Productos]]*ventas[[#This Row],[descuento_pct]]</f>
        <v>150000</v>
      </c>
      <c r="T864">
        <f>ventas[[#This Row],[Total_Productos]]-ventas[[#This Row],[Valor_descuento]]</f>
        <v>1350000</v>
      </c>
    </row>
    <row r="865" spans="1:20" x14ac:dyDescent="0.3">
      <c r="A865">
        <v>210</v>
      </c>
      <c r="B865" s="1">
        <v>45137</v>
      </c>
      <c r="C865">
        <v>54</v>
      </c>
      <c r="D865">
        <v>9</v>
      </c>
      <c r="E865">
        <v>69</v>
      </c>
      <c r="F865" t="s">
        <v>189</v>
      </c>
      <c r="G865" t="s">
        <v>190</v>
      </c>
      <c r="H865" t="s">
        <v>42</v>
      </c>
      <c r="I865">
        <v>42</v>
      </c>
      <c r="J865" t="s">
        <v>27</v>
      </c>
      <c r="K865" t="str">
        <f>_xlfn.XLOOKUP( ventas[[#This Row],[ciudad_cliente]],  ciudades[Ciudad], ciudades[Region])</f>
        <v>Biobío</v>
      </c>
      <c r="L865" t="s">
        <v>29</v>
      </c>
      <c r="M865" t="s">
        <v>23</v>
      </c>
      <c r="N865" t="str">
        <f>_xlfn.XLOOKUP(ventas[[#This Row],[producto]], categ[Producto], categ[Categoria])</f>
        <v>Belleza</v>
      </c>
      <c r="O865">
        <v>15000</v>
      </c>
      <c r="P865">
        <v>3</v>
      </c>
      <c r="Q865" s="11">
        <v>0.05</v>
      </c>
      <c r="R865">
        <f>(ventas[[#This Row],[precio_unitario]]*ventas[[#This Row],[cantidad]])</f>
        <v>45000</v>
      </c>
      <c r="S865">
        <f>ventas[[#This Row],[Total_Productos]]*ventas[[#This Row],[descuento_pct]]</f>
        <v>2250</v>
      </c>
      <c r="T865">
        <f>ventas[[#This Row],[Total_Productos]]-ventas[[#This Row],[Valor_descuento]]</f>
        <v>42750</v>
      </c>
    </row>
    <row r="866" spans="1:20" x14ac:dyDescent="0.3">
      <c r="A866">
        <v>310</v>
      </c>
      <c r="B866" s="1">
        <v>45237</v>
      </c>
      <c r="C866">
        <v>62</v>
      </c>
      <c r="D866">
        <v>4</v>
      </c>
      <c r="E866">
        <v>69</v>
      </c>
      <c r="F866" t="s">
        <v>189</v>
      </c>
      <c r="G866" t="s">
        <v>190</v>
      </c>
      <c r="H866" t="s">
        <v>42</v>
      </c>
      <c r="I866">
        <v>42</v>
      </c>
      <c r="J866" t="s">
        <v>76</v>
      </c>
      <c r="K866" t="str">
        <f>_xlfn.XLOOKUP( ventas[[#This Row],[ciudad_cliente]],  ciudades[Ciudad], ciudades[Region])</f>
        <v>Los Lagos</v>
      </c>
      <c r="L866" t="s">
        <v>29</v>
      </c>
      <c r="M866" t="s">
        <v>69</v>
      </c>
      <c r="N866" t="str">
        <f>_xlfn.XLOOKUP(ventas[[#This Row],[producto]], categ[Producto], categ[Categoria])</f>
        <v>Tecnología</v>
      </c>
      <c r="O866">
        <v>450000</v>
      </c>
      <c r="P866">
        <v>2</v>
      </c>
      <c r="Q866" s="11">
        <v>0.05</v>
      </c>
      <c r="R866">
        <f>(ventas[[#This Row],[precio_unitario]]*ventas[[#This Row],[cantidad]])</f>
        <v>900000</v>
      </c>
      <c r="S866">
        <f>ventas[[#This Row],[Total_Productos]]*ventas[[#This Row],[descuento_pct]]</f>
        <v>45000</v>
      </c>
      <c r="T866">
        <f>ventas[[#This Row],[Total_Productos]]-ventas[[#This Row],[Valor_descuento]]</f>
        <v>855000</v>
      </c>
    </row>
    <row r="867" spans="1:20" x14ac:dyDescent="0.3">
      <c r="A867">
        <v>404</v>
      </c>
      <c r="B867" s="1">
        <v>45331</v>
      </c>
      <c r="C867">
        <v>3</v>
      </c>
      <c r="D867">
        <v>1</v>
      </c>
      <c r="E867">
        <v>69</v>
      </c>
      <c r="F867" t="s">
        <v>189</v>
      </c>
      <c r="G867" t="s">
        <v>190</v>
      </c>
      <c r="H867" t="s">
        <v>42</v>
      </c>
      <c r="I867">
        <v>42</v>
      </c>
      <c r="J867" t="s">
        <v>37</v>
      </c>
      <c r="K867" t="str">
        <f>_xlfn.XLOOKUP( ventas[[#This Row],[ciudad_cliente]],  ciudades[Ciudad], ciudades[Region])</f>
        <v>Valparaíso</v>
      </c>
      <c r="L867" t="s">
        <v>38</v>
      </c>
      <c r="M867" t="s">
        <v>102</v>
      </c>
      <c r="N867" t="str">
        <f>_xlfn.XLOOKUP(ventas[[#This Row],[producto]], categ[Producto], categ[Categoria])</f>
        <v>Vestuario</v>
      </c>
      <c r="O867">
        <v>12000</v>
      </c>
      <c r="P867">
        <v>1</v>
      </c>
      <c r="Q867" s="11">
        <v>0</v>
      </c>
      <c r="R867">
        <f>(ventas[[#This Row],[precio_unitario]]*ventas[[#This Row],[cantidad]])</f>
        <v>12000</v>
      </c>
      <c r="S867">
        <f>ventas[[#This Row],[Total_Productos]]*ventas[[#This Row],[descuento_pct]]</f>
        <v>0</v>
      </c>
      <c r="T867">
        <f>ventas[[#This Row],[Total_Productos]]-ventas[[#This Row],[Valor_descuento]]</f>
        <v>12000</v>
      </c>
    </row>
    <row r="868" spans="1:20" x14ac:dyDescent="0.3">
      <c r="A868">
        <v>647</v>
      </c>
      <c r="B868" s="1">
        <v>45574</v>
      </c>
      <c r="C868">
        <v>70</v>
      </c>
      <c r="D868">
        <v>6</v>
      </c>
      <c r="E868">
        <v>69</v>
      </c>
      <c r="F868" t="s">
        <v>189</v>
      </c>
      <c r="G868" t="s">
        <v>190</v>
      </c>
      <c r="H868" t="s">
        <v>42</v>
      </c>
      <c r="I868">
        <v>42</v>
      </c>
      <c r="J868" t="s">
        <v>27</v>
      </c>
      <c r="K868" t="str">
        <f>_xlfn.XLOOKUP( ventas[[#This Row],[ciudad_cliente]],  ciudades[Ciudad], ciudades[Region])</f>
        <v>Biobío</v>
      </c>
      <c r="L868" t="s">
        <v>22</v>
      </c>
      <c r="M868" t="s">
        <v>62</v>
      </c>
      <c r="N868" t="str">
        <f>_xlfn.XLOOKUP(ventas[[#This Row],[producto]], categ[Producto], categ[Categoria])</f>
        <v>Electrohogar</v>
      </c>
      <c r="O868">
        <v>650000</v>
      </c>
      <c r="P868">
        <v>2</v>
      </c>
      <c r="Q868" s="11">
        <v>0</v>
      </c>
      <c r="R868">
        <f>(ventas[[#This Row],[precio_unitario]]*ventas[[#This Row],[cantidad]])</f>
        <v>1300000</v>
      </c>
      <c r="S868">
        <f>ventas[[#This Row],[Total_Productos]]*ventas[[#This Row],[descuento_pct]]</f>
        <v>0</v>
      </c>
      <c r="T868">
        <f>ventas[[#This Row],[Total_Productos]]-ventas[[#This Row],[Valor_descuento]]</f>
        <v>1300000</v>
      </c>
    </row>
    <row r="869" spans="1:20" x14ac:dyDescent="0.3">
      <c r="A869">
        <v>923</v>
      </c>
      <c r="B869" s="1">
        <v>45850</v>
      </c>
      <c r="C869">
        <v>7</v>
      </c>
      <c r="D869">
        <v>8</v>
      </c>
      <c r="E869">
        <v>69</v>
      </c>
      <c r="F869" t="s">
        <v>189</v>
      </c>
      <c r="G869" t="s">
        <v>190</v>
      </c>
      <c r="H869" t="s">
        <v>42</v>
      </c>
      <c r="I869">
        <v>42</v>
      </c>
      <c r="J869" t="s">
        <v>37</v>
      </c>
      <c r="K869" t="str">
        <f>_xlfn.XLOOKUP( ventas[[#This Row],[ciudad_cliente]],  ciudades[Ciudad], ciudades[Region])</f>
        <v>Valparaíso</v>
      </c>
      <c r="L869" t="s">
        <v>38</v>
      </c>
      <c r="M869" t="s">
        <v>46</v>
      </c>
      <c r="N869" t="str">
        <f>_xlfn.XLOOKUP(ventas[[#This Row],[producto]], categ[Producto], categ[Categoria])</f>
        <v>Tecnología</v>
      </c>
      <c r="O869">
        <v>750000</v>
      </c>
      <c r="P869">
        <v>3</v>
      </c>
      <c r="Q869" s="11">
        <v>0.1</v>
      </c>
      <c r="R869">
        <f>(ventas[[#This Row],[precio_unitario]]*ventas[[#This Row],[cantidad]])</f>
        <v>2250000</v>
      </c>
      <c r="S869">
        <f>ventas[[#This Row],[Total_Productos]]*ventas[[#This Row],[descuento_pct]]</f>
        <v>225000</v>
      </c>
      <c r="T869">
        <f>ventas[[#This Row],[Total_Productos]]-ventas[[#This Row],[Valor_descuento]]</f>
        <v>2025000</v>
      </c>
    </row>
    <row r="870" spans="1:20" x14ac:dyDescent="0.3">
      <c r="A870">
        <v>995</v>
      </c>
      <c r="B870" s="1">
        <v>45922</v>
      </c>
      <c r="C870">
        <v>31</v>
      </c>
      <c r="D870">
        <v>4</v>
      </c>
      <c r="E870">
        <v>69</v>
      </c>
      <c r="F870" t="s">
        <v>189</v>
      </c>
      <c r="G870" t="s">
        <v>190</v>
      </c>
      <c r="H870" t="s">
        <v>42</v>
      </c>
      <c r="I870">
        <v>42</v>
      </c>
      <c r="J870" t="s">
        <v>101</v>
      </c>
      <c r="K870" t="str">
        <f>_xlfn.XLOOKUP( ventas[[#This Row],[ciudad_cliente]],  ciudades[Ciudad], ciudades[Region])</f>
        <v>O'Higgins</v>
      </c>
      <c r="L870" t="s">
        <v>38</v>
      </c>
      <c r="M870" t="s">
        <v>39</v>
      </c>
      <c r="N870" t="str">
        <f>_xlfn.XLOOKUP(ventas[[#This Row],[producto]], categ[Producto], categ[Categoria])</f>
        <v>Belleza</v>
      </c>
      <c r="O870">
        <v>35000</v>
      </c>
      <c r="P870">
        <v>2</v>
      </c>
      <c r="Q870" s="11">
        <v>0.05</v>
      </c>
      <c r="R870">
        <f>(ventas[[#This Row],[precio_unitario]]*ventas[[#This Row],[cantidad]])</f>
        <v>70000</v>
      </c>
      <c r="S870">
        <f>ventas[[#This Row],[Total_Productos]]*ventas[[#This Row],[descuento_pct]]</f>
        <v>3500</v>
      </c>
      <c r="T870">
        <f>ventas[[#This Row],[Total_Productos]]-ventas[[#This Row],[Valor_descuento]]</f>
        <v>66500</v>
      </c>
    </row>
    <row r="871" spans="1:20" x14ac:dyDescent="0.3">
      <c r="A871">
        <v>436</v>
      </c>
      <c r="B871" s="1">
        <v>45363</v>
      </c>
      <c r="C871">
        <v>66</v>
      </c>
      <c r="D871">
        <v>2</v>
      </c>
      <c r="E871">
        <v>27</v>
      </c>
      <c r="F871" t="s">
        <v>516</v>
      </c>
      <c r="G871" t="s">
        <v>517</v>
      </c>
      <c r="H871" t="s">
        <v>42</v>
      </c>
      <c r="I871">
        <v>24</v>
      </c>
      <c r="J871" t="s">
        <v>27</v>
      </c>
      <c r="K871" t="str">
        <f>_xlfn.XLOOKUP( ventas[[#This Row],[ciudad_cliente]],  ciudades[Ciudad], ciudades[Region])</f>
        <v>Biobío</v>
      </c>
      <c r="L871" t="s">
        <v>38</v>
      </c>
      <c r="M871" t="s">
        <v>39</v>
      </c>
      <c r="N871" t="str">
        <f>_xlfn.XLOOKUP(ventas[[#This Row],[producto]], categ[Producto], categ[Categoria])</f>
        <v>Belleza</v>
      </c>
      <c r="O871">
        <v>35000</v>
      </c>
      <c r="P871">
        <v>1</v>
      </c>
      <c r="Q871" s="11">
        <v>0.05</v>
      </c>
      <c r="R871">
        <f>(ventas[[#This Row],[precio_unitario]]*ventas[[#This Row],[cantidad]])</f>
        <v>35000</v>
      </c>
      <c r="S871">
        <f>ventas[[#This Row],[Total_Productos]]*ventas[[#This Row],[descuento_pct]]</f>
        <v>1750</v>
      </c>
      <c r="T871">
        <f>ventas[[#This Row],[Total_Productos]]-ventas[[#This Row],[Valor_descuento]]</f>
        <v>33250</v>
      </c>
    </row>
    <row r="872" spans="1:20" x14ac:dyDescent="0.3">
      <c r="A872">
        <v>558</v>
      </c>
      <c r="B872" s="1">
        <v>45485</v>
      </c>
      <c r="C872">
        <v>32</v>
      </c>
      <c r="D872">
        <v>5</v>
      </c>
      <c r="E872">
        <v>27</v>
      </c>
      <c r="F872" t="s">
        <v>516</v>
      </c>
      <c r="G872" t="s">
        <v>517</v>
      </c>
      <c r="H872" t="s">
        <v>42</v>
      </c>
      <c r="I872">
        <v>24</v>
      </c>
      <c r="J872" t="s">
        <v>76</v>
      </c>
      <c r="K872" t="str">
        <f>_xlfn.XLOOKUP( ventas[[#This Row],[ciudad_cliente]],  ciudades[Ciudad], ciudades[Region])</f>
        <v>Los Lagos</v>
      </c>
      <c r="L872" t="s">
        <v>22</v>
      </c>
      <c r="M872" t="s">
        <v>102</v>
      </c>
      <c r="N872" t="str">
        <f>_xlfn.XLOOKUP(ventas[[#This Row],[producto]], categ[Producto], categ[Categoria])</f>
        <v>Vestuario</v>
      </c>
      <c r="O872">
        <v>12000</v>
      </c>
      <c r="P872">
        <v>3</v>
      </c>
      <c r="Q872" s="11">
        <v>0.1</v>
      </c>
      <c r="R872">
        <f>(ventas[[#This Row],[precio_unitario]]*ventas[[#This Row],[cantidad]])</f>
        <v>36000</v>
      </c>
      <c r="S872">
        <f>ventas[[#This Row],[Total_Productos]]*ventas[[#This Row],[descuento_pct]]</f>
        <v>3600</v>
      </c>
      <c r="T872">
        <f>ventas[[#This Row],[Total_Productos]]-ventas[[#This Row],[Valor_descuento]]</f>
        <v>32400</v>
      </c>
    </row>
    <row r="873" spans="1:20" x14ac:dyDescent="0.3">
      <c r="A873">
        <v>826</v>
      </c>
      <c r="B873" s="1">
        <v>45753</v>
      </c>
      <c r="C873">
        <v>14</v>
      </c>
      <c r="D873">
        <v>0</v>
      </c>
      <c r="E873">
        <v>27</v>
      </c>
      <c r="F873" t="s">
        <v>516</v>
      </c>
      <c r="G873" t="s">
        <v>517</v>
      </c>
      <c r="H873" t="s">
        <v>42</v>
      </c>
      <c r="I873">
        <v>24</v>
      </c>
      <c r="J873" t="s">
        <v>34</v>
      </c>
      <c r="K873" t="str">
        <f>_xlfn.XLOOKUP( ventas[[#This Row],[ciudad_cliente]],  ciudades[Ciudad], ciudades[Region])</f>
        <v>Metropolitana</v>
      </c>
      <c r="L873" t="s">
        <v>38</v>
      </c>
      <c r="M873" t="s">
        <v>69</v>
      </c>
      <c r="N873" t="str">
        <f>_xlfn.XLOOKUP(ventas[[#This Row],[producto]], categ[Producto], categ[Categoria])</f>
        <v>Tecnología</v>
      </c>
      <c r="O873">
        <v>450000</v>
      </c>
      <c r="P873">
        <v>2</v>
      </c>
      <c r="Q873" s="11">
        <v>0</v>
      </c>
      <c r="R873">
        <f>(ventas[[#This Row],[precio_unitario]]*ventas[[#This Row],[cantidad]])</f>
        <v>900000</v>
      </c>
      <c r="S873">
        <f>ventas[[#This Row],[Total_Productos]]*ventas[[#This Row],[descuento_pct]]</f>
        <v>0</v>
      </c>
      <c r="T873">
        <f>ventas[[#This Row],[Total_Productos]]-ventas[[#This Row],[Valor_descuento]]</f>
        <v>900000</v>
      </c>
    </row>
    <row r="874" spans="1:20" x14ac:dyDescent="0.3">
      <c r="A874">
        <v>844</v>
      </c>
      <c r="B874" s="1">
        <v>45771</v>
      </c>
      <c r="C874">
        <v>48</v>
      </c>
      <c r="D874">
        <v>6</v>
      </c>
      <c r="E874">
        <v>27</v>
      </c>
      <c r="F874" t="s">
        <v>516</v>
      </c>
      <c r="G874" t="s">
        <v>517</v>
      </c>
      <c r="H874" t="s">
        <v>42</v>
      </c>
      <c r="I874">
        <v>24</v>
      </c>
      <c r="J874" t="s">
        <v>37</v>
      </c>
      <c r="K874" t="str">
        <f>_xlfn.XLOOKUP( ventas[[#This Row],[ciudad_cliente]],  ciudades[Ciudad], ciudades[Region])</f>
        <v>Valparaíso</v>
      </c>
      <c r="L874" t="s">
        <v>38</v>
      </c>
      <c r="M874" t="s">
        <v>56</v>
      </c>
      <c r="N874" t="str">
        <f>_xlfn.XLOOKUP(ventas[[#This Row],[producto]], categ[Producto], categ[Categoria])</f>
        <v>Vestuario</v>
      </c>
      <c r="O874">
        <v>25000</v>
      </c>
      <c r="P874">
        <v>3</v>
      </c>
      <c r="Q874" s="11">
        <v>0</v>
      </c>
      <c r="R874">
        <f>(ventas[[#This Row],[precio_unitario]]*ventas[[#This Row],[cantidad]])</f>
        <v>75000</v>
      </c>
      <c r="S874">
        <f>ventas[[#This Row],[Total_Productos]]*ventas[[#This Row],[descuento_pct]]</f>
        <v>0</v>
      </c>
      <c r="T874">
        <f>ventas[[#This Row],[Total_Productos]]-ventas[[#This Row],[Valor_descuento]]</f>
        <v>75000</v>
      </c>
    </row>
    <row r="875" spans="1:20" x14ac:dyDescent="0.3">
      <c r="A875">
        <v>34</v>
      </c>
      <c r="B875" s="1">
        <v>44961</v>
      </c>
      <c r="C875">
        <v>18</v>
      </c>
      <c r="D875">
        <v>1</v>
      </c>
      <c r="E875">
        <v>127</v>
      </c>
      <c r="F875" t="s">
        <v>117</v>
      </c>
      <c r="G875" t="s">
        <v>118</v>
      </c>
      <c r="H875" t="s">
        <v>42</v>
      </c>
      <c r="I875">
        <v>26</v>
      </c>
      <c r="J875" t="s">
        <v>27</v>
      </c>
      <c r="K875" t="str">
        <f>_xlfn.XLOOKUP( ventas[[#This Row],[ciudad_cliente]],  ciudades[Ciudad], ciudades[Region])</f>
        <v>Biobío</v>
      </c>
      <c r="L875" t="s">
        <v>38</v>
      </c>
      <c r="M875" t="s">
        <v>39</v>
      </c>
      <c r="N875" t="str">
        <f>_xlfn.XLOOKUP(ventas[[#This Row],[producto]], categ[Producto], categ[Categoria])</f>
        <v>Belleza</v>
      </c>
      <c r="O875">
        <v>35000</v>
      </c>
      <c r="P875">
        <v>1</v>
      </c>
      <c r="Q875" s="11">
        <v>0.1</v>
      </c>
      <c r="R875">
        <f>(ventas[[#This Row],[precio_unitario]]*ventas[[#This Row],[cantidad]])</f>
        <v>35000</v>
      </c>
      <c r="S875">
        <f>ventas[[#This Row],[Total_Productos]]*ventas[[#This Row],[descuento_pct]]</f>
        <v>3500</v>
      </c>
      <c r="T875">
        <f>ventas[[#This Row],[Total_Productos]]-ventas[[#This Row],[Valor_descuento]]</f>
        <v>31500</v>
      </c>
    </row>
    <row r="876" spans="1:20" x14ac:dyDescent="0.3">
      <c r="A876">
        <v>708</v>
      </c>
      <c r="B876" s="1">
        <v>45635</v>
      </c>
      <c r="C876">
        <v>63</v>
      </c>
      <c r="D876">
        <v>5</v>
      </c>
      <c r="E876">
        <v>127</v>
      </c>
      <c r="F876" t="s">
        <v>117</v>
      </c>
      <c r="G876" t="s">
        <v>118</v>
      </c>
      <c r="H876" t="s">
        <v>42</v>
      </c>
      <c r="I876">
        <v>26</v>
      </c>
      <c r="J876" t="s">
        <v>101</v>
      </c>
      <c r="K876" t="str">
        <f>_xlfn.XLOOKUP( ventas[[#This Row],[ciudad_cliente]],  ciudades[Ciudad], ciudades[Region])</f>
        <v>O'Higgins</v>
      </c>
      <c r="L876" t="s">
        <v>38</v>
      </c>
      <c r="M876" t="s">
        <v>46</v>
      </c>
      <c r="N876" t="str">
        <f>_xlfn.XLOOKUP(ventas[[#This Row],[producto]], categ[Producto], categ[Categoria])</f>
        <v>Tecnología</v>
      </c>
      <c r="O876">
        <v>750000</v>
      </c>
      <c r="P876">
        <v>2</v>
      </c>
      <c r="Q876" s="11">
        <v>0.1</v>
      </c>
      <c r="R876">
        <f>(ventas[[#This Row],[precio_unitario]]*ventas[[#This Row],[cantidad]])</f>
        <v>1500000</v>
      </c>
      <c r="S876">
        <f>ventas[[#This Row],[Total_Productos]]*ventas[[#This Row],[descuento_pct]]</f>
        <v>150000</v>
      </c>
      <c r="T876">
        <f>ventas[[#This Row],[Total_Productos]]-ventas[[#This Row],[Valor_descuento]]</f>
        <v>1350000</v>
      </c>
    </row>
    <row r="877" spans="1:20" x14ac:dyDescent="0.3">
      <c r="A877">
        <v>820</v>
      </c>
      <c r="B877" s="1">
        <v>45747</v>
      </c>
      <c r="C877">
        <v>44</v>
      </c>
      <c r="D877">
        <v>7</v>
      </c>
      <c r="E877">
        <v>127</v>
      </c>
      <c r="F877" t="s">
        <v>117</v>
      </c>
      <c r="G877" t="s">
        <v>118</v>
      </c>
      <c r="H877" t="s">
        <v>42</v>
      </c>
      <c r="I877">
        <v>26</v>
      </c>
      <c r="J877" t="s">
        <v>43</v>
      </c>
      <c r="K877" t="str">
        <f>_xlfn.XLOOKUP( ventas[[#This Row],[ciudad_cliente]],  ciudades[Ciudad], ciudades[Region])</f>
        <v>Antofagasta</v>
      </c>
      <c r="L877" t="s">
        <v>22</v>
      </c>
      <c r="M877" t="s">
        <v>30</v>
      </c>
      <c r="N877" t="str">
        <f>_xlfn.XLOOKUP(ventas[[#This Row],[producto]], categ[Producto], categ[Categoria])</f>
        <v>Electrohogar</v>
      </c>
      <c r="O877">
        <v>700000</v>
      </c>
      <c r="P877">
        <v>3</v>
      </c>
      <c r="Q877" s="11">
        <v>0</v>
      </c>
      <c r="R877">
        <f>(ventas[[#This Row],[precio_unitario]]*ventas[[#This Row],[cantidad]])</f>
        <v>2100000</v>
      </c>
      <c r="S877">
        <f>ventas[[#This Row],[Total_Productos]]*ventas[[#This Row],[descuento_pct]]</f>
        <v>0</v>
      </c>
      <c r="T877">
        <f>ventas[[#This Row],[Total_Productos]]-ventas[[#This Row],[Valor_descuento]]</f>
        <v>2100000</v>
      </c>
    </row>
    <row r="878" spans="1:20" x14ac:dyDescent="0.3">
      <c r="A878">
        <v>123</v>
      </c>
      <c r="B878" s="1">
        <v>45050</v>
      </c>
      <c r="C878">
        <v>28</v>
      </c>
      <c r="D878">
        <v>5</v>
      </c>
      <c r="E878">
        <v>206</v>
      </c>
      <c r="F878" t="s">
        <v>259</v>
      </c>
      <c r="G878" t="s">
        <v>260</v>
      </c>
      <c r="H878" t="s">
        <v>42</v>
      </c>
      <c r="I878">
        <v>26</v>
      </c>
      <c r="J878" t="s">
        <v>116</v>
      </c>
      <c r="K878" t="str">
        <f>_xlfn.XLOOKUP( ventas[[#This Row],[ciudad_cliente]],  ciudades[Ciudad], ciudades[Region])</f>
        <v>Valparaíso</v>
      </c>
      <c r="L878" t="s">
        <v>38</v>
      </c>
      <c r="M878" t="s">
        <v>69</v>
      </c>
      <c r="N878" t="str">
        <f>_xlfn.XLOOKUP(ventas[[#This Row],[producto]], categ[Producto], categ[Categoria])</f>
        <v>Tecnología</v>
      </c>
      <c r="O878">
        <v>450000</v>
      </c>
      <c r="P878">
        <v>2</v>
      </c>
      <c r="Q878" s="11">
        <v>0.1</v>
      </c>
      <c r="R878">
        <f>(ventas[[#This Row],[precio_unitario]]*ventas[[#This Row],[cantidad]])</f>
        <v>900000</v>
      </c>
      <c r="S878">
        <f>ventas[[#This Row],[Total_Productos]]*ventas[[#This Row],[descuento_pct]]</f>
        <v>90000</v>
      </c>
      <c r="T878">
        <f>ventas[[#This Row],[Total_Productos]]-ventas[[#This Row],[Valor_descuento]]</f>
        <v>810000</v>
      </c>
    </row>
    <row r="879" spans="1:20" x14ac:dyDescent="0.3">
      <c r="A879">
        <v>431</v>
      </c>
      <c r="B879" s="1">
        <v>45358</v>
      </c>
      <c r="C879">
        <v>40</v>
      </c>
      <c r="D879">
        <v>1</v>
      </c>
      <c r="E879">
        <v>206</v>
      </c>
      <c r="F879" t="s">
        <v>259</v>
      </c>
      <c r="G879" t="s">
        <v>260</v>
      </c>
      <c r="H879" t="s">
        <v>42</v>
      </c>
      <c r="I879">
        <v>26</v>
      </c>
      <c r="J879" t="s">
        <v>27</v>
      </c>
      <c r="K879" t="str">
        <f>_xlfn.XLOOKUP( ventas[[#This Row],[ciudad_cliente]],  ciudades[Ciudad], ciudades[Region])</f>
        <v>Biobío</v>
      </c>
      <c r="L879" t="s">
        <v>29</v>
      </c>
      <c r="M879" t="s">
        <v>46</v>
      </c>
      <c r="N879" t="str">
        <f>_xlfn.XLOOKUP(ventas[[#This Row],[producto]], categ[Producto], categ[Categoria])</f>
        <v>Tecnología</v>
      </c>
      <c r="O879">
        <v>750000</v>
      </c>
      <c r="P879">
        <v>1</v>
      </c>
      <c r="Q879" s="11">
        <v>0.05</v>
      </c>
      <c r="R879">
        <f>(ventas[[#This Row],[precio_unitario]]*ventas[[#This Row],[cantidad]])</f>
        <v>750000</v>
      </c>
      <c r="S879">
        <f>ventas[[#This Row],[Total_Productos]]*ventas[[#This Row],[descuento_pct]]</f>
        <v>37500</v>
      </c>
      <c r="T879">
        <f>ventas[[#This Row],[Total_Productos]]-ventas[[#This Row],[Valor_descuento]]</f>
        <v>712500</v>
      </c>
    </row>
    <row r="880" spans="1:20" x14ac:dyDescent="0.3">
      <c r="A880">
        <v>871</v>
      </c>
      <c r="B880" s="1">
        <v>45798</v>
      </c>
      <c r="C880">
        <v>67</v>
      </c>
      <c r="D880">
        <v>0</v>
      </c>
      <c r="E880">
        <v>206</v>
      </c>
      <c r="F880" t="s">
        <v>259</v>
      </c>
      <c r="G880" t="s">
        <v>260</v>
      </c>
      <c r="H880" t="s">
        <v>42</v>
      </c>
      <c r="I880">
        <v>26</v>
      </c>
      <c r="J880" t="s">
        <v>27</v>
      </c>
      <c r="K880" t="str">
        <f>_xlfn.XLOOKUP( ventas[[#This Row],[ciudad_cliente]],  ciudades[Ciudad], ciudades[Region])</f>
        <v>Biobío</v>
      </c>
      <c r="L880" t="s">
        <v>22</v>
      </c>
      <c r="M880" t="s">
        <v>49</v>
      </c>
      <c r="N880" t="str">
        <f>_xlfn.XLOOKUP(ventas[[#This Row],[producto]], categ[Producto], categ[Categoria])</f>
        <v>Electrohogar</v>
      </c>
      <c r="O880">
        <v>800000</v>
      </c>
      <c r="P880">
        <v>1</v>
      </c>
      <c r="Q880" s="11">
        <v>0</v>
      </c>
      <c r="R880">
        <f>(ventas[[#This Row],[precio_unitario]]*ventas[[#This Row],[cantidad]])</f>
        <v>800000</v>
      </c>
      <c r="S880">
        <f>ventas[[#This Row],[Total_Productos]]*ventas[[#This Row],[descuento_pct]]</f>
        <v>0</v>
      </c>
      <c r="T880">
        <f>ventas[[#This Row],[Total_Productos]]-ventas[[#This Row],[Valor_descuento]]</f>
        <v>800000</v>
      </c>
    </row>
    <row r="881" spans="1:20" x14ac:dyDescent="0.3">
      <c r="A881">
        <v>73</v>
      </c>
      <c r="B881" s="1">
        <v>45000</v>
      </c>
      <c r="C881">
        <v>68</v>
      </c>
      <c r="D881">
        <v>2</v>
      </c>
      <c r="E881">
        <v>144</v>
      </c>
      <c r="F881" t="s">
        <v>185</v>
      </c>
      <c r="G881" t="s">
        <v>186</v>
      </c>
      <c r="H881" t="s">
        <v>42</v>
      </c>
      <c r="I881">
        <v>40</v>
      </c>
      <c r="J881" t="s">
        <v>34</v>
      </c>
      <c r="K881" t="str">
        <f>_xlfn.XLOOKUP( ventas[[#This Row],[ciudad_cliente]],  ciudades[Ciudad], ciudades[Region])</f>
        <v>Metropolitana</v>
      </c>
      <c r="L881" t="s">
        <v>38</v>
      </c>
      <c r="M881" t="s">
        <v>46</v>
      </c>
      <c r="N881" t="str">
        <f>_xlfn.XLOOKUP(ventas[[#This Row],[producto]], categ[Producto], categ[Categoria])</f>
        <v>Tecnología</v>
      </c>
      <c r="O881">
        <v>750000</v>
      </c>
      <c r="P881">
        <v>2</v>
      </c>
      <c r="Q881" s="11">
        <v>0</v>
      </c>
      <c r="R881">
        <f>(ventas[[#This Row],[precio_unitario]]*ventas[[#This Row],[cantidad]])</f>
        <v>1500000</v>
      </c>
      <c r="S881">
        <f>ventas[[#This Row],[Total_Productos]]*ventas[[#This Row],[descuento_pct]]</f>
        <v>0</v>
      </c>
      <c r="T881">
        <f>ventas[[#This Row],[Total_Productos]]-ventas[[#This Row],[Valor_descuento]]</f>
        <v>1500000</v>
      </c>
    </row>
    <row r="882" spans="1:20" x14ac:dyDescent="0.3">
      <c r="A882">
        <v>191</v>
      </c>
      <c r="B882" s="1">
        <v>45118</v>
      </c>
      <c r="C882">
        <v>29</v>
      </c>
      <c r="D882">
        <v>1</v>
      </c>
      <c r="E882">
        <v>144</v>
      </c>
      <c r="F882" t="s">
        <v>185</v>
      </c>
      <c r="G882" t="s">
        <v>186</v>
      </c>
      <c r="H882" t="s">
        <v>42</v>
      </c>
      <c r="I882">
        <v>40</v>
      </c>
      <c r="J882" t="s">
        <v>116</v>
      </c>
      <c r="K882" t="str">
        <f>_xlfn.XLOOKUP( ventas[[#This Row],[ciudad_cliente]],  ciudades[Ciudad], ciudades[Region])</f>
        <v>Valparaíso</v>
      </c>
      <c r="L882" t="s">
        <v>38</v>
      </c>
      <c r="M882" t="s">
        <v>56</v>
      </c>
      <c r="N882" t="str">
        <f>_xlfn.XLOOKUP(ventas[[#This Row],[producto]], categ[Producto], categ[Categoria])</f>
        <v>Vestuario</v>
      </c>
      <c r="O882">
        <v>25000</v>
      </c>
      <c r="P882">
        <v>2</v>
      </c>
      <c r="Q882" s="11">
        <v>0.05</v>
      </c>
      <c r="R882">
        <f>(ventas[[#This Row],[precio_unitario]]*ventas[[#This Row],[cantidad]])</f>
        <v>50000</v>
      </c>
      <c r="S882">
        <f>ventas[[#This Row],[Total_Productos]]*ventas[[#This Row],[descuento_pct]]</f>
        <v>2500</v>
      </c>
      <c r="T882">
        <f>ventas[[#This Row],[Total_Productos]]-ventas[[#This Row],[Valor_descuento]]</f>
        <v>47500</v>
      </c>
    </row>
    <row r="883" spans="1:20" x14ac:dyDescent="0.3">
      <c r="A883">
        <v>270</v>
      </c>
      <c r="B883" s="1">
        <v>45197</v>
      </c>
      <c r="C883">
        <v>13</v>
      </c>
      <c r="D883">
        <v>0</v>
      </c>
      <c r="E883">
        <v>144</v>
      </c>
      <c r="F883" t="s">
        <v>185</v>
      </c>
      <c r="G883" t="s">
        <v>186</v>
      </c>
      <c r="H883" t="s">
        <v>42</v>
      </c>
      <c r="I883">
        <v>40</v>
      </c>
      <c r="J883" t="s">
        <v>27</v>
      </c>
      <c r="K883" t="str">
        <f>_xlfn.XLOOKUP( ventas[[#This Row],[ciudad_cliente]],  ciudades[Ciudad], ciudades[Region])</f>
        <v>Biobío</v>
      </c>
      <c r="L883" t="s">
        <v>22</v>
      </c>
      <c r="M883" t="s">
        <v>23</v>
      </c>
      <c r="N883" t="str">
        <f>_xlfn.XLOOKUP(ventas[[#This Row],[producto]], categ[Producto], categ[Categoria])</f>
        <v>Belleza</v>
      </c>
      <c r="O883">
        <v>15000</v>
      </c>
      <c r="P883">
        <v>1</v>
      </c>
      <c r="Q883" s="11">
        <v>0</v>
      </c>
      <c r="R883">
        <f>(ventas[[#This Row],[precio_unitario]]*ventas[[#This Row],[cantidad]])</f>
        <v>15000</v>
      </c>
      <c r="S883">
        <f>ventas[[#This Row],[Total_Productos]]*ventas[[#This Row],[descuento_pct]]</f>
        <v>0</v>
      </c>
      <c r="T883">
        <f>ventas[[#This Row],[Total_Productos]]-ventas[[#This Row],[Valor_descuento]]</f>
        <v>15000</v>
      </c>
    </row>
    <row r="884" spans="1:20" x14ac:dyDescent="0.3">
      <c r="A884">
        <v>836</v>
      </c>
      <c r="B884" s="1">
        <v>45763</v>
      </c>
      <c r="C884">
        <v>41</v>
      </c>
      <c r="D884">
        <v>4</v>
      </c>
      <c r="E884">
        <v>144</v>
      </c>
      <c r="F884" t="s">
        <v>185</v>
      </c>
      <c r="G884" t="s">
        <v>186</v>
      </c>
      <c r="H884" t="s">
        <v>42</v>
      </c>
      <c r="I884">
        <v>40</v>
      </c>
      <c r="J884" t="s">
        <v>43</v>
      </c>
      <c r="K884" t="str">
        <f>_xlfn.XLOOKUP( ventas[[#This Row],[ciudad_cliente]],  ciudades[Ciudad], ciudades[Region])</f>
        <v>Antofagasta</v>
      </c>
      <c r="L884" t="s">
        <v>22</v>
      </c>
      <c r="M884" t="s">
        <v>23</v>
      </c>
      <c r="N884" t="str">
        <f>_xlfn.XLOOKUP(ventas[[#This Row],[producto]], categ[Producto], categ[Categoria])</f>
        <v>Belleza</v>
      </c>
      <c r="O884">
        <v>15000</v>
      </c>
      <c r="P884">
        <v>2</v>
      </c>
      <c r="Q884" s="11">
        <v>0</v>
      </c>
      <c r="R884">
        <f>(ventas[[#This Row],[precio_unitario]]*ventas[[#This Row],[cantidad]])</f>
        <v>30000</v>
      </c>
      <c r="S884">
        <f>ventas[[#This Row],[Total_Productos]]*ventas[[#This Row],[descuento_pct]]</f>
        <v>0</v>
      </c>
      <c r="T884">
        <f>ventas[[#This Row],[Total_Productos]]-ventas[[#This Row],[Valor_descuento]]</f>
        <v>30000</v>
      </c>
    </row>
    <row r="885" spans="1:20" x14ac:dyDescent="0.3">
      <c r="A885">
        <v>44</v>
      </c>
      <c r="B885" s="1">
        <v>44971</v>
      </c>
      <c r="C885">
        <v>10</v>
      </c>
      <c r="D885">
        <v>7</v>
      </c>
      <c r="E885">
        <v>41</v>
      </c>
      <c r="F885" t="s">
        <v>132</v>
      </c>
      <c r="G885" t="s">
        <v>133</v>
      </c>
      <c r="H885" t="s">
        <v>42</v>
      </c>
      <c r="I885">
        <v>46</v>
      </c>
      <c r="J885" t="s">
        <v>37</v>
      </c>
      <c r="K885" t="str">
        <f>_xlfn.XLOOKUP( ventas[[#This Row],[ciudad_cliente]],  ciudades[Ciudad], ciudades[Region])</f>
        <v>Valparaíso</v>
      </c>
      <c r="L885" t="s">
        <v>29</v>
      </c>
      <c r="M885" t="s">
        <v>98</v>
      </c>
      <c r="N885" t="str">
        <f>_xlfn.XLOOKUP(ventas[[#This Row],[producto]], categ[Producto], categ[Categoria])</f>
        <v>Calzado</v>
      </c>
      <c r="O885">
        <v>55000</v>
      </c>
      <c r="P885">
        <v>3</v>
      </c>
      <c r="Q885" s="11">
        <v>0.05</v>
      </c>
      <c r="R885">
        <f>(ventas[[#This Row],[precio_unitario]]*ventas[[#This Row],[cantidad]])</f>
        <v>165000</v>
      </c>
      <c r="S885">
        <f>ventas[[#This Row],[Total_Productos]]*ventas[[#This Row],[descuento_pct]]</f>
        <v>8250</v>
      </c>
      <c r="T885">
        <f>ventas[[#This Row],[Total_Productos]]-ventas[[#This Row],[Valor_descuento]]</f>
        <v>156750</v>
      </c>
    </row>
    <row r="886" spans="1:20" x14ac:dyDescent="0.3">
      <c r="A886">
        <v>220</v>
      </c>
      <c r="B886" s="1">
        <v>45147</v>
      </c>
      <c r="C886">
        <v>35</v>
      </c>
      <c r="D886">
        <v>1</v>
      </c>
      <c r="E886">
        <v>41</v>
      </c>
      <c r="F886" t="s">
        <v>132</v>
      </c>
      <c r="G886" t="s">
        <v>133</v>
      </c>
      <c r="H886" t="s">
        <v>42</v>
      </c>
      <c r="I886">
        <v>46</v>
      </c>
      <c r="J886" t="s">
        <v>43</v>
      </c>
      <c r="K886" t="str">
        <f>_xlfn.XLOOKUP( ventas[[#This Row],[ciudad_cliente]],  ciudades[Ciudad], ciudades[Region])</f>
        <v>Antofagasta</v>
      </c>
      <c r="L886" t="s">
        <v>22</v>
      </c>
      <c r="M886" t="s">
        <v>69</v>
      </c>
      <c r="N886" t="str">
        <f>_xlfn.XLOOKUP(ventas[[#This Row],[producto]], categ[Producto], categ[Categoria])</f>
        <v>Tecnología</v>
      </c>
      <c r="O886">
        <v>450000</v>
      </c>
      <c r="P886">
        <v>3</v>
      </c>
      <c r="Q886" s="11">
        <v>0.05</v>
      </c>
      <c r="R886">
        <f>(ventas[[#This Row],[precio_unitario]]*ventas[[#This Row],[cantidad]])</f>
        <v>1350000</v>
      </c>
      <c r="S886">
        <f>ventas[[#This Row],[Total_Productos]]*ventas[[#This Row],[descuento_pct]]</f>
        <v>67500</v>
      </c>
      <c r="T886">
        <f>ventas[[#This Row],[Total_Productos]]-ventas[[#This Row],[Valor_descuento]]</f>
        <v>1282500</v>
      </c>
    </row>
    <row r="887" spans="1:20" x14ac:dyDescent="0.3">
      <c r="A887">
        <v>33</v>
      </c>
      <c r="B887" s="1">
        <v>44960</v>
      </c>
      <c r="C887">
        <v>12</v>
      </c>
      <c r="D887">
        <v>0</v>
      </c>
      <c r="E887">
        <v>2</v>
      </c>
      <c r="F887" t="s">
        <v>114</v>
      </c>
      <c r="G887" t="s">
        <v>115</v>
      </c>
      <c r="H887" t="s">
        <v>19</v>
      </c>
      <c r="I887">
        <v>36</v>
      </c>
      <c r="J887" t="s">
        <v>116</v>
      </c>
      <c r="K887" t="str">
        <f>_xlfn.XLOOKUP( ventas[[#This Row],[ciudad_cliente]],  ciudades[Ciudad], ciudades[Region])</f>
        <v>Valparaíso</v>
      </c>
      <c r="L887" t="s">
        <v>38</v>
      </c>
      <c r="M887" t="s">
        <v>69</v>
      </c>
      <c r="N887" t="str">
        <f>_xlfn.XLOOKUP(ventas[[#This Row],[producto]], categ[Producto], categ[Categoria])</f>
        <v>Tecnología</v>
      </c>
      <c r="O887">
        <v>450000</v>
      </c>
      <c r="P887">
        <v>2</v>
      </c>
      <c r="Q887" s="11">
        <v>0</v>
      </c>
      <c r="R887">
        <f>(ventas[[#This Row],[precio_unitario]]*ventas[[#This Row],[cantidad]])</f>
        <v>900000</v>
      </c>
      <c r="S887">
        <f>ventas[[#This Row],[Total_Productos]]*ventas[[#This Row],[descuento_pct]]</f>
        <v>0</v>
      </c>
      <c r="T887">
        <f>ventas[[#This Row],[Total_Productos]]-ventas[[#This Row],[Valor_descuento]]</f>
        <v>900000</v>
      </c>
    </row>
    <row r="888" spans="1:20" x14ac:dyDescent="0.3">
      <c r="A888">
        <v>359</v>
      </c>
      <c r="B888" s="1">
        <v>45286</v>
      </c>
      <c r="C888">
        <v>7</v>
      </c>
      <c r="D888">
        <v>8</v>
      </c>
      <c r="E888">
        <v>2</v>
      </c>
      <c r="F888" t="s">
        <v>114</v>
      </c>
      <c r="G888" t="s">
        <v>115</v>
      </c>
      <c r="H888" t="s">
        <v>19</v>
      </c>
      <c r="I888">
        <v>36</v>
      </c>
      <c r="J888" t="s">
        <v>37</v>
      </c>
      <c r="K888" t="str">
        <f>_xlfn.XLOOKUP( ventas[[#This Row],[ciudad_cliente]],  ciudades[Ciudad], ciudades[Region])</f>
        <v>Valparaíso</v>
      </c>
      <c r="L888" t="s">
        <v>22</v>
      </c>
      <c r="M888" t="s">
        <v>69</v>
      </c>
      <c r="N888" t="str">
        <f>_xlfn.XLOOKUP(ventas[[#This Row],[producto]], categ[Producto], categ[Categoria])</f>
        <v>Tecnología</v>
      </c>
      <c r="O888">
        <v>450000</v>
      </c>
      <c r="P888">
        <v>2</v>
      </c>
      <c r="Q888" s="11">
        <v>0.1</v>
      </c>
      <c r="R888">
        <f>(ventas[[#This Row],[precio_unitario]]*ventas[[#This Row],[cantidad]])</f>
        <v>900000</v>
      </c>
      <c r="S888">
        <f>ventas[[#This Row],[Total_Productos]]*ventas[[#This Row],[descuento_pct]]</f>
        <v>90000</v>
      </c>
      <c r="T888">
        <f>ventas[[#This Row],[Total_Productos]]-ventas[[#This Row],[Valor_descuento]]</f>
        <v>810000</v>
      </c>
    </row>
    <row r="889" spans="1:20" x14ac:dyDescent="0.3">
      <c r="A889">
        <v>609</v>
      </c>
      <c r="B889" s="1">
        <v>45536</v>
      </c>
      <c r="C889">
        <v>10</v>
      </c>
      <c r="D889">
        <v>7</v>
      </c>
      <c r="E889">
        <v>2</v>
      </c>
      <c r="F889" t="s">
        <v>114</v>
      </c>
      <c r="G889" t="s">
        <v>115</v>
      </c>
      <c r="H889" t="s">
        <v>19</v>
      </c>
      <c r="I889">
        <v>36</v>
      </c>
      <c r="J889" t="s">
        <v>37</v>
      </c>
      <c r="K889" t="str">
        <f>_xlfn.XLOOKUP( ventas[[#This Row],[ciudad_cliente]],  ciudades[Ciudad], ciudades[Region])</f>
        <v>Valparaíso</v>
      </c>
      <c r="L889" t="s">
        <v>22</v>
      </c>
      <c r="M889" t="s">
        <v>102</v>
      </c>
      <c r="N889" t="str">
        <f>_xlfn.XLOOKUP(ventas[[#This Row],[producto]], categ[Producto], categ[Categoria])</f>
        <v>Vestuario</v>
      </c>
      <c r="O889">
        <v>12000</v>
      </c>
      <c r="P889">
        <v>1</v>
      </c>
      <c r="Q889" s="11">
        <v>0.1</v>
      </c>
      <c r="R889">
        <f>(ventas[[#This Row],[precio_unitario]]*ventas[[#This Row],[cantidad]])</f>
        <v>12000</v>
      </c>
      <c r="S889">
        <f>ventas[[#This Row],[Total_Productos]]*ventas[[#This Row],[descuento_pct]]</f>
        <v>1200</v>
      </c>
      <c r="T889">
        <f>ventas[[#This Row],[Total_Productos]]-ventas[[#This Row],[Valor_descuento]]</f>
        <v>10800</v>
      </c>
    </row>
    <row r="890" spans="1:20" x14ac:dyDescent="0.3">
      <c r="A890">
        <v>913</v>
      </c>
      <c r="B890" s="1">
        <v>45840</v>
      </c>
      <c r="C890">
        <v>60</v>
      </c>
      <c r="D890">
        <v>1</v>
      </c>
      <c r="E890">
        <v>2</v>
      </c>
      <c r="F890" t="s">
        <v>114</v>
      </c>
      <c r="G890" t="s">
        <v>115</v>
      </c>
      <c r="H890" t="s">
        <v>19</v>
      </c>
      <c r="I890">
        <v>36</v>
      </c>
      <c r="J890" t="s">
        <v>37</v>
      </c>
      <c r="K890" t="str">
        <f>_xlfn.XLOOKUP( ventas[[#This Row],[ciudad_cliente]],  ciudades[Ciudad], ciudades[Region])</f>
        <v>Valparaíso</v>
      </c>
      <c r="L890" t="s">
        <v>38</v>
      </c>
      <c r="M890" t="s">
        <v>102</v>
      </c>
      <c r="N890" t="str">
        <f>_xlfn.XLOOKUP(ventas[[#This Row],[producto]], categ[Producto], categ[Categoria])</f>
        <v>Vestuario</v>
      </c>
      <c r="O890">
        <v>12000</v>
      </c>
      <c r="P890">
        <v>2</v>
      </c>
      <c r="Q890" s="11">
        <v>0.05</v>
      </c>
      <c r="R890">
        <f>(ventas[[#This Row],[precio_unitario]]*ventas[[#This Row],[cantidad]])</f>
        <v>24000</v>
      </c>
      <c r="S890">
        <f>ventas[[#This Row],[Total_Productos]]*ventas[[#This Row],[descuento_pct]]</f>
        <v>1200</v>
      </c>
      <c r="T890">
        <f>ventas[[#This Row],[Total_Productos]]-ventas[[#This Row],[Valor_descuento]]</f>
        <v>22800</v>
      </c>
    </row>
    <row r="891" spans="1:20" x14ac:dyDescent="0.3">
      <c r="A891">
        <v>87</v>
      </c>
      <c r="B891" s="1">
        <v>45014</v>
      </c>
      <c r="C891">
        <v>2</v>
      </c>
      <c r="D891">
        <v>2</v>
      </c>
      <c r="E891">
        <v>58</v>
      </c>
      <c r="F891" t="s">
        <v>205</v>
      </c>
      <c r="G891" t="s">
        <v>206</v>
      </c>
      <c r="H891" t="s">
        <v>19</v>
      </c>
      <c r="I891">
        <v>34</v>
      </c>
      <c r="J891" t="s">
        <v>101</v>
      </c>
      <c r="K891" t="str">
        <f>_xlfn.XLOOKUP( ventas[[#This Row],[ciudad_cliente]],  ciudades[Ciudad], ciudades[Region])</f>
        <v>O'Higgins</v>
      </c>
      <c r="L891" t="s">
        <v>38</v>
      </c>
      <c r="M891" t="s">
        <v>69</v>
      </c>
      <c r="N891" t="str">
        <f>_xlfn.XLOOKUP(ventas[[#This Row],[producto]], categ[Producto], categ[Categoria])</f>
        <v>Tecnología</v>
      </c>
      <c r="O891">
        <v>450000</v>
      </c>
      <c r="P891">
        <v>2</v>
      </c>
      <c r="Q891" s="11">
        <v>0.05</v>
      </c>
      <c r="R891">
        <f>(ventas[[#This Row],[precio_unitario]]*ventas[[#This Row],[cantidad]])</f>
        <v>900000</v>
      </c>
      <c r="S891">
        <f>ventas[[#This Row],[Total_Productos]]*ventas[[#This Row],[descuento_pct]]</f>
        <v>45000</v>
      </c>
      <c r="T891">
        <f>ventas[[#This Row],[Total_Productos]]-ventas[[#This Row],[Valor_descuento]]</f>
        <v>855000</v>
      </c>
    </row>
    <row r="892" spans="1:20" x14ac:dyDescent="0.3">
      <c r="A892">
        <v>208</v>
      </c>
      <c r="B892" s="1">
        <v>45135</v>
      </c>
      <c r="C892">
        <v>39</v>
      </c>
      <c r="D892">
        <v>6</v>
      </c>
      <c r="E892">
        <v>58</v>
      </c>
      <c r="F892" t="s">
        <v>205</v>
      </c>
      <c r="G892" t="s">
        <v>206</v>
      </c>
      <c r="H892" t="s">
        <v>19</v>
      </c>
      <c r="I892">
        <v>34</v>
      </c>
      <c r="J892" t="s">
        <v>43</v>
      </c>
      <c r="K892" t="str">
        <f>_xlfn.XLOOKUP( ventas[[#This Row],[ciudad_cliente]],  ciudades[Ciudad], ciudades[Region])</f>
        <v>Antofagasta</v>
      </c>
      <c r="L892" t="s">
        <v>38</v>
      </c>
      <c r="M892" t="s">
        <v>49</v>
      </c>
      <c r="N892" t="str">
        <f>_xlfn.XLOOKUP(ventas[[#This Row],[producto]], categ[Producto], categ[Categoria])</f>
        <v>Electrohogar</v>
      </c>
      <c r="O892">
        <v>800000</v>
      </c>
      <c r="P892">
        <v>1</v>
      </c>
      <c r="Q892" s="11">
        <v>0.1</v>
      </c>
      <c r="R892">
        <f>(ventas[[#This Row],[precio_unitario]]*ventas[[#This Row],[cantidad]])</f>
        <v>800000</v>
      </c>
      <c r="S892">
        <f>ventas[[#This Row],[Total_Productos]]*ventas[[#This Row],[descuento_pct]]</f>
        <v>80000</v>
      </c>
      <c r="T892">
        <f>ventas[[#This Row],[Total_Productos]]-ventas[[#This Row],[Valor_descuento]]</f>
        <v>720000</v>
      </c>
    </row>
    <row r="893" spans="1:20" x14ac:dyDescent="0.3">
      <c r="A893">
        <v>367</v>
      </c>
      <c r="B893" s="1">
        <v>45294</v>
      </c>
      <c r="C893">
        <v>52</v>
      </c>
      <c r="D893">
        <v>0</v>
      </c>
      <c r="E893">
        <v>58</v>
      </c>
      <c r="F893" t="s">
        <v>205</v>
      </c>
      <c r="G893" t="s">
        <v>206</v>
      </c>
      <c r="H893" t="s">
        <v>19</v>
      </c>
      <c r="I893">
        <v>34</v>
      </c>
      <c r="J893" t="s">
        <v>27</v>
      </c>
      <c r="K893" t="str">
        <f>_xlfn.XLOOKUP( ventas[[#This Row],[ciudad_cliente]],  ciudades[Ciudad], ciudades[Region])</f>
        <v>Biobío</v>
      </c>
      <c r="L893" t="s">
        <v>38</v>
      </c>
      <c r="M893" t="s">
        <v>69</v>
      </c>
      <c r="N893" t="str">
        <f>_xlfn.XLOOKUP(ventas[[#This Row],[producto]], categ[Producto], categ[Categoria])</f>
        <v>Tecnología</v>
      </c>
      <c r="O893">
        <v>450000</v>
      </c>
      <c r="P893">
        <v>1</v>
      </c>
      <c r="Q893" s="11">
        <v>0.05</v>
      </c>
      <c r="R893">
        <f>(ventas[[#This Row],[precio_unitario]]*ventas[[#This Row],[cantidad]])</f>
        <v>450000</v>
      </c>
      <c r="S893">
        <f>ventas[[#This Row],[Total_Productos]]*ventas[[#This Row],[descuento_pct]]</f>
        <v>22500</v>
      </c>
      <c r="T893">
        <f>ventas[[#This Row],[Total_Productos]]-ventas[[#This Row],[Valor_descuento]]</f>
        <v>427500</v>
      </c>
    </row>
    <row r="894" spans="1:20" x14ac:dyDescent="0.3">
      <c r="A894">
        <v>905</v>
      </c>
      <c r="B894" s="1">
        <v>45832</v>
      </c>
      <c r="C894">
        <v>68</v>
      </c>
      <c r="D894">
        <v>2</v>
      </c>
      <c r="E894">
        <v>58</v>
      </c>
      <c r="F894" t="s">
        <v>205</v>
      </c>
      <c r="G894" t="s">
        <v>206</v>
      </c>
      <c r="H894" t="s">
        <v>19</v>
      </c>
      <c r="I894">
        <v>34</v>
      </c>
      <c r="J894" t="s">
        <v>34</v>
      </c>
      <c r="K894" t="str">
        <f>_xlfn.XLOOKUP( ventas[[#This Row],[ciudad_cliente]],  ciudades[Ciudad], ciudades[Region])</f>
        <v>Metropolitana</v>
      </c>
      <c r="L894" t="s">
        <v>38</v>
      </c>
      <c r="M894" t="s">
        <v>46</v>
      </c>
      <c r="N894" t="str">
        <f>_xlfn.XLOOKUP(ventas[[#This Row],[producto]], categ[Producto], categ[Categoria])</f>
        <v>Tecnología</v>
      </c>
      <c r="O894">
        <v>750000</v>
      </c>
      <c r="P894">
        <v>3</v>
      </c>
      <c r="Q894" s="11">
        <v>0.1</v>
      </c>
      <c r="R894">
        <f>(ventas[[#This Row],[precio_unitario]]*ventas[[#This Row],[cantidad]])</f>
        <v>2250000</v>
      </c>
      <c r="S894">
        <f>ventas[[#This Row],[Total_Productos]]*ventas[[#This Row],[descuento_pct]]</f>
        <v>225000</v>
      </c>
      <c r="T894">
        <f>ventas[[#This Row],[Total_Productos]]-ventas[[#This Row],[Valor_descuento]]</f>
        <v>2025000</v>
      </c>
    </row>
    <row r="895" spans="1:20" x14ac:dyDescent="0.3">
      <c r="A895">
        <v>955</v>
      </c>
      <c r="B895" s="1">
        <v>45882</v>
      </c>
      <c r="C895">
        <v>59</v>
      </c>
      <c r="D895">
        <v>1</v>
      </c>
      <c r="E895">
        <v>58</v>
      </c>
      <c r="F895" t="s">
        <v>205</v>
      </c>
      <c r="G895" t="s">
        <v>206</v>
      </c>
      <c r="H895" t="s">
        <v>19</v>
      </c>
      <c r="I895">
        <v>34</v>
      </c>
      <c r="J895" t="s">
        <v>43</v>
      </c>
      <c r="K895" t="str">
        <f>_xlfn.XLOOKUP( ventas[[#This Row],[ciudad_cliente]],  ciudades[Ciudad], ciudades[Region])</f>
        <v>Antofagasta</v>
      </c>
      <c r="L895" t="s">
        <v>38</v>
      </c>
      <c r="M895" t="s">
        <v>98</v>
      </c>
      <c r="N895" t="str">
        <f>_xlfn.XLOOKUP(ventas[[#This Row],[producto]], categ[Producto], categ[Categoria])</f>
        <v>Calzado</v>
      </c>
      <c r="O895">
        <v>55000</v>
      </c>
      <c r="P895">
        <v>3</v>
      </c>
      <c r="Q895" s="11">
        <v>0</v>
      </c>
      <c r="R895">
        <f>(ventas[[#This Row],[precio_unitario]]*ventas[[#This Row],[cantidad]])</f>
        <v>165000</v>
      </c>
      <c r="S895">
        <f>ventas[[#This Row],[Total_Productos]]*ventas[[#This Row],[descuento_pct]]</f>
        <v>0</v>
      </c>
      <c r="T895">
        <f>ventas[[#This Row],[Total_Productos]]-ventas[[#This Row],[Valor_descuento]]</f>
        <v>165000</v>
      </c>
    </row>
    <row r="896" spans="1:20" x14ac:dyDescent="0.3">
      <c r="A896">
        <v>1000</v>
      </c>
      <c r="B896" s="1">
        <v>45927</v>
      </c>
      <c r="C896">
        <v>51</v>
      </c>
      <c r="D896">
        <v>7</v>
      </c>
      <c r="E896">
        <v>58</v>
      </c>
      <c r="F896" t="s">
        <v>205</v>
      </c>
      <c r="G896" t="s">
        <v>206</v>
      </c>
      <c r="H896" t="s">
        <v>19</v>
      </c>
      <c r="I896">
        <v>34</v>
      </c>
      <c r="J896" t="s">
        <v>101</v>
      </c>
      <c r="K896" t="str">
        <f>_xlfn.XLOOKUP( ventas[[#This Row],[ciudad_cliente]],  ciudades[Ciudad], ciudades[Region])</f>
        <v>O'Higgins</v>
      </c>
      <c r="L896" t="s">
        <v>38</v>
      </c>
      <c r="M896" t="s">
        <v>62</v>
      </c>
      <c r="N896" t="str">
        <f>_xlfn.XLOOKUP(ventas[[#This Row],[producto]], categ[Producto], categ[Categoria])</f>
        <v>Electrohogar</v>
      </c>
      <c r="O896">
        <v>650000</v>
      </c>
      <c r="P896">
        <v>1</v>
      </c>
      <c r="Q896" s="11">
        <v>0</v>
      </c>
      <c r="R896">
        <f>(ventas[[#This Row],[precio_unitario]]*ventas[[#This Row],[cantidad]])</f>
        <v>650000</v>
      </c>
      <c r="S896">
        <f>ventas[[#This Row],[Total_Productos]]*ventas[[#This Row],[descuento_pct]]</f>
        <v>0</v>
      </c>
      <c r="T896">
        <f>ventas[[#This Row],[Total_Productos]]-ventas[[#This Row],[Valor_descuento]]</f>
        <v>650000</v>
      </c>
    </row>
    <row r="897" spans="1:20" x14ac:dyDescent="0.3">
      <c r="A897">
        <v>55</v>
      </c>
      <c r="B897" s="1">
        <v>44982</v>
      </c>
      <c r="C897">
        <v>60</v>
      </c>
      <c r="D897">
        <v>1</v>
      </c>
      <c r="E897">
        <v>117</v>
      </c>
      <c r="F897" t="s">
        <v>150</v>
      </c>
      <c r="G897" t="s">
        <v>151</v>
      </c>
      <c r="H897" t="s">
        <v>42</v>
      </c>
      <c r="I897">
        <v>18</v>
      </c>
      <c r="J897" t="s">
        <v>37</v>
      </c>
      <c r="K897" t="str">
        <f>_xlfn.XLOOKUP( ventas[[#This Row],[ciudad_cliente]],  ciudades[Ciudad], ciudades[Region])</f>
        <v>Valparaíso</v>
      </c>
      <c r="L897" t="s">
        <v>38</v>
      </c>
      <c r="M897" t="s">
        <v>98</v>
      </c>
      <c r="N897" t="str">
        <f>_xlfn.XLOOKUP(ventas[[#This Row],[producto]], categ[Producto], categ[Categoria])</f>
        <v>Calzado</v>
      </c>
      <c r="O897">
        <v>55000</v>
      </c>
      <c r="P897">
        <v>3</v>
      </c>
      <c r="Q897" s="11">
        <v>0</v>
      </c>
      <c r="R897">
        <f>(ventas[[#This Row],[precio_unitario]]*ventas[[#This Row],[cantidad]])</f>
        <v>165000</v>
      </c>
      <c r="S897">
        <f>ventas[[#This Row],[Total_Productos]]*ventas[[#This Row],[descuento_pct]]</f>
        <v>0</v>
      </c>
      <c r="T897">
        <f>ventas[[#This Row],[Total_Productos]]-ventas[[#This Row],[Valor_descuento]]</f>
        <v>165000</v>
      </c>
    </row>
    <row r="898" spans="1:20" x14ac:dyDescent="0.3">
      <c r="A898">
        <v>304</v>
      </c>
      <c r="B898" s="1">
        <v>45231</v>
      </c>
      <c r="C898">
        <v>63</v>
      </c>
      <c r="D898">
        <v>5</v>
      </c>
      <c r="E898">
        <v>117</v>
      </c>
      <c r="F898" t="s">
        <v>150</v>
      </c>
      <c r="G898" t="s">
        <v>151</v>
      </c>
      <c r="H898" t="s">
        <v>42</v>
      </c>
      <c r="I898">
        <v>18</v>
      </c>
      <c r="J898" t="s">
        <v>101</v>
      </c>
      <c r="K898" t="str">
        <f>_xlfn.XLOOKUP( ventas[[#This Row],[ciudad_cliente]],  ciudades[Ciudad], ciudades[Region])</f>
        <v>O'Higgins</v>
      </c>
      <c r="L898" t="s">
        <v>22</v>
      </c>
      <c r="M898" t="s">
        <v>98</v>
      </c>
      <c r="N898" t="str">
        <f>_xlfn.XLOOKUP(ventas[[#This Row],[producto]], categ[Producto], categ[Categoria])</f>
        <v>Calzado</v>
      </c>
      <c r="O898">
        <v>55000</v>
      </c>
      <c r="P898">
        <v>1</v>
      </c>
      <c r="Q898" s="11">
        <v>0</v>
      </c>
      <c r="R898">
        <f>(ventas[[#This Row],[precio_unitario]]*ventas[[#This Row],[cantidad]])</f>
        <v>55000</v>
      </c>
      <c r="S898">
        <f>ventas[[#This Row],[Total_Productos]]*ventas[[#This Row],[descuento_pct]]</f>
        <v>0</v>
      </c>
      <c r="T898">
        <f>ventas[[#This Row],[Total_Productos]]-ventas[[#This Row],[Valor_descuento]]</f>
        <v>55000</v>
      </c>
    </row>
    <row r="899" spans="1:20" x14ac:dyDescent="0.3">
      <c r="A899">
        <v>93</v>
      </c>
      <c r="B899" s="1">
        <v>45020</v>
      </c>
      <c r="C899">
        <v>16</v>
      </c>
      <c r="D899">
        <v>3</v>
      </c>
      <c r="E899">
        <v>86</v>
      </c>
      <c r="F899" t="s">
        <v>215</v>
      </c>
      <c r="G899" t="s">
        <v>216</v>
      </c>
      <c r="H899" t="s">
        <v>19</v>
      </c>
      <c r="I899">
        <v>31</v>
      </c>
      <c r="J899" t="s">
        <v>20</v>
      </c>
      <c r="K899" t="str">
        <f>_xlfn.XLOOKUP( ventas[[#This Row],[ciudad_cliente]],  ciudades[Ciudad], ciudades[Region])</f>
        <v>La Araucanía</v>
      </c>
      <c r="L899" t="s">
        <v>38</v>
      </c>
      <c r="M899" t="s">
        <v>62</v>
      </c>
      <c r="N899" t="str">
        <f>_xlfn.XLOOKUP(ventas[[#This Row],[producto]], categ[Producto], categ[Categoria])</f>
        <v>Electrohogar</v>
      </c>
      <c r="O899">
        <v>650000</v>
      </c>
      <c r="P899">
        <v>2</v>
      </c>
      <c r="Q899" s="11">
        <v>0.05</v>
      </c>
      <c r="R899">
        <f>(ventas[[#This Row],[precio_unitario]]*ventas[[#This Row],[cantidad]])</f>
        <v>1300000</v>
      </c>
      <c r="S899">
        <f>ventas[[#This Row],[Total_Productos]]*ventas[[#This Row],[descuento_pct]]</f>
        <v>65000</v>
      </c>
      <c r="T899">
        <f>ventas[[#This Row],[Total_Productos]]-ventas[[#This Row],[Valor_descuento]]</f>
        <v>1235000</v>
      </c>
    </row>
    <row r="900" spans="1:20" x14ac:dyDescent="0.3">
      <c r="A900">
        <v>305</v>
      </c>
      <c r="B900" s="1">
        <v>45232</v>
      </c>
      <c r="C900">
        <v>6</v>
      </c>
      <c r="D900">
        <v>2</v>
      </c>
      <c r="E900">
        <v>86</v>
      </c>
      <c r="F900" t="s">
        <v>215</v>
      </c>
      <c r="G900" t="s">
        <v>216</v>
      </c>
      <c r="H900" t="s">
        <v>19</v>
      </c>
      <c r="I900">
        <v>31</v>
      </c>
      <c r="J900" t="s">
        <v>52</v>
      </c>
      <c r="K900" t="str">
        <f>_xlfn.XLOOKUP( ventas[[#This Row],[ciudad_cliente]],  ciudades[Ciudad], ciudades[Region])</f>
        <v>Biobío</v>
      </c>
      <c r="L900" t="s">
        <v>22</v>
      </c>
      <c r="M900" t="s">
        <v>46</v>
      </c>
      <c r="N900" t="str">
        <f>_xlfn.XLOOKUP(ventas[[#This Row],[producto]], categ[Producto], categ[Categoria])</f>
        <v>Tecnología</v>
      </c>
      <c r="O900">
        <v>750000</v>
      </c>
      <c r="P900">
        <v>2</v>
      </c>
      <c r="Q900" s="11">
        <v>0.1</v>
      </c>
      <c r="R900">
        <f>(ventas[[#This Row],[precio_unitario]]*ventas[[#This Row],[cantidad]])</f>
        <v>1500000</v>
      </c>
      <c r="S900">
        <f>ventas[[#This Row],[Total_Productos]]*ventas[[#This Row],[descuento_pct]]</f>
        <v>150000</v>
      </c>
      <c r="T900">
        <f>ventas[[#This Row],[Total_Productos]]-ventas[[#This Row],[Valor_descuento]]</f>
        <v>1350000</v>
      </c>
    </row>
    <row r="901" spans="1:20" x14ac:dyDescent="0.3">
      <c r="A901">
        <v>325</v>
      </c>
      <c r="B901" s="1">
        <v>45252</v>
      </c>
      <c r="C901">
        <v>22</v>
      </c>
      <c r="D901">
        <v>1</v>
      </c>
      <c r="E901">
        <v>86</v>
      </c>
      <c r="F901" t="s">
        <v>215</v>
      </c>
      <c r="G901" t="s">
        <v>216</v>
      </c>
      <c r="H901" t="s">
        <v>19</v>
      </c>
      <c r="I901">
        <v>31</v>
      </c>
      <c r="J901" t="s">
        <v>116</v>
      </c>
      <c r="K901" t="str">
        <f>_xlfn.XLOOKUP( ventas[[#This Row],[ciudad_cliente]],  ciudades[Ciudad], ciudades[Region])</f>
        <v>Valparaíso</v>
      </c>
      <c r="L901" t="s">
        <v>22</v>
      </c>
      <c r="M901" t="s">
        <v>69</v>
      </c>
      <c r="N901" t="str">
        <f>_xlfn.XLOOKUP(ventas[[#This Row],[producto]], categ[Producto], categ[Categoria])</f>
        <v>Tecnología</v>
      </c>
      <c r="O901">
        <v>450000</v>
      </c>
      <c r="P901">
        <v>1</v>
      </c>
      <c r="Q901" s="11">
        <v>0</v>
      </c>
      <c r="R901">
        <f>(ventas[[#This Row],[precio_unitario]]*ventas[[#This Row],[cantidad]])</f>
        <v>450000</v>
      </c>
      <c r="S901">
        <f>ventas[[#This Row],[Total_Productos]]*ventas[[#This Row],[descuento_pct]]</f>
        <v>0</v>
      </c>
      <c r="T901">
        <f>ventas[[#This Row],[Total_Productos]]-ventas[[#This Row],[Valor_descuento]]</f>
        <v>450000</v>
      </c>
    </row>
    <row r="902" spans="1:20" x14ac:dyDescent="0.3">
      <c r="A902">
        <v>528</v>
      </c>
      <c r="B902" s="1">
        <v>45455</v>
      </c>
      <c r="C902">
        <v>57</v>
      </c>
      <c r="D902">
        <v>3</v>
      </c>
      <c r="E902">
        <v>86</v>
      </c>
      <c r="F902" t="s">
        <v>215</v>
      </c>
      <c r="G902" t="s">
        <v>216</v>
      </c>
      <c r="H902" t="s">
        <v>19</v>
      </c>
      <c r="I902">
        <v>31</v>
      </c>
      <c r="J902" t="s">
        <v>52</v>
      </c>
      <c r="K902" t="str">
        <f>_xlfn.XLOOKUP( ventas[[#This Row],[ciudad_cliente]],  ciudades[Ciudad], ciudades[Region])</f>
        <v>Biobío</v>
      </c>
      <c r="L902" t="s">
        <v>22</v>
      </c>
      <c r="M902" t="s">
        <v>56</v>
      </c>
      <c r="N902" t="str">
        <f>_xlfn.XLOOKUP(ventas[[#This Row],[producto]], categ[Producto], categ[Categoria])</f>
        <v>Vestuario</v>
      </c>
      <c r="O902">
        <v>25000</v>
      </c>
      <c r="P902">
        <v>2</v>
      </c>
      <c r="Q902" s="11">
        <v>0.05</v>
      </c>
      <c r="R902">
        <f>(ventas[[#This Row],[precio_unitario]]*ventas[[#This Row],[cantidad]])</f>
        <v>50000</v>
      </c>
      <c r="S902">
        <f>ventas[[#This Row],[Total_Productos]]*ventas[[#This Row],[descuento_pct]]</f>
        <v>2500</v>
      </c>
      <c r="T902">
        <f>ventas[[#This Row],[Total_Productos]]-ventas[[#This Row],[Valor_descuento]]</f>
        <v>47500</v>
      </c>
    </row>
    <row r="903" spans="1:20" x14ac:dyDescent="0.3">
      <c r="A903">
        <v>674</v>
      </c>
      <c r="B903" s="1">
        <v>45601</v>
      </c>
      <c r="C903">
        <v>47</v>
      </c>
      <c r="D903">
        <v>1</v>
      </c>
      <c r="E903">
        <v>86</v>
      </c>
      <c r="F903" t="s">
        <v>215</v>
      </c>
      <c r="G903" t="s">
        <v>216</v>
      </c>
      <c r="H903" t="s">
        <v>19</v>
      </c>
      <c r="I903">
        <v>31</v>
      </c>
      <c r="J903" t="s">
        <v>116</v>
      </c>
      <c r="K903" t="str">
        <f>_xlfn.XLOOKUP( ventas[[#This Row],[ciudad_cliente]],  ciudades[Ciudad], ciudades[Region])</f>
        <v>Valparaíso</v>
      </c>
      <c r="L903" t="s">
        <v>22</v>
      </c>
      <c r="M903" t="s">
        <v>102</v>
      </c>
      <c r="N903" t="str">
        <f>_xlfn.XLOOKUP(ventas[[#This Row],[producto]], categ[Producto], categ[Categoria])</f>
        <v>Vestuario</v>
      </c>
      <c r="O903">
        <v>12000</v>
      </c>
      <c r="P903">
        <v>1</v>
      </c>
      <c r="Q903" s="11">
        <v>0.05</v>
      </c>
      <c r="R903">
        <f>(ventas[[#This Row],[precio_unitario]]*ventas[[#This Row],[cantidad]])</f>
        <v>12000</v>
      </c>
      <c r="S903">
        <f>ventas[[#This Row],[Total_Productos]]*ventas[[#This Row],[descuento_pct]]</f>
        <v>600</v>
      </c>
      <c r="T903">
        <f>ventas[[#This Row],[Total_Productos]]-ventas[[#This Row],[Valor_descuento]]</f>
        <v>11400</v>
      </c>
    </row>
    <row r="904" spans="1:20" x14ac:dyDescent="0.3">
      <c r="A904">
        <v>852</v>
      </c>
      <c r="B904" s="1">
        <v>45779</v>
      </c>
      <c r="C904">
        <v>9</v>
      </c>
      <c r="D904">
        <v>9</v>
      </c>
      <c r="E904">
        <v>86</v>
      </c>
      <c r="F904" t="s">
        <v>215</v>
      </c>
      <c r="G904" t="s">
        <v>216</v>
      </c>
      <c r="H904" t="s">
        <v>19</v>
      </c>
      <c r="I904">
        <v>31</v>
      </c>
      <c r="J904" t="s">
        <v>37</v>
      </c>
      <c r="K904" t="str">
        <f>_xlfn.XLOOKUP( ventas[[#This Row],[ciudad_cliente]],  ciudades[Ciudad], ciudades[Region])</f>
        <v>Valparaíso</v>
      </c>
      <c r="L904" t="s">
        <v>22</v>
      </c>
      <c r="M904" t="s">
        <v>39</v>
      </c>
      <c r="N904" t="str">
        <f>_xlfn.XLOOKUP(ventas[[#This Row],[producto]], categ[Producto], categ[Categoria])</f>
        <v>Belleza</v>
      </c>
      <c r="O904">
        <v>35000</v>
      </c>
      <c r="P904">
        <v>3</v>
      </c>
      <c r="Q904" s="11">
        <v>0.05</v>
      </c>
      <c r="R904">
        <f>(ventas[[#This Row],[precio_unitario]]*ventas[[#This Row],[cantidad]])</f>
        <v>105000</v>
      </c>
      <c r="S904">
        <f>ventas[[#This Row],[Total_Productos]]*ventas[[#This Row],[descuento_pct]]</f>
        <v>5250</v>
      </c>
      <c r="T904">
        <f>ventas[[#This Row],[Total_Productos]]-ventas[[#This Row],[Valor_descuento]]</f>
        <v>99750</v>
      </c>
    </row>
    <row r="905" spans="1:20" x14ac:dyDescent="0.3">
      <c r="A905">
        <v>953</v>
      </c>
      <c r="B905" s="1">
        <v>45880</v>
      </c>
      <c r="C905">
        <v>20</v>
      </c>
      <c r="D905">
        <v>0</v>
      </c>
      <c r="E905">
        <v>86</v>
      </c>
      <c r="F905" t="s">
        <v>215</v>
      </c>
      <c r="G905" t="s">
        <v>216</v>
      </c>
      <c r="H905" t="s">
        <v>19</v>
      </c>
      <c r="I905">
        <v>31</v>
      </c>
      <c r="J905" t="s">
        <v>20</v>
      </c>
      <c r="K905" t="str">
        <f>_xlfn.XLOOKUP( ventas[[#This Row],[ciudad_cliente]],  ciudades[Ciudad], ciudades[Region])</f>
        <v>La Araucanía</v>
      </c>
      <c r="L905" t="s">
        <v>38</v>
      </c>
      <c r="M905" t="s">
        <v>102</v>
      </c>
      <c r="N905" t="str">
        <f>_xlfn.XLOOKUP(ventas[[#This Row],[producto]], categ[Producto], categ[Categoria])</f>
        <v>Vestuario</v>
      </c>
      <c r="O905">
        <v>12000</v>
      </c>
      <c r="P905">
        <v>3</v>
      </c>
      <c r="Q905" s="11">
        <v>0</v>
      </c>
      <c r="R905">
        <f>(ventas[[#This Row],[precio_unitario]]*ventas[[#This Row],[cantidad]])</f>
        <v>36000</v>
      </c>
      <c r="S905">
        <f>ventas[[#This Row],[Total_Productos]]*ventas[[#This Row],[descuento_pct]]</f>
        <v>0</v>
      </c>
      <c r="T905">
        <f>ventas[[#This Row],[Total_Productos]]-ventas[[#This Row],[Valor_descuento]]</f>
        <v>36000</v>
      </c>
    </row>
    <row r="906" spans="1:20" x14ac:dyDescent="0.3">
      <c r="A906">
        <v>222</v>
      </c>
      <c r="B906" s="1">
        <v>45149</v>
      </c>
      <c r="C906">
        <v>64</v>
      </c>
      <c r="D906">
        <v>4</v>
      </c>
      <c r="E906">
        <v>66</v>
      </c>
      <c r="F906" t="s">
        <v>374</v>
      </c>
      <c r="G906" t="s">
        <v>375</v>
      </c>
      <c r="H906" t="s">
        <v>19</v>
      </c>
      <c r="I906">
        <v>54</v>
      </c>
      <c r="J906" t="s">
        <v>20</v>
      </c>
      <c r="K906" t="str">
        <f>_xlfn.XLOOKUP( ventas[[#This Row],[ciudad_cliente]],  ciudades[Ciudad], ciudades[Region])</f>
        <v>La Araucanía</v>
      </c>
      <c r="L906" t="s">
        <v>22</v>
      </c>
      <c r="M906" t="s">
        <v>49</v>
      </c>
      <c r="N906" t="str">
        <f>_xlfn.XLOOKUP(ventas[[#This Row],[producto]], categ[Producto], categ[Categoria])</f>
        <v>Electrohogar</v>
      </c>
      <c r="O906">
        <v>800000</v>
      </c>
      <c r="P906">
        <v>3</v>
      </c>
      <c r="Q906" s="11">
        <v>0</v>
      </c>
      <c r="R906">
        <f>(ventas[[#This Row],[precio_unitario]]*ventas[[#This Row],[cantidad]])</f>
        <v>2400000</v>
      </c>
      <c r="S906">
        <f>ventas[[#This Row],[Total_Productos]]*ventas[[#This Row],[descuento_pct]]</f>
        <v>0</v>
      </c>
      <c r="T906">
        <f>ventas[[#This Row],[Total_Productos]]-ventas[[#This Row],[Valor_descuento]]</f>
        <v>2400000</v>
      </c>
    </row>
    <row r="907" spans="1:20" x14ac:dyDescent="0.3">
      <c r="A907">
        <v>491</v>
      </c>
      <c r="B907" s="1">
        <v>45418</v>
      </c>
      <c r="C907">
        <v>41</v>
      </c>
      <c r="D907">
        <v>4</v>
      </c>
      <c r="E907">
        <v>66</v>
      </c>
      <c r="F907" t="s">
        <v>374</v>
      </c>
      <c r="G907" t="s">
        <v>375</v>
      </c>
      <c r="H907" t="s">
        <v>19</v>
      </c>
      <c r="I907">
        <v>54</v>
      </c>
      <c r="J907" t="s">
        <v>43</v>
      </c>
      <c r="K907" t="str">
        <f>_xlfn.XLOOKUP( ventas[[#This Row],[ciudad_cliente]],  ciudades[Ciudad], ciudades[Region])</f>
        <v>Antofagasta</v>
      </c>
      <c r="L907" t="s">
        <v>38</v>
      </c>
      <c r="M907" t="s">
        <v>69</v>
      </c>
      <c r="N907" t="str">
        <f>_xlfn.XLOOKUP(ventas[[#This Row],[producto]], categ[Producto], categ[Categoria])</f>
        <v>Tecnología</v>
      </c>
      <c r="O907">
        <v>450000</v>
      </c>
      <c r="P907">
        <v>3</v>
      </c>
      <c r="Q907" s="11">
        <v>0</v>
      </c>
      <c r="R907">
        <f>(ventas[[#This Row],[precio_unitario]]*ventas[[#This Row],[cantidad]])</f>
        <v>1350000</v>
      </c>
      <c r="S907">
        <f>ventas[[#This Row],[Total_Productos]]*ventas[[#This Row],[descuento_pct]]</f>
        <v>0</v>
      </c>
      <c r="T907">
        <f>ventas[[#This Row],[Total_Productos]]-ventas[[#This Row],[Valor_descuento]]</f>
        <v>1350000</v>
      </c>
    </row>
    <row r="908" spans="1:20" x14ac:dyDescent="0.3">
      <c r="A908">
        <v>818</v>
      </c>
      <c r="B908" s="1">
        <v>45745</v>
      </c>
      <c r="C908">
        <v>33</v>
      </c>
      <c r="D908">
        <v>13</v>
      </c>
      <c r="E908">
        <v>66</v>
      </c>
      <c r="F908" t="s">
        <v>374</v>
      </c>
      <c r="G908" t="s">
        <v>375</v>
      </c>
      <c r="H908" t="s">
        <v>19</v>
      </c>
      <c r="I908">
        <v>54</v>
      </c>
      <c r="J908" t="s">
        <v>101</v>
      </c>
      <c r="K908" t="str">
        <f>_xlfn.XLOOKUP( ventas[[#This Row],[ciudad_cliente]],  ciudades[Ciudad], ciudades[Region])</f>
        <v>O'Higgins</v>
      </c>
      <c r="L908" t="s">
        <v>38</v>
      </c>
      <c r="M908" t="s">
        <v>39</v>
      </c>
      <c r="N908" t="str">
        <f>_xlfn.XLOOKUP(ventas[[#This Row],[producto]], categ[Producto], categ[Categoria])</f>
        <v>Belleza</v>
      </c>
      <c r="O908">
        <v>35000</v>
      </c>
      <c r="P908">
        <v>1</v>
      </c>
      <c r="Q908" s="11">
        <v>0</v>
      </c>
      <c r="R908">
        <f>(ventas[[#This Row],[precio_unitario]]*ventas[[#This Row],[cantidad]])</f>
        <v>35000</v>
      </c>
      <c r="S908">
        <f>ventas[[#This Row],[Total_Productos]]*ventas[[#This Row],[descuento_pct]]</f>
        <v>0</v>
      </c>
      <c r="T908">
        <f>ventas[[#This Row],[Total_Productos]]-ventas[[#This Row],[Valor_descuento]]</f>
        <v>35000</v>
      </c>
    </row>
    <row r="909" spans="1:20" x14ac:dyDescent="0.3">
      <c r="A909">
        <v>218</v>
      </c>
      <c r="B909" s="1">
        <v>45145</v>
      </c>
      <c r="C909">
        <v>28</v>
      </c>
      <c r="D909">
        <v>5</v>
      </c>
      <c r="E909">
        <v>164</v>
      </c>
      <c r="F909" t="s">
        <v>370</v>
      </c>
      <c r="G909" t="s">
        <v>371</v>
      </c>
      <c r="H909" t="s">
        <v>42</v>
      </c>
      <c r="I909">
        <v>28</v>
      </c>
      <c r="J909" t="s">
        <v>116</v>
      </c>
      <c r="K909" t="str">
        <f>_xlfn.XLOOKUP( ventas[[#This Row],[ciudad_cliente]],  ciudades[Ciudad], ciudades[Region])</f>
        <v>Valparaíso</v>
      </c>
      <c r="L909" t="s">
        <v>22</v>
      </c>
      <c r="M909" t="s">
        <v>39</v>
      </c>
      <c r="N909" t="str">
        <f>_xlfn.XLOOKUP(ventas[[#This Row],[producto]], categ[Producto], categ[Categoria])</f>
        <v>Belleza</v>
      </c>
      <c r="O909">
        <v>35000</v>
      </c>
      <c r="P909">
        <v>2</v>
      </c>
      <c r="Q909" s="11">
        <v>0.05</v>
      </c>
      <c r="R909">
        <f>(ventas[[#This Row],[precio_unitario]]*ventas[[#This Row],[cantidad]])</f>
        <v>70000</v>
      </c>
      <c r="S909">
        <f>ventas[[#This Row],[Total_Productos]]*ventas[[#This Row],[descuento_pct]]</f>
        <v>3500</v>
      </c>
      <c r="T909">
        <f>ventas[[#This Row],[Total_Productos]]-ventas[[#This Row],[Valor_descuento]]</f>
        <v>66500</v>
      </c>
    </row>
    <row r="910" spans="1:20" x14ac:dyDescent="0.3">
      <c r="A910">
        <v>242</v>
      </c>
      <c r="B910" s="1">
        <v>45169</v>
      </c>
      <c r="C910">
        <v>64</v>
      </c>
      <c r="D910">
        <v>4</v>
      </c>
      <c r="E910">
        <v>164</v>
      </c>
      <c r="F910" t="s">
        <v>370</v>
      </c>
      <c r="G910" t="s">
        <v>371</v>
      </c>
      <c r="H910" t="s">
        <v>42</v>
      </c>
      <c r="I910">
        <v>28</v>
      </c>
      <c r="J910" t="s">
        <v>20</v>
      </c>
      <c r="K910" t="str">
        <f>_xlfn.XLOOKUP( ventas[[#This Row],[ciudad_cliente]],  ciudades[Ciudad], ciudades[Region])</f>
        <v>La Araucanía</v>
      </c>
      <c r="L910" t="s">
        <v>22</v>
      </c>
      <c r="M910" t="s">
        <v>98</v>
      </c>
      <c r="N910" t="str">
        <f>_xlfn.XLOOKUP(ventas[[#This Row],[producto]], categ[Producto], categ[Categoria])</f>
        <v>Calzado</v>
      </c>
      <c r="O910">
        <v>55000</v>
      </c>
      <c r="P910">
        <v>3</v>
      </c>
      <c r="Q910" s="11">
        <v>0.05</v>
      </c>
      <c r="R910">
        <f>(ventas[[#This Row],[precio_unitario]]*ventas[[#This Row],[cantidad]])</f>
        <v>165000</v>
      </c>
      <c r="S910">
        <f>ventas[[#This Row],[Total_Productos]]*ventas[[#This Row],[descuento_pct]]</f>
        <v>8250</v>
      </c>
      <c r="T910">
        <f>ventas[[#This Row],[Total_Productos]]-ventas[[#This Row],[Valor_descuento]]</f>
        <v>156750</v>
      </c>
    </row>
    <row r="911" spans="1:20" x14ac:dyDescent="0.3">
      <c r="A911">
        <v>612</v>
      </c>
      <c r="B911" s="1">
        <v>45539</v>
      </c>
      <c r="C911">
        <v>54</v>
      </c>
      <c r="D911">
        <v>9</v>
      </c>
      <c r="E911">
        <v>164</v>
      </c>
      <c r="F911" t="s">
        <v>370</v>
      </c>
      <c r="G911" t="s">
        <v>371</v>
      </c>
      <c r="H911" t="s">
        <v>42</v>
      </c>
      <c r="I911">
        <v>28</v>
      </c>
      <c r="J911" t="s">
        <v>27</v>
      </c>
      <c r="K911" t="str">
        <f>_xlfn.XLOOKUP( ventas[[#This Row],[ciudad_cliente]],  ciudades[Ciudad], ciudades[Region])</f>
        <v>Biobío</v>
      </c>
      <c r="L911" t="s">
        <v>22</v>
      </c>
      <c r="M911" t="s">
        <v>62</v>
      </c>
      <c r="N911" t="str">
        <f>_xlfn.XLOOKUP(ventas[[#This Row],[producto]], categ[Producto], categ[Categoria])</f>
        <v>Electrohogar</v>
      </c>
      <c r="O911">
        <v>650000</v>
      </c>
      <c r="P911">
        <v>1</v>
      </c>
      <c r="Q911" s="11">
        <v>0.1</v>
      </c>
      <c r="R911">
        <f>(ventas[[#This Row],[precio_unitario]]*ventas[[#This Row],[cantidad]])</f>
        <v>650000</v>
      </c>
      <c r="S911">
        <f>ventas[[#This Row],[Total_Productos]]*ventas[[#This Row],[descuento_pct]]</f>
        <v>65000</v>
      </c>
      <c r="T911">
        <f>ventas[[#This Row],[Total_Productos]]-ventas[[#This Row],[Valor_descuento]]</f>
        <v>585000</v>
      </c>
    </row>
    <row r="912" spans="1:20" x14ac:dyDescent="0.3">
      <c r="A912">
        <v>766</v>
      </c>
      <c r="B912" s="1">
        <v>45693</v>
      </c>
      <c r="C912">
        <v>51</v>
      </c>
      <c r="D912">
        <v>7</v>
      </c>
      <c r="E912">
        <v>164</v>
      </c>
      <c r="F912" t="s">
        <v>370</v>
      </c>
      <c r="G912" t="s">
        <v>371</v>
      </c>
      <c r="H912" t="s">
        <v>42</v>
      </c>
      <c r="I912">
        <v>28</v>
      </c>
      <c r="J912" t="s">
        <v>101</v>
      </c>
      <c r="K912" t="str">
        <f>_xlfn.XLOOKUP( ventas[[#This Row],[ciudad_cliente]],  ciudades[Ciudad], ciudades[Region])</f>
        <v>O'Higgins</v>
      </c>
      <c r="L912" t="s">
        <v>22</v>
      </c>
      <c r="M912" t="s">
        <v>56</v>
      </c>
      <c r="N912" t="str">
        <f>_xlfn.XLOOKUP(ventas[[#This Row],[producto]], categ[Producto], categ[Categoria])</f>
        <v>Vestuario</v>
      </c>
      <c r="O912">
        <v>25000</v>
      </c>
      <c r="P912">
        <v>2</v>
      </c>
      <c r="Q912" s="11">
        <v>0</v>
      </c>
      <c r="R912">
        <f>(ventas[[#This Row],[precio_unitario]]*ventas[[#This Row],[cantidad]])</f>
        <v>50000</v>
      </c>
      <c r="S912">
        <f>ventas[[#This Row],[Total_Productos]]*ventas[[#This Row],[descuento_pct]]</f>
        <v>0</v>
      </c>
      <c r="T912">
        <f>ventas[[#This Row],[Total_Productos]]-ventas[[#This Row],[Valor_descuento]]</f>
        <v>50000</v>
      </c>
    </row>
    <row r="913" spans="1:20" x14ac:dyDescent="0.3">
      <c r="A913">
        <v>850</v>
      </c>
      <c r="B913" s="1">
        <v>45777</v>
      </c>
      <c r="C913">
        <v>59</v>
      </c>
      <c r="D913">
        <v>1</v>
      </c>
      <c r="E913">
        <v>164</v>
      </c>
      <c r="F913" t="s">
        <v>370</v>
      </c>
      <c r="G913" t="s">
        <v>371</v>
      </c>
      <c r="H913" t="s">
        <v>42</v>
      </c>
      <c r="I913">
        <v>28</v>
      </c>
      <c r="J913" t="s">
        <v>43</v>
      </c>
      <c r="K913" t="str">
        <f>_xlfn.XLOOKUP( ventas[[#This Row],[ciudad_cliente]],  ciudades[Ciudad], ciudades[Region])</f>
        <v>Antofagasta</v>
      </c>
      <c r="L913" t="s">
        <v>22</v>
      </c>
      <c r="M913" t="s">
        <v>98</v>
      </c>
      <c r="N913" t="str">
        <f>_xlfn.XLOOKUP(ventas[[#This Row],[producto]], categ[Producto], categ[Categoria])</f>
        <v>Calzado</v>
      </c>
      <c r="O913">
        <v>55000</v>
      </c>
      <c r="P913">
        <v>1</v>
      </c>
      <c r="Q913" s="11">
        <v>0.1</v>
      </c>
      <c r="R913">
        <f>(ventas[[#This Row],[precio_unitario]]*ventas[[#This Row],[cantidad]])</f>
        <v>55000</v>
      </c>
      <c r="S913">
        <f>ventas[[#This Row],[Total_Productos]]*ventas[[#This Row],[descuento_pct]]</f>
        <v>5500</v>
      </c>
      <c r="T913">
        <f>ventas[[#This Row],[Total_Productos]]-ventas[[#This Row],[Valor_descuento]]</f>
        <v>49500</v>
      </c>
    </row>
    <row r="914" spans="1:20" x14ac:dyDescent="0.3">
      <c r="A914">
        <v>878</v>
      </c>
      <c r="B914" s="1">
        <v>45805</v>
      </c>
      <c r="C914">
        <v>17</v>
      </c>
      <c r="D914">
        <v>0</v>
      </c>
      <c r="E914">
        <v>164</v>
      </c>
      <c r="F914" t="s">
        <v>370</v>
      </c>
      <c r="G914" t="s">
        <v>371</v>
      </c>
      <c r="H914" t="s">
        <v>42</v>
      </c>
      <c r="I914">
        <v>28</v>
      </c>
      <c r="J914" t="s">
        <v>34</v>
      </c>
      <c r="K914" t="str">
        <f>_xlfn.XLOOKUP( ventas[[#This Row],[ciudad_cliente]],  ciudades[Ciudad], ciudades[Region])</f>
        <v>Metropolitana</v>
      </c>
      <c r="L914" t="s">
        <v>22</v>
      </c>
      <c r="M914" t="s">
        <v>62</v>
      </c>
      <c r="N914" t="str">
        <f>_xlfn.XLOOKUP(ventas[[#This Row],[producto]], categ[Producto], categ[Categoria])</f>
        <v>Electrohogar</v>
      </c>
      <c r="O914">
        <v>650000</v>
      </c>
      <c r="P914">
        <v>1</v>
      </c>
      <c r="Q914" s="11">
        <v>0</v>
      </c>
      <c r="R914">
        <f>(ventas[[#This Row],[precio_unitario]]*ventas[[#This Row],[cantidad]])</f>
        <v>650000</v>
      </c>
      <c r="S914">
        <f>ventas[[#This Row],[Total_Productos]]*ventas[[#This Row],[descuento_pct]]</f>
        <v>0</v>
      </c>
      <c r="T914">
        <f>ventas[[#This Row],[Total_Productos]]-ventas[[#This Row],[Valor_descuento]]</f>
        <v>650000</v>
      </c>
    </row>
    <row r="915" spans="1:20" x14ac:dyDescent="0.3">
      <c r="A915">
        <v>896</v>
      </c>
      <c r="B915" s="1">
        <v>45823</v>
      </c>
      <c r="C915">
        <v>54</v>
      </c>
      <c r="D915">
        <v>9</v>
      </c>
      <c r="E915">
        <v>164</v>
      </c>
      <c r="F915" t="s">
        <v>370</v>
      </c>
      <c r="G915" t="s">
        <v>371</v>
      </c>
      <c r="H915" t="s">
        <v>42</v>
      </c>
      <c r="I915">
        <v>28</v>
      </c>
      <c r="J915" t="s">
        <v>27</v>
      </c>
      <c r="K915" t="str">
        <f>_xlfn.XLOOKUP( ventas[[#This Row],[ciudad_cliente]],  ciudades[Ciudad], ciudades[Region])</f>
        <v>Biobío</v>
      </c>
      <c r="L915" t="s">
        <v>22</v>
      </c>
      <c r="M915" t="s">
        <v>49</v>
      </c>
      <c r="N915" t="str">
        <f>_xlfn.XLOOKUP(ventas[[#This Row],[producto]], categ[Producto], categ[Categoria])</f>
        <v>Electrohogar</v>
      </c>
      <c r="O915">
        <v>800000</v>
      </c>
      <c r="P915">
        <v>1</v>
      </c>
      <c r="Q915" s="11">
        <v>0.1</v>
      </c>
      <c r="R915">
        <f>(ventas[[#This Row],[precio_unitario]]*ventas[[#This Row],[cantidad]])</f>
        <v>800000</v>
      </c>
      <c r="S915">
        <f>ventas[[#This Row],[Total_Productos]]*ventas[[#This Row],[descuento_pct]]</f>
        <v>80000</v>
      </c>
      <c r="T915">
        <f>ventas[[#This Row],[Total_Productos]]-ventas[[#This Row],[Valor_descuento]]</f>
        <v>720000</v>
      </c>
    </row>
    <row r="916" spans="1:20" x14ac:dyDescent="0.3">
      <c r="A916">
        <v>137</v>
      </c>
      <c r="B916" s="1">
        <v>45064</v>
      </c>
      <c r="C916">
        <v>22</v>
      </c>
      <c r="D916">
        <v>1</v>
      </c>
      <c r="E916">
        <v>13</v>
      </c>
      <c r="F916" t="s">
        <v>274</v>
      </c>
      <c r="G916" t="s">
        <v>275</v>
      </c>
      <c r="H916" t="s">
        <v>42</v>
      </c>
      <c r="I916">
        <v>40</v>
      </c>
      <c r="J916" t="s">
        <v>116</v>
      </c>
      <c r="K916" t="str">
        <f>_xlfn.XLOOKUP( ventas[[#This Row],[ciudad_cliente]],  ciudades[Ciudad], ciudades[Region])</f>
        <v>Valparaíso</v>
      </c>
      <c r="L916" t="s">
        <v>29</v>
      </c>
      <c r="M916" t="s">
        <v>98</v>
      </c>
      <c r="N916" t="str">
        <f>_xlfn.XLOOKUP(ventas[[#This Row],[producto]], categ[Producto], categ[Categoria])</f>
        <v>Calzado</v>
      </c>
      <c r="O916">
        <v>55000</v>
      </c>
      <c r="P916">
        <v>1</v>
      </c>
      <c r="Q916" s="11">
        <v>0.1</v>
      </c>
      <c r="R916">
        <f>(ventas[[#This Row],[precio_unitario]]*ventas[[#This Row],[cantidad]])</f>
        <v>55000</v>
      </c>
      <c r="S916">
        <f>ventas[[#This Row],[Total_Productos]]*ventas[[#This Row],[descuento_pct]]</f>
        <v>5500</v>
      </c>
      <c r="T916">
        <f>ventas[[#This Row],[Total_Productos]]-ventas[[#This Row],[Valor_descuento]]</f>
        <v>49500</v>
      </c>
    </row>
    <row r="917" spans="1:20" x14ac:dyDescent="0.3">
      <c r="A917">
        <v>194</v>
      </c>
      <c r="B917" s="1">
        <v>45121</v>
      </c>
      <c r="C917">
        <v>26</v>
      </c>
      <c r="D917">
        <v>6</v>
      </c>
      <c r="E917">
        <v>13</v>
      </c>
      <c r="F917" t="s">
        <v>274</v>
      </c>
      <c r="G917" t="s">
        <v>275</v>
      </c>
      <c r="H917" t="s">
        <v>42</v>
      </c>
      <c r="I917">
        <v>40</v>
      </c>
      <c r="J917" t="s">
        <v>101</v>
      </c>
      <c r="K917" t="str">
        <f>_xlfn.XLOOKUP( ventas[[#This Row],[ciudad_cliente]],  ciudades[Ciudad], ciudades[Region])</f>
        <v>O'Higgins</v>
      </c>
      <c r="L917" t="s">
        <v>38</v>
      </c>
      <c r="M917" t="s">
        <v>46</v>
      </c>
      <c r="N917" t="str">
        <f>_xlfn.XLOOKUP(ventas[[#This Row],[producto]], categ[Producto], categ[Categoria])</f>
        <v>Tecnología</v>
      </c>
      <c r="O917">
        <v>750000</v>
      </c>
      <c r="P917">
        <v>2</v>
      </c>
      <c r="Q917" s="11">
        <v>0</v>
      </c>
      <c r="R917">
        <f>(ventas[[#This Row],[precio_unitario]]*ventas[[#This Row],[cantidad]])</f>
        <v>1500000</v>
      </c>
      <c r="S917">
        <f>ventas[[#This Row],[Total_Productos]]*ventas[[#This Row],[descuento_pct]]</f>
        <v>0</v>
      </c>
      <c r="T917">
        <f>ventas[[#This Row],[Total_Productos]]-ventas[[#This Row],[Valor_descuento]]</f>
        <v>1500000</v>
      </c>
    </row>
    <row r="918" spans="1:20" x14ac:dyDescent="0.3">
      <c r="A918">
        <v>648</v>
      </c>
      <c r="B918" s="1">
        <v>45575</v>
      </c>
      <c r="C918">
        <v>30</v>
      </c>
      <c r="D918">
        <v>0</v>
      </c>
      <c r="E918">
        <v>133</v>
      </c>
      <c r="F918" t="s">
        <v>566</v>
      </c>
      <c r="G918" t="s">
        <v>567</v>
      </c>
      <c r="H918" t="s">
        <v>19</v>
      </c>
      <c r="I918">
        <v>25</v>
      </c>
      <c r="J918" t="s">
        <v>37</v>
      </c>
      <c r="K918" t="str">
        <f>_xlfn.XLOOKUP( ventas[[#This Row],[ciudad_cliente]],  ciudades[Ciudad], ciudades[Region])</f>
        <v>Valparaíso</v>
      </c>
      <c r="L918" t="s">
        <v>22</v>
      </c>
      <c r="M918" t="s">
        <v>49</v>
      </c>
      <c r="N918" t="str">
        <f>_xlfn.XLOOKUP(ventas[[#This Row],[producto]], categ[Producto], categ[Categoria])</f>
        <v>Electrohogar</v>
      </c>
      <c r="O918">
        <v>800000</v>
      </c>
      <c r="P918">
        <v>1</v>
      </c>
      <c r="Q918" s="11">
        <v>0.1</v>
      </c>
      <c r="R918">
        <f>(ventas[[#This Row],[precio_unitario]]*ventas[[#This Row],[cantidad]])</f>
        <v>800000</v>
      </c>
      <c r="S918">
        <f>ventas[[#This Row],[Total_Productos]]*ventas[[#This Row],[descuento_pct]]</f>
        <v>80000</v>
      </c>
      <c r="T918">
        <f>ventas[[#This Row],[Total_Productos]]-ventas[[#This Row],[Valor_descuento]]</f>
        <v>720000</v>
      </c>
    </row>
    <row r="919" spans="1:20" x14ac:dyDescent="0.3">
      <c r="A919">
        <v>918</v>
      </c>
      <c r="B919" s="1">
        <v>45845</v>
      </c>
      <c r="C919">
        <v>9</v>
      </c>
      <c r="D919">
        <v>9</v>
      </c>
      <c r="E919">
        <v>133</v>
      </c>
      <c r="F919" t="s">
        <v>566</v>
      </c>
      <c r="G919" t="s">
        <v>567</v>
      </c>
      <c r="H919" t="s">
        <v>19</v>
      </c>
      <c r="I919">
        <v>25</v>
      </c>
      <c r="J919" t="s">
        <v>37</v>
      </c>
      <c r="K919" t="str">
        <f>_xlfn.XLOOKUP( ventas[[#This Row],[ciudad_cliente]],  ciudades[Ciudad], ciudades[Region])</f>
        <v>Valparaíso</v>
      </c>
      <c r="L919" t="s">
        <v>38</v>
      </c>
      <c r="M919" t="s">
        <v>39</v>
      </c>
      <c r="N919" t="str">
        <f>_xlfn.XLOOKUP(ventas[[#This Row],[producto]], categ[Producto], categ[Categoria])</f>
        <v>Belleza</v>
      </c>
      <c r="O919">
        <v>35000</v>
      </c>
      <c r="P919">
        <v>2</v>
      </c>
      <c r="Q919" s="11">
        <v>0.05</v>
      </c>
      <c r="R919">
        <f>(ventas[[#This Row],[precio_unitario]]*ventas[[#This Row],[cantidad]])</f>
        <v>70000</v>
      </c>
      <c r="S919">
        <f>ventas[[#This Row],[Total_Productos]]*ventas[[#This Row],[descuento_pct]]</f>
        <v>3500</v>
      </c>
      <c r="T919">
        <f>ventas[[#This Row],[Total_Productos]]-ventas[[#This Row],[Valor_descuento]]</f>
        <v>66500</v>
      </c>
    </row>
    <row r="920" spans="1:20" x14ac:dyDescent="0.3">
      <c r="A920">
        <v>931</v>
      </c>
      <c r="B920" s="1">
        <v>45858</v>
      </c>
      <c r="C920">
        <v>63</v>
      </c>
      <c r="D920">
        <v>5</v>
      </c>
      <c r="E920">
        <v>133</v>
      </c>
      <c r="F920" t="s">
        <v>566</v>
      </c>
      <c r="G920" t="s">
        <v>567</v>
      </c>
      <c r="H920" t="s">
        <v>19</v>
      </c>
      <c r="I920">
        <v>25</v>
      </c>
      <c r="J920" t="s">
        <v>101</v>
      </c>
      <c r="K920" t="str">
        <f>_xlfn.XLOOKUP( ventas[[#This Row],[ciudad_cliente]],  ciudades[Ciudad], ciudades[Region])</f>
        <v>O'Higgins</v>
      </c>
      <c r="L920" t="s">
        <v>38</v>
      </c>
      <c r="M920" t="s">
        <v>30</v>
      </c>
      <c r="N920" t="str">
        <f>_xlfn.XLOOKUP(ventas[[#This Row],[producto]], categ[Producto], categ[Categoria])</f>
        <v>Electrohogar</v>
      </c>
      <c r="O920">
        <v>700000</v>
      </c>
      <c r="P920">
        <v>3</v>
      </c>
      <c r="Q920" s="11">
        <v>0</v>
      </c>
      <c r="R920">
        <f>(ventas[[#This Row],[precio_unitario]]*ventas[[#This Row],[cantidad]])</f>
        <v>2100000</v>
      </c>
      <c r="S920">
        <f>ventas[[#This Row],[Total_Productos]]*ventas[[#This Row],[descuento_pct]]</f>
        <v>0</v>
      </c>
      <c r="T920">
        <f>ventas[[#This Row],[Total_Productos]]-ventas[[#This Row],[Valor_descuento]]</f>
        <v>2100000</v>
      </c>
    </row>
    <row r="921" spans="1:20" x14ac:dyDescent="0.3">
      <c r="A921">
        <v>18</v>
      </c>
      <c r="B921" s="1">
        <v>44945</v>
      </c>
      <c r="C921">
        <v>54</v>
      </c>
      <c r="D921">
        <v>9</v>
      </c>
      <c r="E921">
        <v>234</v>
      </c>
      <c r="F921" t="s">
        <v>78</v>
      </c>
      <c r="G921" t="s">
        <v>79</v>
      </c>
      <c r="H921" t="s">
        <v>42</v>
      </c>
      <c r="I921">
        <v>30</v>
      </c>
      <c r="J921" t="s">
        <v>27</v>
      </c>
      <c r="K921" t="str">
        <f>_xlfn.XLOOKUP( ventas[[#This Row],[ciudad_cliente]],  ciudades[Ciudad], ciudades[Region])</f>
        <v>Biobío</v>
      </c>
      <c r="L921" t="s">
        <v>38</v>
      </c>
      <c r="M921" t="s">
        <v>62</v>
      </c>
      <c r="N921" t="str">
        <f>_xlfn.XLOOKUP(ventas[[#This Row],[producto]], categ[Producto], categ[Categoria])</f>
        <v>Electrohogar</v>
      </c>
      <c r="O921">
        <v>650000</v>
      </c>
      <c r="P921">
        <v>2</v>
      </c>
      <c r="Q921" s="11">
        <v>0</v>
      </c>
      <c r="R921">
        <f>(ventas[[#This Row],[precio_unitario]]*ventas[[#This Row],[cantidad]])</f>
        <v>1300000</v>
      </c>
      <c r="S921">
        <f>ventas[[#This Row],[Total_Productos]]*ventas[[#This Row],[descuento_pct]]</f>
        <v>0</v>
      </c>
      <c r="T921">
        <f>ventas[[#This Row],[Total_Productos]]-ventas[[#This Row],[Valor_descuento]]</f>
        <v>1300000</v>
      </c>
    </row>
    <row r="922" spans="1:20" x14ac:dyDescent="0.3">
      <c r="A922">
        <v>129</v>
      </c>
      <c r="B922" s="1">
        <v>45056</v>
      </c>
      <c r="C922">
        <v>2</v>
      </c>
      <c r="D922">
        <v>2</v>
      </c>
      <c r="E922">
        <v>234</v>
      </c>
      <c r="F922" t="s">
        <v>78</v>
      </c>
      <c r="G922" t="s">
        <v>79</v>
      </c>
      <c r="H922" t="s">
        <v>42</v>
      </c>
      <c r="I922">
        <v>30</v>
      </c>
      <c r="J922" t="s">
        <v>101</v>
      </c>
      <c r="K922" t="str">
        <f>_xlfn.XLOOKUP( ventas[[#This Row],[ciudad_cliente]],  ciudades[Ciudad], ciudades[Region])</f>
        <v>O'Higgins</v>
      </c>
      <c r="L922" t="s">
        <v>38</v>
      </c>
      <c r="M922" t="s">
        <v>98</v>
      </c>
      <c r="N922" t="str">
        <f>_xlfn.XLOOKUP(ventas[[#This Row],[producto]], categ[Producto], categ[Categoria])</f>
        <v>Calzado</v>
      </c>
      <c r="O922">
        <v>55000</v>
      </c>
      <c r="P922">
        <v>1</v>
      </c>
      <c r="Q922" s="11">
        <v>0</v>
      </c>
      <c r="R922">
        <f>(ventas[[#This Row],[precio_unitario]]*ventas[[#This Row],[cantidad]])</f>
        <v>55000</v>
      </c>
      <c r="S922">
        <f>ventas[[#This Row],[Total_Productos]]*ventas[[#This Row],[descuento_pct]]</f>
        <v>0</v>
      </c>
      <c r="T922">
        <f>ventas[[#This Row],[Total_Productos]]-ventas[[#This Row],[Valor_descuento]]</f>
        <v>55000</v>
      </c>
    </row>
    <row r="923" spans="1:20" x14ac:dyDescent="0.3">
      <c r="A923">
        <v>136</v>
      </c>
      <c r="B923" s="1">
        <v>45063</v>
      </c>
      <c r="C923">
        <v>18</v>
      </c>
      <c r="D923">
        <v>1</v>
      </c>
      <c r="E923">
        <v>234</v>
      </c>
      <c r="F923" t="s">
        <v>78</v>
      </c>
      <c r="G923" t="s">
        <v>79</v>
      </c>
      <c r="H923" t="s">
        <v>42</v>
      </c>
      <c r="I923">
        <v>30</v>
      </c>
      <c r="J923" t="s">
        <v>27</v>
      </c>
      <c r="K923" t="str">
        <f>_xlfn.XLOOKUP( ventas[[#This Row],[ciudad_cliente]],  ciudades[Ciudad], ciudades[Region])</f>
        <v>Biobío</v>
      </c>
      <c r="L923" t="s">
        <v>22</v>
      </c>
      <c r="M923" t="s">
        <v>102</v>
      </c>
      <c r="N923" t="str">
        <f>_xlfn.XLOOKUP(ventas[[#This Row],[producto]], categ[Producto], categ[Categoria])</f>
        <v>Vestuario</v>
      </c>
      <c r="O923">
        <v>12000</v>
      </c>
      <c r="P923">
        <v>3</v>
      </c>
      <c r="Q923" s="11">
        <v>0</v>
      </c>
      <c r="R923">
        <f>(ventas[[#This Row],[precio_unitario]]*ventas[[#This Row],[cantidad]])</f>
        <v>36000</v>
      </c>
      <c r="S923">
        <f>ventas[[#This Row],[Total_Productos]]*ventas[[#This Row],[descuento_pct]]</f>
        <v>0</v>
      </c>
      <c r="T923">
        <f>ventas[[#This Row],[Total_Productos]]-ventas[[#This Row],[Valor_descuento]]</f>
        <v>36000</v>
      </c>
    </row>
    <row r="924" spans="1:20" x14ac:dyDescent="0.3">
      <c r="A924">
        <v>469</v>
      </c>
      <c r="B924" s="1">
        <v>45396</v>
      </c>
      <c r="C924">
        <v>7</v>
      </c>
      <c r="D924">
        <v>8</v>
      </c>
      <c r="E924">
        <v>234</v>
      </c>
      <c r="F924" t="s">
        <v>78</v>
      </c>
      <c r="G924" t="s">
        <v>79</v>
      </c>
      <c r="H924" t="s">
        <v>42</v>
      </c>
      <c r="I924">
        <v>30</v>
      </c>
      <c r="J924" t="s">
        <v>37</v>
      </c>
      <c r="K924" t="str">
        <f>_xlfn.XLOOKUP( ventas[[#This Row],[ciudad_cliente]],  ciudades[Ciudad], ciudades[Region])</f>
        <v>Valparaíso</v>
      </c>
      <c r="L924" t="s">
        <v>29</v>
      </c>
      <c r="M924" t="s">
        <v>69</v>
      </c>
      <c r="N924" t="str">
        <f>_xlfn.XLOOKUP(ventas[[#This Row],[producto]], categ[Producto], categ[Categoria])</f>
        <v>Tecnología</v>
      </c>
      <c r="O924">
        <v>450000</v>
      </c>
      <c r="P924">
        <v>2</v>
      </c>
      <c r="Q924" s="11">
        <v>0.05</v>
      </c>
      <c r="R924">
        <f>(ventas[[#This Row],[precio_unitario]]*ventas[[#This Row],[cantidad]])</f>
        <v>900000</v>
      </c>
      <c r="S924">
        <f>ventas[[#This Row],[Total_Productos]]*ventas[[#This Row],[descuento_pct]]</f>
        <v>45000</v>
      </c>
      <c r="T924">
        <f>ventas[[#This Row],[Total_Productos]]-ventas[[#This Row],[Valor_descuento]]</f>
        <v>855000</v>
      </c>
    </row>
    <row r="925" spans="1:20" x14ac:dyDescent="0.3">
      <c r="A925">
        <v>495</v>
      </c>
      <c r="B925" s="1">
        <v>45422</v>
      </c>
      <c r="C925">
        <v>12</v>
      </c>
      <c r="D925">
        <v>0</v>
      </c>
      <c r="E925">
        <v>234</v>
      </c>
      <c r="F925" t="s">
        <v>78</v>
      </c>
      <c r="G925" t="s">
        <v>79</v>
      </c>
      <c r="H925" t="s">
        <v>42</v>
      </c>
      <c r="I925">
        <v>30</v>
      </c>
      <c r="J925" t="s">
        <v>116</v>
      </c>
      <c r="K925" t="str">
        <f>_xlfn.XLOOKUP( ventas[[#This Row],[ciudad_cliente]],  ciudades[Ciudad], ciudades[Region])</f>
        <v>Valparaíso</v>
      </c>
      <c r="L925" t="s">
        <v>38</v>
      </c>
      <c r="M925" t="s">
        <v>46</v>
      </c>
      <c r="N925" t="str">
        <f>_xlfn.XLOOKUP(ventas[[#This Row],[producto]], categ[Producto], categ[Categoria])</f>
        <v>Tecnología</v>
      </c>
      <c r="O925">
        <v>750000</v>
      </c>
      <c r="P925">
        <v>2</v>
      </c>
      <c r="Q925" s="11">
        <v>0</v>
      </c>
      <c r="R925">
        <f>(ventas[[#This Row],[precio_unitario]]*ventas[[#This Row],[cantidad]])</f>
        <v>1500000</v>
      </c>
      <c r="S925">
        <f>ventas[[#This Row],[Total_Productos]]*ventas[[#This Row],[descuento_pct]]</f>
        <v>0</v>
      </c>
      <c r="T925">
        <f>ventas[[#This Row],[Total_Productos]]-ventas[[#This Row],[Valor_descuento]]</f>
        <v>1500000</v>
      </c>
    </row>
    <row r="926" spans="1:20" x14ac:dyDescent="0.3">
      <c r="A926">
        <v>824</v>
      </c>
      <c r="B926" s="1">
        <v>45751</v>
      </c>
      <c r="C926">
        <v>6</v>
      </c>
      <c r="D926">
        <v>2</v>
      </c>
      <c r="E926">
        <v>234</v>
      </c>
      <c r="F926" t="s">
        <v>78</v>
      </c>
      <c r="G926" t="s">
        <v>79</v>
      </c>
      <c r="H926" t="s">
        <v>42</v>
      </c>
      <c r="I926">
        <v>30</v>
      </c>
      <c r="J926" t="s">
        <v>52</v>
      </c>
      <c r="K926" t="str">
        <f>_xlfn.XLOOKUP( ventas[[#This Row],[ciudad_cliente]],  ciudades[Ciudad], ciudades[Region])</f>
        <v>Biobío</v>
      </c>
      <c r="L926" t="s">
        <v>22</v>
      </c>
      <c r="M926" t="s">
        <v>46</v>
      </c>
      <c r="N926" t="str">
        <f>_xlfn.XLOOKUP(ventas[[#This Row],[producto]], categ[Producto], categ[Categoria])</f>
        <v>Tecnología</v>
      </c>
      <c r="O926">
        <v>750000</v>
      </c>
      <c r="P926">
        <v>1</v>
      </c>
      <c r="Q926" s="11">
        <v>0</v>
      </c>
      <c r="R926">
        <f>(ventas[[#This Row],[precio_unitario]]*ventas[[#This Row],[cantidad]])</f>
        <v>750000</v>
      </c>
      <c r="S926">
        <f>ventas[[#This Row],[Total_Productos]]*ventas[[#This Row],[descuento_pct]]</f>
        <v>0</v>
      </c>
      <c r="T926">
        <f>ventas[[#This Row],[Total_Productos]]-ventas[[#This Row],[Valor_descuento]]</f>
        <v>750000</v>
      </c>
    </row>
    <row r="927" spans="1:20" x14ac:dyDescent="0.3">
      <c r="A927">
        <v>312</v>
      </c>
      <c r="B927" s="1">
        <v>45239</v>
      </c>
      <c r="C927">
        <v>53</v>
      </c>
      <c r="D927">
        <v>1</v>
      </c>
      <c r="E927">
        <v>168</v>
      </c>
      <c r="F927" t="s">
        <v>446</v>
      </c>
      <c r="G927" t="s">
        <v>447</v>
      </c>
      <c r="H927" t="s">
        <v>19</v>
      </c>
      <c r="I927">
        <v>60</v>
      </c>
      <c r="J927" t="s">
        <v>76</v>
      </c>
      <c r="K927" t="str">
        <f>_xlfn.XLOOKUP( ventas[[#This Row],[ciudad_cliente]],  ciudades[Ciudad], ciudades[Region])</f>
        <v>Los Lagos</v>
      </c>
      <c r="L927" t="s">
        <v>22</v>
      </c>
      <c r="M927" t="s">
        <v>62</v>
      </c>
      <c r="N927" t="str">
        <f>_xlfn.XLOOKUP(ventas[[#This Row],[producto]], categ[Producto], categ[Categoria])</f>
        <v>Electrohogar</v>
      </c>
      <c r="O927">
        <v>650000</v>
      </c>
      <c r="P927">
        <v>2</v>
      </c>
      <c r="Q927" s="11">
        <v>0</v>
      </c>
      <c r="R927">
        <f>(ventas[[#This Row],[precio_unitario]]*ventas[[#This Row],[cantidad]])</f>
        <v>1300000</v>
      </c>
      <c r="S927">
        <f>ventas[[#This Row],[Total_Productos]]*ventas[[#This Row],[descuento_pct]]</f>
        <v>0</v>
      </c>
      <c r="T927">
        <f>ventas[[#This Row],[Total_Productos]]-ventas[[#This Row],[Valor_descuento]]</f>
        <v>1300000</v>
      </c>
    </row>
    <row r="928" spans="1:20" x14ac:dyDescent="0.3">
      <c r="A928">
        <v>519</v>
      </c>
      <c r="B928" s="1">
        <v>45446</v>
      </c>
      <c r="C928">
        <v>28</v>
      </c>
      <c r="D928">
        <v>5</v>
      </c>
      <c r="E928">
        <v>168</v>
      </c>
      <c r="F928" t="s">
        <v>446</v>
      </c>
      <c r="G928" t="s">
        <v>447</v>
      </c>
      <c r="H928" t="s">
        <v>19</v>
      </c>
      <c r="I928">
        <v>60</v>
      </c>
      <c r="J928" t="s">
        <v>116</v>
      </c>
      <c r="K928" t="str">
        <f>_xlfn.XLOOKUP( ventas[[#This Row],[ciudad_cliente]],  ciudades[Ciudad], ciudades[Region])</f>
        <v>Valparaíso</v>
      </c>
      <c r="L928" t="s">
        <v>29</v>
      </c>
      <c r="M928" t="s">
        <v>30</v>
      </c>
      <c r="N928" t="str">
        <f>_xlfn.XLOOKUP(ventas[[#This Row],[producto]], categ[Producto], categ[Categoria])</f>
        <v>Electrohogar</v>
      </c>
      <c r="O928">
        <v>700000</v>
      </c>
      <c r="P928">
        <v>1</v>
      </c>
      <c r="Q928" s="11">
        <v>0.1</v>
      </c>
      <c r="R928">
        <f>(ventas[[#This Row],[precio_unitario]]*ventas[[#This Row],[cantidad]])</f>
        <v>700000</v>
      </c>
      <c r="S928">
        <f>ventas[[#This Row],[Total_Productos]]*ventas[[#This Row],[descuento_pct]]</f>
        <v>70000</v>
      </c>
      <c r="T928">
        <f>ventas[[#This Row],[Total_Productos]]-ventas[[#This Row],[Valor_descuento]]</f>
        <v>630000</v>
      </c>
    </row>
    <row r="929" spans="1:20" x14ac:dyDescent="0.3">
      <c r="A929">
        <v>190</v>
      </c>
      <c r="B929" s="1">
        <v>45117</v>
      </c>
      <c r="C929">
        <v>24</v>
      </c>
      <c r="D929">
        <v>3</v>
      </c>
      <c r="E929">
        <v>166</v>
      </c>
      <c r="F929" t="s">
        <v>346</v>
      </c>
      <c r="G929" t="s">
        <v>347</v>
      </c>
      <c r="H929" t="s">
        <v>42</v>
      </c>
      <c r="I929">
        <v>42</v>
      </c>
      <c r="J929" t="s">
        <v>84</v>
      </c>
      <c r="K929" t="str">
        <f>_xlfn.XLOOKUP( ventas[[#This Row],[ciudad_cliente]],  ciudades[Ciudad], ciudades[Region])</f>
        <v>Coquimbo</v>
      </c>
      <c r="L929" t="s">
        <v>22</v>
      </c>
      <c r="M929" t="s">
        <v>30</v>
      </c>
      <c r="N929" t="str">
        <f>_xlfn.XLOOKUP(ventas[[#This Row],[producto]], categ[Producto], categ[Categoria])</f>
        <v>Electrohogar</v>
      </c>
      <c r="O929">
        <v>700000</v>
      </c>
      <c r="P929">
        <v>2</v>
      </c>
      <c r="Q929" s="11">
        <v>0.1</v>
      </c>
      <c r="R929">
        <f>(ventas[[#This Row],[precio_unitario]]*ventas[[#This Row],[cantidad]])</f>
        <v>1400000</v>
      </c>
      <c r="S929">
        <f>ventas[[#This Row],[Total_Productos]]*ventas[[#This Row],[descuento_pct]]</f>
        <v>140000</v>
      </c>
      <c r="T929">
        <f>ventas[[#This Row],[Total_Productos]]-ventas[[#This Row],[Valor_descuento]]</f>
        <v>1260000</v>
      </c>
    </row>
    <row r="930" spans="1:20" x14ac:dyDescent="0.3">
      <c r="A930">
        <v>373</v>
      </c>
      <c r="B930" s="1">
        <v>45300</v>
      </c>
      <c r="C930">
        <v>30</v>
      </c>
      <c r="D930">
        <v>0</v>
      </c>
      <c r="E930">
        <v>166</v>
      </c>
      <c r="F930" t="s">
        <v>346</v>
      </c>
      <c r="G930" t="s">
        <v>347</v>
      </c>
      <c r="H930" t="s">
        <v>42</v>
      </c>
      <c r="I930">
        <v>42</v>
      </c>
      <c r="J930" t="s">
        <v>37</v>
      </c>
      <c r="K930" t="str">
        <f>_xlfn.XLOOKUP( ventas[[#This Row],[ciudad_cliente]],  ciudades[Ciudad], ciudades[Region])</f>
        <v>Valparaíso</v>
      </c>
      <c r="L930" t="s">
        <v>38</v>
      </c>
      <c r="M930" t="s">
        <v>30</v>
      </c>
      <c r="N930" t="str">
        <f>_xlfn.XLOOKUP(ventas[[#This Row],[producto]], categ[Producto], categ[Categoria])</f>
        <v>Electrohogar</v>
      </c>
      <c r="O930">
        <v>700000</v>
      </c>
      <c r="P930">
        <v>3</v>
      </c>
      <c r="Q930" s="11">
        <v>0.05</v>
      </c>
      <c r="R930">
        <f>(ventas[[#This Row],[precio_unitario]]*ventas[[#This Row],[cantidad]])</f>
        <v>2100000</v>
      </c>
      <c r="S930">
        <f>ventas[[#This Row],[Total_Productos]]*ventas[[#This Row],[descuento_pct]]</f>
        <v>105000</v>
      </c>
      <c r="T930">
        <f>ventas[[#This Row],[Total_Productos]]-ventas[[#This Row],[Valor_descuento]]</f>
        <v>1995000</v>
      </c>
    </row>
    <row r="931" spans="1:20" x14ac:dyDescent="0.3">
      <c r="A931">
        <v>551</v>
      </c>
      <c r="B931" s="1">
        <v>45478</v>
      </c>
      <c r="C931">
        <v>56</v>
      </c>
      <c r="D931">
        <v>2</v>
      </c>
      <c r="E931">
        <v>166</v>
      </c>
      <c r="F931" t="s">
        <v>346</v>
      </c>
      <c r="G931" t="s">
        <v>347</v>
      </c>
      <c r="H931" t="s">
        <v>42</v>
      </c>
      <c r="I931">
        <v>42</v>
      </c>
      <c r="J931" t="s">
        <v>27</v>
      </c>
      <c r="K931" t="str">
        <f>_xlfn.XLOOKUP( ventas[[#This Row],[ciudad_cliente]],  ciudades[Ciudad], ciudades[Region])</f>
        <v>Biobío</v>
      </c>
      <c r="L931" t="s">
        <v>38</v>
      </c>
      <c r="M931" t="s">
        <v>98</v>
      </c>
      <c r="N931" t="str">
        <f>_xlfn.XLOOKUP(ventas[[#This Row],[producto]], categ[Producto], categ[Categoria])</f>
        <v>Calzado</v>
      </c>
      <c r="O931">
        <v>55000</v>
      </c>
      <c r="P931">
        <v>1</v>
      </c>
      <c r="Q931" s="11">
        <v>0</v>
      </c>
      <c r="R931">
        <f>(ventas[[#This Row],[precio_unitario]]*ventas[[#This Row],[cantidad]])</f>
        <v>55000</v>
      </c>
      <c r="S931">
        <f>ventas[[#This Row],[Total_Productos]]*ventas[[#This Row],[descuento_pct]]</f>
        <v>0</v>
      </c>
      <c r="T931">
        <f>ventas[[#This Row],[Total_Productos]]-ventas[[#This Row],[Valor_descuento]]</f>
        <v>55000</v>
      </c>
    </row>
    <row r="932" spans="1:20" x14ac:dyDescent="0.3">
      <c r="A932">
        <v>619</v>
      </c>
      <c r="B932" s="1">
        <v>45546</v>
      </c>
      <c r="C932">
        <v>53</v>
      </c>
      <c r="D932">
        <v>1</v>
      </c>
      <c r="E932">
        <v>166</v>
      </c>
      <c r="F932" t="s">
        <v>346</v>
      </c>
      <c r="G932" t="s">
        <v>347</v>
      </c>
      <c r="H932" t="s">
        <v>42</v>
      </c>
      <c r="I932">
        <v>42</v>
      </c>
      <c r="J932" t="s">
        <v>76</v>
      </c>
      <c r="K932" t="str">
        <f>_xlfn.XLOOKUP( ventas[[#This Row],[ciudad_cliente]],  ciudades[Ciudad], ciudades[Region])</f>
        <v>Los Lagos</v>
      </c>
      <c r="L932" t="s">
        <v>22</v>
      </c>
      <c r="M932" t="s">
        <v>98</v>
      </c>
      <c r="N932" t="str">
        <f>_xlfn.XLOOKUP(ventas[[#This Row],[producto]], categ[Producto], categ[Categoria])</f>
        <v>Calzado</v>
      </c>
      <c r="O932">
        <v>55000</v>
      </c>
      <c r="P932">
        <v>3</v>
      </c>
      <c r="Q932" s="11">
        <v>0.1</v>
      </c>
      <c r="R932">
        <f>(ventas[[#This Row],[precio_unitario]]*ventas[[#This Row],[cantidad]])</f>
        <v>165000</v>
      </c>
      <c r="S932">
        <f>ventas[[#This Row],[Total_Productos]]*ventas[[#This Row],[descuento_pct]]</f>
        <v>16500</v>
      </c>
      <c r="T932">
        <f>ventas[[#This Row],[Total_Productos]]-ventas[[#This Row],[Valor_descuento]]</f>
        <v>148500</v>
      </c>
    </row>
    <row r="933" spans="1:20" x14ac:dyDescent="0.3">
      <c r="A933">
        <v>640</v>
      </c>
      <c r="B933" s="1">
        <v>45567</v>
      </c>
      <c r="C933">
        <v>54</v>
      </c>
      <c r="D933">
        <v>9</v>
      </c>
      <c r="E933">
        <v>166</v>
      </c>
      <c r="F933" t="s">
        <v>346</v>
      </c>
      <c r="G933" t="s">
        <v>347</v>
      </c>
      <c r="H933" t="s">
        <v>42</v>
      </c>
      <c r="I933">
        <v>42</v>
      </c>
      <c r="J933" t="s">
        <v>27</v>
      </c>
      <c r="K933" t="str">
        <f>_xlfn.XLOOKUP( ventas[[#This Row],[ciudad_cliente]],  ciudades[Ciudad], ciudades[Region])</f>
        <v>Biobío</v>
      </c>
      <c r="L933" t="s">
        <v>22</v>
      </c>
      <c r="M933" t="s">
        <v>49</v>
      </c>
      <c r="N933" t="str">
        <f>_xlfn.XLOOKUP(ventas[[#This Row],[producto]], categ[Producto], categ[Categoria])</f>
        <v>Electrohogar</v>
      </c>
      <c r="O933">
        <v>800000</v>
      </c>
      <c r="P933">
        <v>2</v>
      </c>
      <c r="Q933" s="11">
        <v>0</v>
      </c>
      <c r="R933">
        <f>(ventas[[#This Row],[precio_unitario]]*ventas[[#This Row],[cantidad]])</f>
        <v>1600000</v>
      </c>
      <c r="S933">
        <f>ventas[[#This Row],[Total_Productos]]*ventas[[#This Row],[descuento_pct]]</f>
        <v>0</v>
      </c>
      <c r="T933">
        <f>ventas[[#This Row],[Total_Productos]]-ventas[[#This Row],[Valor_descuento]]</f>
        <v>1600000</v>
      </c>
    </row>
    <row r="934" spans="1:20" x14ac:dyDescent="0.3">
      <c r="A934">
        <v>285</v>
      </c>
      <c r="B934" s="1">
        <v>45212</v>
      </c>
      <c r="C934">
        <v>60</v>
      </c>
      <c r="D934">
        <v>1</v>
      </c>
      <c r="E934">
        <v>135</v>
      </c>
      <c r="F934" t="s">
        <v>424</v>
      </c>
      <c r="G934" t="s">
        <v>425</v>
      </c>
      <c r="H934" t="s">
        <v>42</v>
      </c>
      <c r="I934">
        <v>26</v>
      </c>
      <c r="J934" t="s">
        <v>37</v>
      </c>
      <c r="K934" t="str">
        <f>_xlfn.XLOOKUP( ventas[[#This Row],[ciudad_cliente]],  ciudades[Ciudad], ciudades[Region])</f>
        <v>Valparaíso</v>
      </c>
      <c r="L934" t="s">
        <v>22</v>
      </c>
      <c r="M934" t="s">
        <v>102</v>
      </c>
      <c r="N934" t="str">
        <f>_xlfn.XLOOKUP(ventas[[#This Row],[producto]], categ[Producto], categ[Categoria])</f>
        <v>Vestuario</v>
      </c>
      <c r="O934">
        <v>12000</v>
      </c>
      <c r="P934">
        <v>1</v>
      </c>
      <c r="Q934" s="11">
        <v>0.1</v>
      </c>
      <c r="R934">
        <f>(ventas[[#This Row],[precio_unitario]]*ventas[[#This Row],[cantidad]])</f>
        <v>12000</v>
      </c>
      <c r="S934">
        <f>ventas[[#This Row],[Total_Productos]]*ventas[[#This Row],[descuento_pct]]</f>
        <v>1200</v>
      </c>
      <c r="T934">
        <f>ventas[[#This Row],[Total_Productos]]-ventas[[#This Row],[Valor_descuento]]</f>
        <v>10800</v>
      </c>
    </row>
    <row r="935" spans="1:20" x14ac:dyDescent="0.3">
      <c r="A935">
        <v>322</v>
      </c>
      <c r="B935" s="1">
        <v>45249</v>
      </c>
      <c r="C935">
        <v>41</v>
      </c>
      <c r="D935">
        <v>4</v>
      </c>
      <c r="E935">
        <v>135</v>
      </c>
      <c r="F935" t="s">
        <v>424</v>
      </c>
      <c r="G935" t="s">
        <v>425</v>
      </c>
      <c r="H935" t="s">
        <v>42</v>
      </c>
      <c r="I935">
        <v>26</v>
      </c>
      <c r="J935" t="s">
        <v>43</v>
      </c>
      <c r="K935" t="str">
        <f>_xlfn.XLOOKUP( ventas[[#This Row],[ciudad_cliente]],  ciudades[Ciudad], ciudades[Region])</f>
        <v>Antofagasta</v>
      </c>
      <c r="L935" t="s">
        <v>38</v>
      </c>
      <c r="M935" t="s">
        <v>23</v>
      </c>
      <c r="N935" t="str">
        <f>_xlfn.XLOOKUP(ventas[[#This Row],[producto]], categ[Producto], categ[Categoria])</f>
        <v>Belleza</v>
      </c>
      <c r="O935">
        <v>15000</v>
      </c>
      <c r="P935">
        <v>3</v>
      </c>
      <c r="Q935" s="11">
        <v>0.05</v>
      </c>
      <c r="R935">
        <f>(ventas[[#This Row],[precio_unitario]]*ventas[[#This Row],[cantidad]])</f>
        <v>45000</v>
      </c>
      <c r="S935">
        <f>ventas[[#This Row],[Total_Productos]]*ventas[[#This Row],[descuento_pct]]</f>
        <v>2250</v>
      </c>
      <c r="T935">
        <f>ventas[[#This Row],[Total_Productos]]-ventas[[#This Row],[Valor_descuento]]</f>
        <v>42750</v>
      </c>
    </row>
    <row r="936" spans="1:20" x14ac:dyDescent="0.3">
      <c r="A936">
        <v>473</v>
      </c>
      <c r="B936" s="1">
        <v>45400</v>
      </c>
      <c r="C936">
        <v>58</v>
      </c>
      <c r="D936">
        <v>1</v>
      </c>
      <c r="E936">
        <v>135</v>
      </c>
      <c r="F936" t="s">
        <v>424</v>
      </c>
      <c r="G936" t="s">
        <v>425</v>
      </c>
      <c r="H936" t="s">
        <v>42</v>
      </c>
      <c r="I936">
        <v>26</v>
      </c>
      <c r="J936" t="s">
        <v>76</v>
      </c>
      <c r="K936" t="str">
        <f>_xlfn.XLOOKUP( ventas[[#This Row],[ciudad_cliente]],  ciudades[Ciudad], ciudades[Region])</f>
        <v>Los Lagos</v>
      </c>
      <c r="L936" t="s">
        <v>38</v>
      </c>
      <c r="M936" t="s">
        <v>102</v>
      </c>
      <c r="N936" t="str">
        <f>_xlfn.XLOOKUP(ventas[[#This Row],[producto]], categ[Producto], categ[Categoria])</f>
        <v>Vestuario</v>
      </c>
      <c r="O936">
        <v>12000</v>
      </c>
      <c r="P936">
        <v>1</v>
      </c>
      <c r="Q936" s="11">
        <v>0.1</v>
      </c>
      <c r="R936">
        <f>(ventas[[#This Row],[precio_unitario]]*ventas[[#This Row],[cantidad]])</f>
        <v>12000</v>
      </c>
      <c r="S936">
        <f>ventas[[#This Row],[Total_Productos]]*ventas[[#This Row],[descuento_pct]]</f>
        <v>1200</v>
      </c>
      <c r="T936">
        <f>ventas[[#This Row],[Total_Productos]]-ventas[[#This Row],[Valor_descuento]]</f>
        <v>10800</v>
      </c>
    </row>
    <row r="937" spans="1:20" x14ac:dyDescent="0.3">
      <c r="A937">
        <v>614</v>
      </c>
      <c r="B937" s="1">
        <v>45541</v>
      </c>
      <c r="C937">
        <v>9</v>
      </c>
      <c r="D937">
        <v>9</v>
      </c>
      <c r="E937">
        <v>135</v>
      </c>
      <c r="F937" t="s">
        <v>424</v>
      </c>
      <c r="G937" t="s">
        <v>425</v>
      </c>
      <c r="H937" t="s">
        <v>42</v>
      </c>
      <c r="I937">
        <v>26</v>
      </c>
      <c r="J937" t="s">
        <v>37</v>
      </c>
      <c r="K937" t="str">
        <f>_xlfn.XLOOKUP( ventas[[#This Row],[ciudad_cliente]],  ciudades[Ciudad], ciudades[Region])</f>
        <v>Valparaíso</v>
      </c>
      <c r="L937" t="s">
        <v>22</v>
      </c>
      <c r="M937" t="s">
        <v>69</v>
      </c>
      <c r="N937" t="str">
        <f>_xlfn.XLOOKUP(ventas[[#This Row],[producto]], categ[Producto], categ[Categoria])</f>
        <v>Tecnología</v>
      </c>
      <c r="O937">
        <v>450000</v>
      </c>
      <c r="P937">
        <v>2</v>
      </c>
      <c r="Q937" s="11">
        <v>0.05</v>
      </c>
      <c r="R937">
        <f>(ventas[[#This Row],[precio_unitario]]*ventas[[#This Row],[cantidad]])</f>
        <v>900000</v>
      </c>
      <c r="S937">
        <f>ventas[[#This Row],[Total_Productos]]*ventas[[#This Row],[descuento_pct]]</f>
        <v>45000</v>
      </c>
      <c r="T937">
        <f>ventas[[#This Row],[Total_Productos]]-ventas[[#This Row],[Valor_descuento]]</f>
        <v>855000</v>
      </c>
    </row>
    <row r="938" spans="1:20" x14ac:dyDescent="0.3">
      <c r="A938">
        <v>668</v>
      </c>
      <c r="B938" s="1">
        <v>45595</v>
      </c>
      <c r="C938">
        <v>53</v>
      </c>
      <c r="D938">
        <v>1</v>
      </c>
      <c r="E938">
        <v>135</v>
      </c>
      <c r="F938" t="s">
        <v>424</v>
      </c>
      <c r="G938" t="s">
        <v>425</v>
      </c>
      <c r="H938" t="s">
        <v>42</v>
      </c>
      <c r="I938">
        <v>26</v>
      </c>
      <c r="J938" t="s">
        <v>76</v>
      </c>
      <c r="K938" t="str">
        <f>_xlfn.XLOOKUP( ventas[[#This Row],[ciudad_cliente]],  ciudades[Ciudad], ciudades[Region])</f>
        <v>Los Lagos</v>
      </c>
      <c r="L938" t="s">
        <v>22</v>
      </c>
      <c r="M938" t="s">
        <v>62</v>
      </c>
      <c r="N938" t="str">
        <f>_xlfn.XLOOKUP(ventas[[#This Row],[producto]], categ[Producto], categ[Categoria])</f>
        <v>Electrohogar</v>
      </c>
      <c r="O938">
        <v>650000</v>
      </c>
      <c r="P938">
        <v>3</v>
      </c>
      <c r="Q938" s="11">
        <v>0</v>
      </c>
      <c r="R938">
        <f>(ventas[[#This Row],[precio_unitario]]*ventas[[#This Row],[cantidad]])</f>
        <v>1950000</v>
      </c>
      <c r="S938">
        <f>ventas[[#This Row],[Total_Productos]]*ventas[[#This Row],[descuento_pct]]</f>
        <v>0</v>
      </c>
      <c r="T938">
        <f>ventas[[#This Row],[Total_Productos]]-ventas[[#This Row],[Valor_descuento]]</f>
        <v>1950000</v>
      </c>
    </row>
    <row r="939" spans="1:20" x14ac:dyDescent="0.3">
      <c r="A939">
        <v>721</v>
      </c>
      <c r="B939" s="1">
        <v>45648</v>
      </c>
      <c r="C939">
        <v>50</v>
      </c>
      <c r="D939">
        <v>0</v>
      </c>
      <c r="E939">
        <v>200</v>
      </c>
      <c r="F939" t="s">
        <v>576</v>
      </c>
      <c r="G939" t="s">
        <v>577</v>
      </c>
      <c r="H939" t="s">
        <v>19</v>
      </c>
      <c r="I939">
        <v>24</v>
      </c>
      <c r="J939" t="s">
        <v>20</v>
      </c>
      <c r="K939" t="str">
        <f>_xlfn.XLOOKUP( ventas[[#This Row],[ciudad_cliente]],  ciudades[Ciudad], ciudades[Region])</f>
        <v>La Araucanía</v>
      </c>
      <c r="L939" t="s">
        <v>38</v>
      </c>
      <c r="M939" t="s">
        <v>62</v>
      </c>
      <c r="N939" t="str">
        <f>_xlfn.XLOOKUP(ventas[[#This Row],[producto]], categ[Producto], categ[Categoria])</f>
        <v>Electrohogar</v>
      </c>
      <c r="O939">
        <v>650000</v>
      </c>
      <c r="P939">
        <v>3</v>
      </c>
      <c r="Q939" s="11">
        <v>0.1</v>
      </c>
      <c r="R939">
        <f>(ventas[[#This Row],[precio_unitario]]*ventas[[#This Row],[cantidad]])</f>
        <v>1950000</v>
      </c>
      <c r="S939">
        <f>ventas[[#This Row],[Total_Productos]]*ventas[[#This Row],[descuento_pct]]</f>
        <v>195000</v>
      </c>
      <c r="T939">
        <f>ventas[[#This Row],[Total_Productos]]-ventas[[#This Row],[Valor_descuento]]</f>
        <v>1755000</v>
      </c>
    </row>
    <row r="940" spans="1:20" x14ac:dyDescent="0.3">
      <c r="A940">
        <v>232</v>
      </c>
      <c r="B940" s="1">
        <v>45159</v>
      </c>
      <c r="C940">
        <v>31</v>
      </c>
      <c r="D940">
        <v>4</v>
      </c>
      <c r="E940">
        <v>52</v>
      </c>
      <c r="F940" t="s">
        <v>384</v>
      </c>
      <c r="G940" t="s">
        <v>385</v>
      </c>
      <c r="H940" t="s">
        <v>19</v>
      </c>
      <c r="I940">
        <v>33</v>
      </c>
      <c r="J940" t="s">
        <v>101</v>
      </c>
      <c r="K940" t="str">
        <f>_xlfn.XLOOKUP( ventas[[#This Row],[ciudad_cliente]],  ciudades[Ciudad], ciudades[Region])</f>
        <v>O'Higgins</v>
      </c>
      <c r="L940" t="s">
        <v>38</v>
      </c>
      <c r="M940" t="s">
        <v>39</v>
      </c>
      <c r="N940" t="str">
        <f>_xlfn.XLOOKUP(ventas[[#This Row],[producto]], categ[Producto], categ[Categoria])</f>
        <v>Belleza</v>
      </c>
      <c r="O940">
        <v>35000</v>
      </c>
      <c r="P940">
        <v>3</v>
      </c>
      <c r="Q940" s="11">
        <v>0.05</v>
      </c>
      <c r="R940">
        <f>(ventas[[#This Row],[precio_unitario]]*ventas[[#This Row],[cantidad]])</f>
        <v>105000</v>
      </c>
      <c r="S940">
        <f>ventas[[#This Row],[Total_Productos]]*ventas[[#This Row],[descuento_pct]]</f>
        <v>5250</v>
      </c>
      <c r="T940">
        <f>ventas[[#This Row],[Total_Productos]]-ventas[[#This Row],[Valor_descuento]]</f>
        <v>99750</v>
      </c>
    </row>
    <row r="941" spans="1:20" x14ac:dyDescent="0.3">
      <c r="A941">
        <v>705</v>
      </c>
      <c r="B941" s="1">
        <v>45632</v>
      </c>
      <c r="C941">
        <v>63</v>
      </c>
      <c r="D941">
        <v>5</v>
      </c>
      <c r="E941">
        <v>52</v>
      </c>
      <c r="F941" t="s">
        <v>384</v>
      </c>
      <c r="G941" t="s">
        <v>385</v>
      </c>
      <c r="H941" t="s">
        <v>19</v>
      </c>
      <c r="I941">
        <v>33</v>
      </c>
      <c r="J941" t="s">
        <v>101</v>
      </c>
      <c r="K941" t="str">
        <f>_xlfn.XLOOKUP( ventas[[#This Row],[ciudad_cliente]],  ciudades[Ciudad], ciudades[Region])</f>
        <v>O'Higgins</v>
      </c>
      <c r="L941" t="s">
        <v>38</v>
      </c>
      <c r="M941" t="s">
        <v>46</v>
      </c>
      <c r="N941" t="str">
        <f>_xlfn.XLOOKUP(ventas[[#This Row],[producto]], categ[Producto], categ[Categoria])</f>
        <v>Tecnología</v>
      </c>
      <c r="O941">
        <v>750000</v>
      </c>
      <c r="P941">
        <v>3</v>
      </c>
      <c r="Q941" s="11">
        <v>0.05</v>
      </c>
      <c r="R941">
        <f>(ventas[[#This Row],[precio_unitario]]*ventas[[#This Row],[cantidad]])</f>
        <v>2250000</v>
      </c>
      <c r="S941">
        <f>ventas[[#This Row],[Total_Productos]]*ventas[[#This Row],[descuento_pct]]</f>
        <v>112500</v>
      </c>
      <c r="T941">
        <f>ventas[[#This Row],[Total_Productos]]-ventas[[#This Row],[Valor_descuento]]</f>
        <v>2137500</v>
      </c>
    </row>
    <row r="942" spans="1:20" x14ac:dyDescent="0.3">
      <c r="A942">
        <v>789</v>
      </c>
      <c r="B942" s="1">
        <v>45716</v>
      </c>
      <c r="C942">
        <v>3</v>
      </c>
      <c r="D942">
        <v>1</v>
      </c>
      <c r="E942">
        <v>52</v>
      </c>
      <c r="F942" t="s">
        <v>384</v>
      </c>
      <c r="G942" t="s">
        <v>385</v>
      </c>
      <c r="H942" t="s">
        <v>19</v>
      </c>
      <c r="I942">
        <v>33</v>
      </c>
      <c r="J942" t="s">
        <v>37</v>
      </c>
      <c r="K942" t="str">
        <f>_xlfn.XLOOKUP( ventas[[#This Row],[ciudad_cliente]],  ciudades[Ciudad], ciudades[Region])</f>
        <v>Valparaíso</v>
      </c>
      <c r="L942" t="s">
        <v>38</v>
      </c>
      <c r="M942" t="s">
        <v>49</v>
      </c>
      <c r="N942" t="str">
        <f>_xlfn.XLOOKUP(ventas[[#This Row],[producto]], categ[Producto], categ[Categoria])</f>
        <v>Electrohogar</v>
      </c>
      <c r="O942">
        <v>800000</v>
      </c>
      <c r="P942">
        <v>2</v>
      </c>
      <c r="Q942" s="11">
        <v>0.05</v>
      </c>
      <c r="R942">
        <f>(ventas[[#This Row],[precio_unitario]]*ventas[[#This Row],[cantidad]])</f>
        <v>1600000</v>
      </c>
      <c r="S942">
        <f>ventas[[#This Row],[Total_Productos]]*ventas[[#This Row],[descuento_pct]]</f>
        <v>80000</v>
      </c>
      <c r="T942">
        <f>ventas[[#This Row],[Total_Productos]]-ventas[[#This Row],[Valor_descuento]]</f>
        <v>1520000</v>
      </c>
    </row>
    <row r="943" spans="1:20" x14ac:dyDescent="0.3">
      <c r="A943">
        <v>807</v>
      </c>
      <c r="B943" s="1">
        <v>45734</v>
      </c>
      <c r="C943">
        <v>69</v>
      </c>
      <c r="D943">
        <v>1</v>
      </c>
      <c r="E943">
        <v>52</v>
      </c>
      <c r="F943" t="s">
        <v>384</v>
      </c>
      <c r="G943" t="s">
        <v>385</v>
      </c>
      <c r="H943" t="s">
        <v>19</v>
      </c>
      <c r="I943">
        <v>33</v>
      </c>
      <c r="J943" t="s">
        <v>76</v>
      </c>
      <c r="K943" t="str">
        <f>_xlfn.XLOOKUP( ventas[[#This Row],[ciudad_cliente]],  ciudades[Ciudad], ciudades[Region])</f>
        <v>Los Lagos</v>
      </c>
      <c r="L943" t="s">
        <v>29</v>
      </c>
      <c r="M943" t="s">
        <v>69</v>
      </c>
      <c r="N943" t="str">
        <f>_xlfn.XLOOKUP(ventas[[#This Row],[producto]], categ[Producto], categ[Categoria])</f>
        <v>Tecnología</v>
      </c>
      <c r="O943">
        <v>450000</v>
      </c>
      <c r="P943">
        <v>1</v>
      </c>
      <c r="Q943" s="11">
        <v>0</v>
      </c>
      <c r="R943">
        <f>(ventas[[#This Row],[precio_unitario]]*ventas[[#This Row],[cantidad]])</f>
        <v>450000</v>
      </c>
      <c r="S943">
        <f>ventas[[#This Row],[Total_Productos]]*ventas[[#This Row],[descuento_pct]]</f>
        <v>0</v>
      </c>
      <c r="T943">
        <f>ventas[[#This Row],[Total_Productos]]-ventas[[#This Row],[Valor_descuento]]</f>
        <v>450000</v>
      </c>
    </row>
    <row r="944" spans="1:20" x14ac:dyDescent="0.3">
      <c r="A944">
        <v>406</v>
      </c>
      <c r="B944" s="1">
        <v>45333</v>
      </c>
      <c r="C944">
        <v>23</v>
      </c>
      <c r="D944">
        <v>0</v>
      </c>
      <c r="E944">
        <v>217</v>
      </c>
      <c r="F944" t="s">
        <v>506</v>
      </c>
      <c r="G944" t="s">
        <v>507</v>
      </c>
      <c r="H944" t="s">
        <v>19</v>
      </c>
      <c r="I944">
        <v>28</v>
      </c>
      <c r="J944" t="s">
        <v>52</v>
      </c>
      <c r="K944" t="str">
        <f>_xlfn.XLOOKUP( ventas[[#This Row],[ciudad_cliente]],  ciudades[Ciudad], ciudades[Region])</f>
        <v>Biobío</v>
      </c>
      <c r="L944" t="s">
        <v>38</v>
      </c>
      <c r="M944" t="s">
        <v>39</v>
      </c>
      <c r="N944" t="str">
        <f>_xlfn.XLOOKUP(ventas[[#This Row],[producto]], categ[Producto], categ[Categoria])</f>
        <v>Belleza</v>
      </c>
      <c r="O944">
        <v>35000</v>
      </c>
      <c r="P944">
        <v>1</v>
      </c>
      <c r="Q944" s="11">
        <v>0.1</v>
      </c>
      <c r="R944">
        <f>(ventas[[#This Row],[precio_unitario]]*ventas[[#This Row],[cantidad]])</f>
        <v>35000</v>
      </c>
      <c r="S944">
        <f>ventas[[#This Row],[Total_Productos]]*ventas[[#This Row],[descuento_pct]]</f>
        <v>3500</v>
      </c>
      <c r="T944">
        <f>ventas[[#This Row],[Total_Productos]]-ventas[[#This Row],[Valor_descuento]]</f>
        <v>31500</v>
      </c>
    </row>
    <row r="945" spans="1:20" x14ac:dyDescent="0.3">
      <c r="A945">
        <v>950</v>
      </c>
      <c r="B945" s="1">
        <v>45877</v>
      </c>
      <c r="C945">
        <v>13</v>
      </c>
      <c r="D945">
        <v>0</v>
      </c>
      <c r="E945">
        <v>217</v>
      </c>
      <c r="F945" t="s">
        <v>506</v>
      </c>
      <c r="G945" t="s">
        <v>507</v>
      </c>
      <c r="H945" t="s">
        <v>19</v>
      </c>
      <c r="I945">
        <v>28</v>
      </c>
      <c r="J945" t="s">
        <v>27</v>
      </c>
      <c r="K945" t="str">
        <f>_xlfn.XLOOKUP( ventas[[#This Row],[ciudad_cliente]],  ciudades[Ciudad], ciudades[Region])</f>
        <v>Biobío</v>
      </c>
      <c r="L945" t="s">
        <v>22</v>
      </c>
      <c r="M945" t="s">
        <v>30</v>
      </c>
      <c r="N945" t="str">
        <f>_xlfn.XLOOKUP(ventas[[#This Row],[producto]], categ[Producto], categ[Categoria])</f>
        <v>Electrohogar</v>
      </c>
      <c r="O945">
        <v>700000</v>
      </c>
      <c r="P945">
        <v>3</v>
      </c>
      <c r="Q945" s="11">
        <v>0.1</v>
      </c>
      <c r="R945">
        <f>(ventas[[#This Row],[precio_unitario]]*ventas[[#This Row],[cantidad]])</f>
        <v>2100000</v>
      </c>
      <c r="S945">
        <f>ventas[[#This Row],[Total_Productos]]*ventas[[#This Row],[descuento_pct]]</f>
        <v>210000</v>
      </c>
      <c r="T945">
        <f>ventas[[#This Row],[Total_Productos]]-ventas[[#This Row],[Valor_descuento]]</f>
        <v>1890000</v>
      </c>
    </row>
    <row r="946" spans="1:20" x14ac:dyDescent="0.3">
      <c r="A946">
        <v>111</v>
      </c>
      <c r="B946" s="1">
        <v>45038</v>
      </c>
      <c r="C946">
        <v>68</v>
      </c>
      <c r="D946">
        <v>2</v>
      </c>
      <c r="E946">
        <v>97</v>
      </c>
      <c r="F946" t="s">
        <v>247</v>
      </c>
      <c r="G946" t="s">
        <v>248</v>
      </c>
      <c r="H946" t="s">
        <v>42</v>
      </c>
      <c r="I946">
        <v>41</v>
      </c>
      <c r="J946" t="s">
        <v>34</v>
      </c>
      <c r="K946" t="str">
        <f>_xlfn.XLOOKUP( ventas[[#This Row],[ciudad_cliente]],  ciudades[Ciudad], ciudades[Region])</f>
        <v>Metropolitana</v>
      </c>
      <c r="L946" t="s">
        <v>22</v>
      </c>
      <c r="M946" t="s">
        <v>23</v>
      </c>
      <c r="N946" t="str">
        <f>_xlfn.XLOOKUP(ventas[[#This Row],[producto]], categ[Producto], categ[Categoria])</f>
        <v>Belleza</v>
      </c>
      <c r="O946">
        <v>15000</v>
      </c>
      <c r="P946">
        <v>3</v>
      </c>
      <c r="Q946" s="11">
        <v>0</v>
      </c>
      <c r="R946">
        <f>(ventas[[#This Row],[precio_unitario]]*ventas[[#This Row],[cantidad]])</f>
        <v>45000</v>
      </c>
      <c r="S946">
        <f>ventas[[#This Row],[Total_Productos]]*ventas[[#This Row],[descuento_pct]]</f>
        <v>0</v>
      </c>
      <c r="T946">
        <f>ventas[[#This Row],[Total_Productos]]-ventas[[#This Row],[Valor_descuento]]</f>
        <v>45000</v>
      </c>
    </row>
    <row r="947" spans="1:20" x14ac:dyDescent="0.3">
      <c r="A947">
        <v>673</v>
      </c>
      <c r="B947" s="1">
        <v>45600</v>
      </c>
      <c r="C947">
        <v>24</v>
      </c>
      <c r="D947">
        <v>3</v>
      </c>
      <c r="E947">
        <v>97</v>
      </c>
      <c r="F947" t="s">
        <v>247</v>
      </c>
      <c r="G947" t="s">
        <v>248</v>
      </c>
      <c r="H947" t="s">
        <v>42</v>
      </c>
      <c r="I947">
        <v>41</v>
      </c>
      <c r="J947" t="s">
        <v>84</v>
      </c>
      <c r="K947" t="str">
        <f>_xlfn.XLOOKUP( ventas[[#This Row],[ciudad_cliente]],  ciudades[Ciudad], ciudades[Region])</f>
        <v>Coquimbo</v>
      </c>
      <c r="L947" t="s">
        <v>38</v>
      </c>
      <c r="M947" t="s">
        <v>39</v>
      </c>
      <c r="N947" t="str">
        <f>_xlfn.XLOOKUP(ventas[[#This Row],[producto]], categ[Producto], categ[Categoria])</f>
        <v>Belleza</v>
      </c>
      <c r="O947">
        <v>35000</v>
      </c>
      <c r="P947">
        <v>2</v>
      </c>
      <c r="Q947" s="11">
        <v>0</v>
      </c>
      <c r="R947">
        <f>(ventas[[#This Row],[precio_unitario]]*ventas[[#This Row],[cantidad]])</f>
        <v>70000</v>
      </c>
      <c r="S947">
        <f>ventas[[#This Row],[Total_Productos]]*ventas[[#This Row],[descuento_pct]]</f>
        <v>0</v>
      </c>
      <c r="T947">
        <f>ventas[[#This Row],[Total_Productos]]-ventas[[#This Row],[Valor_descuento]]</f>
        <v>70000</v>
      </c>
    </row>
    <row r="948" spans="1:20" x14ac:dyDescent="0.3">
      <c r="A948">
        <v>50</v>
      </c>
      <c r="B948" s="1">
        <v>44977</v>
      </c>
      <c r="C948">
        <v>10</v>
      </c>
      <c r="D948">
        <v>7</v>
      </c>
      <c r="E948">
        <v>30</v>
      </c>
      <c r="F948" t="s">
        <v>144</v>
      </c>
      <c r="G948" t="s">
        <v>145</v>
      </c>
      <c r="H948" t="s">
        <v>19</v>
      </c>
      <c r="I948">
        <v>34</v>
      </c>
      <c r="J948" t="s">
        <v>37</v>
      </c>
      <c r="K948" t="str">
        <f>_xlfn.XLOOKUP( ventas[[#This Row],[ciudad_cliente]],  ciudades[Ciudad], ciudades[Region])</f>
        <v>Valparaíso</v>
      </c>
      <c r="L948" t="s">
        <v>22</v>
      </c>
      <c r="M948" t="s">
        <v>23</v>
      </c>
      <c r="N948" t="str">
        <f>_xlfn.XLOOKUP(ventas[[#This Row],[producto]], categ[Producto], categ[Categoria])</f>
        <v>Belleza</v>
      </c>
      <c r="O948">
        <v>15000</v>
      </c>
      <c r="P948">
        <v>3</v>
      </c>
      <c r="Q948" s="11">
        <v>0</v>
      </c>
      <c r="R948">
        <f>(ventas[[#This Row],[precio_unitario]]*ventas[[#This Row],[cantidad]])</f>
        <v>45000</v>
      </c>
      <c r="S948">
        <f>ventas[[#This Row],[Total_Productos]]*ventas[[#This Row],[descuento_pct]]</f>
        <v>0</v>
      </c>
      <c r="T948">
        <f>ventas[[#This Row],[Total_Productos]]-ventas[[#This Row],[Valor_descuento]]</f>
        <v>45000</v>
      </c>
    </row>
    <row r="949" spans="1:20" x14ac:dyDescent="0.3">
      <c r="A949">
        <v>50</v>
      </c>
      <c r="B949" s="1">
        <v>44977</v>
      </c>
      <c r="C949">
        <v>10</v>
      </c>
      <c r="D949">
        <v>7</v>
      </c>
      <c r="E949">
        <v>30</v>
      </c>
      <c r="F949" t="s">
        <v>144</v>
      </c>
      <c r="G949" t="s">
        <v>145</v>
      </c>
      <c r="H949" t="s">
        <v>19</v>
      </c>
      <c r="I949">
        <v>34</v>
      </c>
      <c r="J949" t="s">
        <v>37</v>
      </c>
      <c r="K949" t="str">
        <f>_xlfn.XLOOKUP( ventas[[#This Row],[ciudad_cliente]],  ciudades[Ciudad], ciudades[Region])</f>
        <v>Valparaíso</v>
      </c>
      <c r="L949" t="s">
        <v>22</v>
      </c>
      <c r="M949" t="s">
        <v>23</v>
      </c>
      <c r="N949" t="str">
        <f>_xlfn.XLOOKUP(ventas[[#This Row],[producto]], categ[Producto], categ[Categoria])</f>
        <v>Belleza</v>
      </c>
      <c r="O949">
        <v>15000</v>
      </c>
      <c r="P949">
        <v>3</v>
      </c>
      <c r="Q949" s="11">
        <v>0</v>
      </c>
      <c r="R949">
        <f>(ventas[[#This Row],[precio_unitario]]*ventas[[#This Row],[cantidad]])</f>
        <v>45000</v>
      </c>
      <c r="S949">
        <f>ventas[[#This Row],[Total_Productos]]*ventas[[#This Row],[descuento_pct]]</f>
        <v>0</v>
      </c>
      <c r="T949">
        <f>ventas[[#This Row],[Total_Productos]]-ventas[[#This Row],[Valor_descuento]]</f>
        <v>45000</v>
      </c>
    </row>
    <row r="950" spans="1:20" x14ac:dyDescent="0.3">
      <c r="A950">
        <v>803</v>
      </c>
      <c r="B950" s="1">
        <v>45730</v>
      </c>
      <c r="C950">
        <v>18</v>
      </c>
      <c r="D950">
        <v>1</v>
      </c>
      <c r="E950">
        <v>30</v>
      </c>
      <c r="F950" t="s">
        <v>144</v>
      </c>
      <c r="G950" t="s">
        <v>145</v>
      </c>
      <c r="H950" t="s">
        <v>19</v>
      </c>
      <c r="I950">
        <v>34</v>
      </c>
      <c r="J950" t="s">
        <v>27</v>
      </c>
      <c r="K950" t="str">
        <f>_xlfn.XLOOKUP( ventas[[#This Row],[ciudad_cliente]],  ciudades[Ciudad], ciudades[Region])</f>
        <v>Biobío</v>
      </c>
      <c r="L950" t="s">
        <v>38</v>
      </c>
      <c r="M950" t="s">
        <v>98</v>
      </c>
      <c r="N950" t="str">
        <f>_xlfn.XLOOKUP(ventas[[#This Row],[producto]], categ[Producto], categ[Categoria])</f>
        <v>Calzado</v>
      </c>
      <c r="O950">
        <v>55000</v>
      </c>
      <c r="P950">
        <v>3</v>
      </c>
      <c r="Q950" s="11">
        <v>0</v>
      </c>
      <c r="R950">
        <f>(ventas[[#This Row],[precio_unitario]]*ventas[[#This Row],[cantidad]])</f>
        <v>165000</v>
      </c>
      <c r="S950">
        <f>ventas[[#This Row],[Total_Productos]]*ventas[[#This Row],[descuento_pct]]</f>
        <v>0</v>
      </c>
      <c r="T950">
        <f>ventas[[#This Row],[Total_Productos]]-ventas[[#This Row],[Valor_descuento]]</f>
        <v>165000</v>
      </c>
    </row>
    <row r="951" spans="1:20" x14ac:dyDescent="0.3">
      <c r="A951">
        <v>829</v>
      </c>
      <c r="B951" s="1">
        <v>45756</v>
      </c>
      <c r="C951">
        <v>55</v>
      </c>
      <c r="D951">
        <v>9</v>
      </c>
      <c r="E951">
        <v>30</v>
      </c>
      <c r="F951" t="s">
        <v>144</v>
      </c>
      <c r="G951" t="s">
        <v>145</v>
      </c>
      <c r="H951" t="s">
        <v>19</v>
      </c>
      <c r="I951">
        <v>34</v>
      </c>
      <c r="J951" t="s">
        <v>43</v>
      </c>
      <c r="K951" t="str">
        <f>_xlfn.XLOOKUP( ventas[[#This Row],[ciudad_cliente]],  ciudades[Ciudad], ciudades[Region])</f>
        <v>Antofagasta</v>
      </c>
      <c r="L951" t="s">
        <v>22</v>
      </c>
      <c r="M951" t="s">
        <v>69</v>
      </c>
      <c r="N951" t="str">
        <f>_xlfn.XLOOKUP(ventas[[#This Row],[producto]], categ[Producto], categ[Categoria])</f>
        <v>Tecnología</v>
      </c>
      <c r="O951">
        <v>450000</v>
      </c>
      <c r="P951">
        <v>3</v>
      </c>
      <c r="Q951" s="11">
        <v>0.05</v>
      </c>
      <c r="R951">
        <f>(ventas[[#This Row],[precio_unitario]]*ventas[[#This Row],[cantidad]])</f>
        <v>1350000</v>
      </c>
      <c r="S951">
        <f>ventas[[#This Row],[Total_Productos]]*ventas[[#This Row],[descuento_pct]]</f>
        <v>67500</v>
      </c>
      <c r="T951">
        <f>ventas[[#This Row],[Total_Productos]]-ventas[[#This Row],[Valor_descuento]]</f>
        <v>1282500</v>
      </c>
    </row>
    <row r="952" spans="1:20" x14ac:dyDescent="0.3">
      <c r="A952">
        <v>859</v>
      </c>
      <c r="B952" s="1">
        <v>45786</v>
      </c>
      <c r="C952">
        <v>51</v>
      </c>
      <c r="D952">
        <v>7</v>
      </c>
      <c r="E952">
        <v>30</v>
      </c>
      <c r="F952" t="s">
        <v>144</v>
      </c>
      <c r="G952" t="s">
        <v>145</v>
      </c>
      <c r="H952" t="s">
        <v>19</v>
      </c>
      <c r="I952">
        <v>34</v>
      </c>
      <c r="J952" t="s">
        <v>101</v>
      </c>
      <c r="K952" t="str">
        <f>_xlfn.XLOOKUP( ventas[[#This Row],[ciudad_cliente]],  ciudades[Ciudad], ciudades[Region])</f>
        <v>O'Higgins</v>
      </c>
      <c r="L952" t="s">
        <v>38</v>
      </c>
      <c r="M952" t="s">
        <v>98</v>
      </c>
      <c r="N952" t="str">
        <f>_xlfn.XLOOKUP(ventas[[#This Row],[producto]], categ[Producto], categ[Categoria])</f>
        <v>Calzado</v>
      </c>
      <c r="O952">
        <v>55000</v>
      </c>
      <c r="P952">
        <v>3</v>
      </c>
      <c r="Q952" s="11">
        <v>0.1</v>
      </c>
      <c r="R952">
        <f>(ventas[[#This Row],[precio_unitario]]*ventas[[#This Row],[cantidad]])</f>
        <v>165000</v>
      </c>
      <c r="S952">
        <f>ventas[[#This Row],[Total_Productos]]*ventas[[#This Row],[descuento_pct]]</f>
        <v>16500</v>
      </c>
      <c r="T952">
        <f>ventas[[#This Row],[Total_Productos]]-ventas[[#This Row],[Valor_descuento]]</f>
        <v>148500</v>
      </c>
    </row>
    <row r="953" spans="1:20" x14ac:dyDescent="0.3">
      <c r="A953">
        <v>930</v>
      </c>
      <c r="B953" s="1">
        <v>45857</v>
      </c>
      <c r="C953">
        <v>52</v>
      </c>
      <c r="D953">
        <v>0</v>
      </c>
      <c r="E953">
        <v>30</v>
      </c>
      <c r="F953" t="s">
        <v>144</v>
      </c>
      <c r="G953" t="s">
        <v>145</v>
      </c>
      <c r="H953" t="s">
        <v>19</v>
      </c>
      <c r="I953">
        <v>34</v>
      </c>
      <c r="J953" t="s">
        <v>27</v>
      </c>
      <c r="K953" t="str">
        <f>_xlfn.XLOOKUP( ventas[[#This Row],[ciudad_cliente]],  ciudades[Ciudad], ciudades[Region])</f>
        <v>Biobío</v>
      </c>
      <c r="L953" t="s">
        <v>22</v>
      </c>
      <c r="M953" t="s">
        <v>39</v>
      </c>
      <c r="N953" t="str">
        <f>_xlfn.XLOOKUP(ventas[[#This Row],[producto]], categ[Producto], categ[Categoria])</f>
        <v>Belleza</v>
      </c>
      <c r="O953">
        <v>35000</v>
      </c>
      <c r="P953">
        <v>2</v>
      </c>
      <c r="Q953" s="11">
        <v>0.05</v>
      </c>
      <c r="R953">
        <f>(ventas[[#This Row],[precio_unitario]]*ventas[[#This Row],[cantidad]])</f>
        <v>70000</v>
      </c>
      <c r="S953">
        <f>ventas[[#This Row],[Total_Productos]]*ventas[[#This Row],[descuento_pct]]</f>
        <v>3500</v>
      </c>
      <c r="T953">
        <f>ventas[[#This Row],[Total_Productos]]-ventas[[#This Row],[Valor_descuento]]</f>
        <v>66500</v>
      </c>
    </row>
    <row r="954" spans="1:20" x14ac:dyDescent="0.3">
      <c r="A954">
        <v>930</v>
      </c>
      <c r="B954" s="1">
        <v>45857</v>
      </c>
      <c r="C954">
        <v>52</v>
      </c>
      <c r="D954">
        <v>0</v>
      </c>
      <c r="E954">
        <v>30</v>
      </c>
      <c r="F954" t="s">
        <v>144</v>
      </c>
      <c r="G954" t="s">
        <v>145</v>
      </c>
      <c r="H954" t="s">
        <v>19</v>
      </c>
      <c r="I954">
        <v>34</v>
      </c>
      <c r="J954" t="s">
        <v>27</v>
      </c>
      <c r="K954" t="str">
        <f>_xlfn.XLOOKUP( ventas[[#This Row],[ciudad_cliente]],  ciudades[Ciudad], ciudades[Region])</f>
        <v>Biobío</v>
      </c>
      <c r="L954" t="s">
        <v>22</v>
      </c>
      <c r="M954" t="s">
        <v>39</v>
      </c>
      <c r="N954" t="str">
        <f>_xlfn.XLOOKUP(ventas[[#This Row],[producto]], categ[Producto], categ[Categoria])</f>
        <v>Belleza</v>
      </c>
      <c r="O954">
        <v>35000</v>
      </c>
      <c r="P954">
        <v>2</v>
      </c>
      <c r="Q954" s="11">
        <v>0.05</v>
      </c>
      <c r="R954">
        <f>(ventas[[#This Row],[precio_unitario]]*ventas[[#This Row],[cantidad]])</f>
        <v>70000</v>
      </c>
      <c r="S954">
        <f>ventas[[#This Row],[Total_Productos]]*ventas[[#This Row],[descuento_pct]]</f>
        <v>3500</v>
      </c>
      <c r="T954">
        <f>ventas[[#This Row],[Total_Productos]]-ventas[[#This Row],[Valor_descuento]]</f>
        <v>66500</v>
      </c>
    </row>
    <row r="955" spans="1:20" x14ac:dyDescent="0.3">
      <c r="A955">
        <v>351</v>
      </c>
      <c r="B955" s="1">
        <v>45278</v>
      </c>
      <c r="C955">
        <v>20</v>
      </c>
      <c r="D955">
        <v>0</v>
      </c>
      <c r="E955">
        <v>124</v>
      </c>
      <c r="F955" t="s">
        <v>476</v>
      </c>
      <c r="G955" t="s">
        <v>477</v>
      </c>
      <c r="H955" t="s">
        <v>42</v>
      </c>
      <c r="I955">
        <v>21</v>
      </c>
      <c r="J955" t="s">
        <v>20</v>
      </c>
      <c r="K955" t="str">
        <f>_xlfn.XLOOKUP( ventas[[#This Row],[ciudad_cliente]],  ciudades[Ciudad], ciudades[Region])</f>
        <v>La Araucanía</v>
      </c>
      <c r="L955" t="s">
        <v>38</v>
      </c>
      <c r="M955" t="s">
        <v>49</v>
      </c>
      <c r="N955" t="str">
        <f>_xlfn.XLOOKUP(ventas[[#This Row],[producto]], categ[Producto], categ[Categoria])</f>
        <v>Electrohogar</v>
      </c>
      <c r="O955">
        <v>800000</v>
      </c>
      <c r="P955">
        <v>1</v>
      </c>
      <c r="Q955" s="11">
        <v>0.05</v>
      </c>
      <c r="R955">
        <f>(ventas[[#This Row],[precio_unitario]]*ventas[[#This Row],[cantidad]])</f>
        <v>800000</v>
      </c>
      <c r="S955">
        <f>ventas[[#This Row],[Total_Productos]]*ventas[[#This Row],[descuento_pct]]</f>
        <v>40000</v>
      </c>
      <c r="T955">
        <f>ventas[[#This Row],[Total_Productos]]-ventas[[#This Row],[Valor_descuento]]</f>
        <v>760000</v>
      </c>
    </row>
    <row r="956" spans="1:20" x14ac:dyDescent="0.3">
      <c r="A956">
        <v>926</v>
      </c>
      <c r="B956" s="1">
        <v>45853</v>
      </c>
      <c r="C956">
        <v>68</v>
      </c>
      <c r="D956">
        <v>2</v>
      </c>
      <c r="E956">
        <v>124</v>
      </c>
      <c r="F956" t="s">
        <v>476</v>
      </c>
      <c r="G956" t="s">
        <v>477</v>
      </c>
      <c r="H956" t="s">
        <v>42</v>
      </c>
      <c r="I956">
        <v>21</v>
      </c>
      <c r="J956" t="s">
        <v>34</v>
      </c>
      <c r="K956" t="str">
        <f>_xlfn.XLOOKUP( ventas[[#This Row],[ciudad_cliente]],  ciudades[Ciudad], ciudades[Region])</f>
        <v>Metropolitana</v>
      </c>
      <c r="L956" t="s">
        <v>38</v>
      </c>
      <c r="M956" t="s">
        <v>39</v>
      </c>
      <c r="N956" t="str">
        <f>_xlfn.XLOOKUP(ventas[[#This Row],[producto]], categ[Producto], categ[Categoria])</f>
        <v>Belleza</v>
      </c>
      <c r="O956">
        <v>35000</v>
      </c>
      <c r="P956">
        <v>3</v>
      </c>
      <c r="Q956" s="11">
        <v>0</v>
      </c>
      <c r="R956">
        <f>(ventas[[#This Row],[precio_unitario]]*ventas[[#This Row],[cantidad]])</f>
        <v>105000</v>
      </c>
      <c r="S956">
        <f>ventas[[#This Row],[Total_Productos]]*ventas[[#This Row],[descuento_pct]]</f>
        <v>0</v>
      </c>
      <c r="T956">
        <f>ventas[[#This Row],[Total_Productos]]-ventas[[#This Row],[Valor_descuento]]</f>
        <v>105000</v>
      </c>
    </row>
    <row r="957" spans="1:20" x14ac:dyDescent="0.3">
      <c r="A957">
        <v>403</v>
      </c>
      <c r="B957" s="1">
        <v>45330</v>
      </c>
      <c r="C957">
        <v>21</v>
      </c>
      <c r="D957">
        <v>5</v>
      </c>
      <c r="E957">
        <v>19</v>
      </c>
      <c r="F957" t="s">
        <v>504</v>
      </c>
      <c r="G957" t="s">
        <v>505</v>
      </c>
      <c r="H957" t="s">
        <v>19</v>
      </c>
      <c r="I957">
        <v>27</v>
      </c>
      <c r="J957" t="s">
        <v>76</v>
      </c>
      <c r="K957" t="str">
        <f>_xlfn.XLOOKUP( ventas[[#This Row],[ciudad_cliente]],  ciudades[Ciudad], ciudades[Region])</f>
        <v>Los Lagos</v>
      </c>
      <c r="L957" t="s">
        <v>38</v>
      </c>
      <c r="M957" t="s">
        <v>98</v>
      </c>
      <c r="N957" t="str">
        <f>_xlfn.XLOOKUP(ventas[[#This Row],[producto]], categ[Producto], categ[Categoria])</f>
        <v>Calzado</v>
      </c>
      <c r="O957">
        <v>55000</v>
      </c>
      <c r="P957">
        <v>1</v>
      </c>
      <c r="Q957" s="11">
        <v>0</v>
      </c>
      <c r="R957">
        <f>(ventas[[#This Row],[precio_unitario]]*ventas[[#This Row],[cantidad]])</f>
        <v>55000</v>
      </c>
      <c r="S957">
        <f>ventas[[#This Row],[Total_Productos]]*ventas[[#This Row],[descuento_pct]]</f>
        <v>0</v>
      </c>
      <c r="T957">
        <f>ventas[[#This Row],[Total_Productos]]-ventas[[#This Row],[Valor_descuento]]</f>
        <v>55000</v>
      </c>
    </row>
    <row r="958" spans="1:20" x14ac:dyDescent="0.3">
      <c r="A958">
        <v>555</v>
      </c>
      <c r="B958" s="1">
        <v>45482</v>
      </c>
      <c r="C958">
        <v>59</v>
      </c>
      <c r="D958">
        <v>1</v>
      </c>
      <c r="E958">
        <v>19</v>
      </c>
      <c r="F958" t="s">
        <v>504</v>
      </c>
      <c r="G958" t="s">
        <v>505</v>
      </c>
      <c r="H958" t="s">
        <v>19</v>
      </c>
      <c r="I958">
        <v>27</v>
      </c>
      <c r="J958" t="s">
        <v>43</v>
      </c>
      <c r="K958" t="str">
        <f>_xlfn.XLOOKUP( ventas[[#This Row],[ciudad_cliente]],  ciudades[Ciudad], ciudades[Region])</f>
        <v>Antofagasta</v>
      </c>
      <c r="L958" t="s">
        <v>22</v>
      </c>
      <c r="M958" t="s">
        <v>98</v>
      </c>
      <c r="N958" t="str">
        <f>_xlfn.XLOOKUP(ventas[[#This Row],[producto]], categ[Producto], categ[Categoria])</f>
        <v>Calzado</v>
      </c>
      <c r="O958">
        <v>55000</v>
      </c>
      <c r="P958">
        <v>1</v>
      </c>
      <c r="Q958" s="11">
        <v>0</v>
      </c>
      <c r="R958">
        <f>(ventas[[#This Row],[precio_unitario]]*ventas[[#This Row],[cantidad]])</f>
        <v>55000</v>
      </c>
      <c r="S958">
        <f>ventas[[#This Row],[Total_Productos]]*ventas[[#This Row],[descuento_pct]]</f>
        <v>0</v>
      </c>
      <c r="T958">
        <f>ventas[[#This Row],[Total_Productos]]-ventas[[#This Row],[Valor_descuento]]</f>
        <v>55000</v>
      </c>
    </row>
    <row r="959" spans="1:20" x14ac:dyDescent="0.3">
      <c r="A959">
        <v>740</v>
      </c>
      <c r="B959" s="1">
        <v>45667</v>
      </c>
      <c r="C959">
        <v>19</v>
      </c>
      <c r="D959">
        <v>5</v>
      </c>
      <c r="E959">
        <v>19</v>
      </c>
      <c r="F959" t="s">
        <v>504</v>
      </c>
      <c r="G959" t="s">
        <v>505</v>
      </c>
      <c r="H959" t="s">
        <v>19</v>
      </c>
      <c r="I959">
        <v>27</v>
      </c>
      <c r="J959" t="s">
        <v>20</v>
      </c>
      <c r="K959" t="str">
        <f>_xlfn.XLOOKUP( ventas[[#This Row],[ciudad_cliente]],  ciudades[Ciudad], ciudades[Region])</f>
        <v>La Araucanía</v>
      </c>
      <c r="L959" t="s">
        <v>38</v>
      </c>
      <c r="M959" t="s">
        <v>46</v>
      </c>
      <c r="N959" t="str">
        <f>_xlfn.XLOOKUP(ventas[[#This Row],[producto]], categ[Producto], categ[Categoria])</f>
        <v>Tecnología</v>
      </c>
      <c r="O959">
        <v>750000</v>
      </c>
      <c r="P959">
        <v>3</v>
      </c>
      <c r="Q959" s="11">
        <v>0</v>
      </c>
      <c r="R959">
        <f>(ventas[[#This Row],[precio_unitario]]*ventas[[#This Row],[cantidad]])</f>
        <v>2250000</v>
      </c>
      <c r="S959">
        <f>ventas[[#This Row],[Total_Productos]]*ventas[[#This Row],[descuento_pct]]</f>
        <v>0</v>
      </c>
      <c r="T959">
        <f>ventas[[#This Row],[Total_Productos]]-ventas[[#This Row],[Valor_descuento]]</f>
        <v>2250000</v>
      </c>
    </row>
    <row r="960" spans="1:20" x14ac:dyDescent="0.3">
      <c r="A960">
        <v>192</v>
      </c>
      <c r="B960" s="1">
        <v>45119</v>
      </c>
      <c r="C960">
        <v>27</v>
      </c>
      <c r="D960">
        <v>4</v>
      </c>
      <c r="E960">
        <v>231</v>
      </c>
      <c r="F960" t="s">
        <v>348</v>
      </c>
      <c r="G960" t="s">
        <v>349</v>
      </c>
      <c r="H960" t="s">
        <v>19</v>
      </c>
      <c r="I960">
        <v>29</v>
      </c>
      <c r="J960" t="s">
        <v>116</v>
      </c>
      <c r="K960" t="str">
        <f>_xlfn.XLOOKUP( ventas[[#This Row],[ciudad_cliente]],  ciudades[Ciudad], ciudades[Region])</f>
        <v>Valparaíso</v>
      </c>
      <c r="L960" t="s">
        <v>38</v>
      </c>
      <c r="M960" t="s">
        <v>62</v>
      </c>
      <c r="N960" t="str">
        <f>_xlfn.XLOOKUP(ventas[[#This Row],[producto]], categ[Producto], categ[Categoria])</f>
        <v>Electrohogar</v>
      </c>
      <c r="O960">
        <v>650000</v>
      </c>
      <c r="P960">
        <v>3</v>
      </c>
      <c r="Q960" s="11">
        <v>0.1</v>
      </c>
      <c r="R960">
        <f>(ventas[[#This Row],[precio_unitario]]*ventas[[#This Row],[cantidad]])</f>
        <v>1950000</v>
      </c>
      <c r="S960">
        <f>ventas[[#This Row],[Total_Productos]]*ventas[[#This Row],[descuento_pct]]</f>
        <v>195000</v>
      </c>
      <c r="T960">
        <f>ventas[[#This Row],[Total_Productos]]-ventas[[#This Row],[Valor_descuento]]</f>
        <v>1755000</v>
      </c>
    </row>
    <row r="961" spans="1:20" x14ac:dyDescent="0.3">
      <c r="A961">
        <v>201</v>
      </c>
      <c r="B961" s="1">
        <v>45128</v>
      </c>
      <c r="C961">
        <v>3</v>
      </c>
      <c r="D961">
        <v>1</v>
      </c>
      <c r="E961">
        <v>231</v>
      </c>
      <c r="F961" t="s">
        <v>348</v>
      </c>
      <c r="G961" t="s">
        <v>349</v>
      </c>
      <c r="H961" t="s">
        <v>19</v>
      </c>
      <c r="I961">
        <v>29</v>
      </c>
      <c r="J961" t="s">
        <v>37</v>
      </c>
      <c r="K961" t="str">
        <f>_xlfn.XLOOKUP( ventas[[#This Row],[ciudad_cliente]],  ciudades[Ciudad], ciudades[Region])</f>
        <v>Valparaíso</v>
      </c>
      <c r="L961" t="s">
        <v>38</v>
      </c>
      <c r="M961" t="s">
        <v>62</v>
      </c>
      <c r="N961" t="str">
        <f>_xlfn.XLOOKUP(ventas[[#This Row],[producto]], categ[Producto], categ[Categoria])</f>
        <v>Electrohogar</v>
      </c>
      <c r="O961">
        <v>650000</v>
      </c>
      <c r="P961">
        <v>2</v>
      </c>
      <c r="Q961" s="11">
        <v>0.1</v>
      </c>
      <c r="R961">
        <f>(ventas[[#This Row],[precio_unitario]]*ventas[[#This Row],[cantidad]])</f>
        <v>1300000</v>
      </c>
      <c r="S961">
        <f>ventas[[#This Row],[Total_Productos]]*ventas[[#This Row],[descuento_pct]]</f>
        <v>130000</v>
      </c>
      <c r="T961">
        <f>ventas[[#This Row],[Total_Productos]]-ventas[[#This Row],[Valor_descuento]]</f>
        <v>1170000</v>
      </c>
    </row>
    <row r="962" spans="1:20" x14ac:dyDescent="0.3">
      <c r="A962">
        <v>569</v>
      </c>
      <c r="B962" s="1">
        <v>45496</v>
      </c>
      <c r="C962">
        <v>9</v>
      </c>
      <c r="D962">
        <v>9</v>
      </c>
      <c r="E962">
        <v>231</v>
      </c>
      <c r="F962" t="s">
        <v>348</v>
      </c>
      <c r="G962" t="s">
        <v>349</v>
      </c>
      <c r="H962" t="s">
        <v>19</v>
      </c>
      <c r="I962">
        <v>29</v>
      </c>
      <c r="J962" t="s">
        <v>37</v>
      </c>
      <c r="K962" t="str">
        <f>_xlfn.XLOOKUP( ventas[[#This Row],[ciudad_cliente]],  ciudades[Ciudad], ciudades[Region])</f>
        <v>Valparaíso</v>
      </c>
      <c r="L962" t="s">
        <v>38</v>
      </c>
      <c r="M962" t="s">
        <v>102</v>
      </c>
      <c r="N962" t="str">
        <f>_xlfn.XLOOKUP(ventas[[#This Row],[producto]], categ[Producto], categ[Categoria])</f>
        <v>Vestuario</v>
      </c>
      <c r="O962">
        <v>12000</v>
      </c>
      <c r="P962">
        <v>3</v>
      </c>
      <c r="Q962" s="11">
        <v>0</v>
      </c>
      <c r="R962">
        <f>(ventas[[#This Row],[precio_unitario]]*ventas[[#This Row],[cantidad]])</f>
        <v>36000</v>
      </c>
      <c r="S962">
        <f>ventas[[#This Row],[Total_Productos]]*ventas[[#This Row],[descuento_pct]]</f>
        <v>0</v>
      </c>
      <c r="T962">
        <f>ventas[[#This Row],[Total_Productos]]-ventas[[#This Row],[Valor_descuento]]</f>
        <v>36000</v>
      </c>
    </row>
    <row r="963" spans="1:20" x14ac:dyDescent="0.3">
      <c r="A963">
        <v>618</v>
      </c>
      <c r="B963" s="1">
        <v>45545</v>
      </c>
      <c r="C963">
        <v>63</v>
      </c>
      <c r="D963">
        <v>5</v>
      </c>
      <c r="E963">
        <v>231</v>
      </c>
      <c r="F963" t="s">
        <v>348</v>
      </c>
      <c r="G963" t="s">
        <v>349</v>
      </c>
      <c r="H963" t="s">
        <v>19</v>
      </c>
      <c r="I963">
        <v>29</v>
      </c>
      <c r="J963" t="s">
        <v>101</v>
      </c>
      <c r="K963" t="str">
        <f>_xlfn.XLOOKUP( ventas[[#This Row],[ciudad_cliente]],  ciudades[Ciudad], ciudades[Region])</f>
        <v>O'Higgins</v>
      </c>
      <c r="L963" t="s">
        <v>22</v>
      </c>
      <c r="M963" t="s">
        <v>23</v>
      </c>
      <c r="N963" t="str">
        <f>_xlfn.XLOOKUP(ventas[[#This Row],[producto]], categ[Producto], categ[Categoria])</f>
        <v>Belleza</v>
      </c>
      <c r="O963">
        <v>15000</v>
      </c>
      <c r="P963">
        <v>1</v>
      </c>
      <c r="Q963" s="11">
        <v>0</v>
      </c>
      <c r="R963">
        <f>(ventas[[#This Row],[precio_unitario]]*ventas[[#This Row],[cantidad]])</f>
        <v>15000</v>
      </c>
      <c r="S963">
        <f>ventas[[#This Row],[Total_Productos]]*ventas[[#This Row],[descuento_pct]]</f>
        <v>0</v>
      </c>
      <c r="T963">
        <f>ventas[[#This Row],[Total_Productos]]-ventas[[#This Row],[Valor_descuento]]</f>
        <v>15000</v>
      </c>
    </row>
    <row r="964" spans="1:20" x14ac:dyDescent="0.3">
      <c r="A964">
        <v>107</v>
      </c>
      <c r="B964" s="1">
        <v>45034</v>
      </c>
      <c r="C964">
        <v>2</v>
      </c>
      <c r="D964">
        <v>2</v>
      </c>
      <c r="E964">
        <v>256</v>
      </c>
      <c r="F964" t="s">
        <v>239</v>
      </c>
      <c r="G964" t="s">
        <v>240</v>
      </c>
      <c r="H964" t="s">
        <v>19</v>
      </c>
      <c r="I964">
        <v>32</v>
      </c>
      <c r="J964" t="s">
        <v>101</v>
      </c>
      <c r="K964" t="str">
        <f>_xlfn.XLOOKUP( ventas[[#This Row],[ciudad_cliente]],  ciudades[Ciudad], ciudades[Region])</f>
        <v>O'Higgins</v>
      </c>
      <c r="L964" t="s">
        <v>29</v>
      </c>
      <c r="M964" t="s">
        <v>39</v>
      </c>
      <c r="N964" t="str">
        <f>_xlfn.XLOOKUP(ventas[[#This Row],[producto]], categ[Producto], categ[Categoria])</f>
        <v>Belleza</v>
      </c>
      <c r="O964">
        <v>35000</v>
      </c>
      <c r="P964">
        <v>1</v>
      </c>
      <c r="Q964" s="11">
        <v>0</v>
      </c>
      <c r="R964">
        <f>(ventas[[#This Row],[precio_unitario]]*ventas[[#This Row],[cantidad]])</f>
        <v>35000</v>
      </c>
      <c r="S964">
        <f>ventas[[#This Row],[Total_Productos]]*ventas[[#This Row],[descuento_pct]]</f>
        <v>0</v>
      </c>
      <c r="T964">
        <f>ventas[[#This Row],[Total_Productos]]-ventas[[#This Row],[Valor_descuento]]</f>
        <v>35000</v>
      </c>
    </row>
    <row r="965" spans="1:20" x14ac:dyDescent="0.3">
      <c r="A965">
        <v>489</v>
      </c>
      <c r="B965" s="1">
        <v>45416</v>
      </c>
      <c r="C965">
        <v>56</v>
      </c>
      <c r="D965">
        <v>2</v>
      </c>
      <c r="E965">
        <v>276</v>
      </c>
      <c r="F965" t="s">
        <v>534</v>
      </c>
      <c r="G965" t="s">
        <v>535</v>
      </c>
      <c r="H965" t="s">
        <v>19</v>
      </c>
      <c r="I965">
        <v>43</v>
      </c>
      <c r="J965" t="s">
        <v>27</v>
      </c>
      <c r="K965" t="str">
        <f>_xlfn.XLOOKUP( ventas[[#This Row],[ciudad_cliente]],  ciudades[Ciudad], ciudades[Region])</f>
        <v>Biobío</v>
      </c>
      <c r="L965" t="s">
        <v>22</v>
      </c>
      <c r="M965" t="s">
        <v>39</v>
      </c>
      <c r="N965" t="str">
        <f>_xlfn.XLOOKUP(ventas[[#This Row],[producto]], categ[Producto], categ[Categoria])</f>
        <v>Belleza</v>
      </c>
      <c r="O965">
        <v>35000</v>
      </c>
      <c r="P965">
        <v>3</v>
      </c>
      <c r="Q965" s="11">
        <v>0</v>
      </c>
      <c r="R965">
        <f>(ventas[[#This Row],[precio_unitario]]*ventas[[#This Row],[cantidad]])</f>
        <v>105000</v>
      </c>
      <c r="S965">
        <f>ventas[[#This Row],[Total_Productos]]*ventas[[#This Row],[descuento_pct]]</f>
        <v>0</v>
      </c>
      <c r="T965">
        <f>ventas[[#This Row],[Total_Productos]]-ventas[[#This Row],[Valor_descuento]]</f>
        <v>105000</v>
      </c>
    </row>
    <row r="966" spans="1:20" x14ac:dyDescent="0.3">
      <c r="A966">
        <v>646</v>
      </c>
      <c r="B966" s="1">
        <v>45573</v>
      </c>
      <c r="C966">
        <v>50</v>
      </c>
      <c r="D966">
        <v>0</v>
      </c>
      <c r="E966">
        <v>276</v>
      </c>
      <c r="F966" t="s">
        <v>534</v>
      </c>
      <c r="G966" t="s">
        <v>535</v>
      </c>
      <c r="H966" t="s">
        <v>19</v>
      </c>
      <c r="I966">
        <v>43</v>
      </c>
      <c r="J966" t="s">
        <v>20</v>
      </c>
      <c r="K966" t="str">
        <f>_xlfn.XLOOKUP( ventas[[#This Row],[ciudad_cliente]],  ciudades[Ciudad], ciudades[Region])</f>
        <v>La Araucanía</v>
      </c>
      <c r="L966" t="s">
        <v>29</v>
      </c>
      <c r="M966" t="s">
        <v>98</v>
      </c>
      <c r="N966" t="str">
        <f>_xlfn.XLOOKUP(ventas[[#This Row],[producto]], categ[Producto], categ[Categoria])</f>
        <v>Calzado</v>
      </c>
      <c r="O966">
        <v>55000</v>
      </c>
      <c r="P966">
        <v>3</v>
      </c>
      <c r="Q966" s="11">
        <v>0.1</v>
      </c>
      <c r="R966">
        <f>(ventas[[#This Row],[precio_unitario]]*ventas[[#This Row],[cantidad]])</f>
        <v>165000</v>
      </c>
      <c r="S966">
        <f>ventas[[#This Row],[Total_Productos]]*ventas[[#This Row],[descuento_pct]]</f>
        <v>16500</v>
      </c>
      <c r="T966">
        <f>ventas[[#This Row],[Total_Productos]]-ventas[[#This Row],[Valor_descuento]]</f>
        <v>148500</v>
      </c>
    </row>
    <row r="967" spans="1:20" x14ac:dyDescent="0.3">
      <c r="A967">
        <v>124</v>
      </c>
      <c r="B967" s="1">
        <v>45051</v>
      </c>
      <c r="C967">
        <v>9</v>
      </c>
      <c r="D967">
        <v>9</v>
      </c>
      <c r="E967">
        <v>18</v>
      </c>
      <c r="F967" t="s">
        <v>261</v>
      </c>
      <c r="G967" t="s">
        <v>262</v>
      </c>
      <c r="H967" t="s">
        <v>42</v>
      </c>
      <c r="I967">
        <v>41</v>
      </c>
      <c r="J967" t="s">
        <v>37</v>
      </c>
      <c r="K967" t="str">
        <f>_xlfn.XLOOKUP( ventas[[#This Row],[ciudad_cliente]],  ciudades[Ciudad], ciudades[Region])</f>
        <v>Valparaíso</v>
      </c>
      <c r="L967" t="s">
        <v>38</v>
      </c>
      <c r="M967" t="s">
        <v>102</v>
      </c>
      <c r="N967" t="str">
        <f>_xlfn.XLOOKUP(ventas[[#This Row],[producto]], categ[Producto], categ[Categoria])</f>
        <v>Vestuario</v>
      </c>
      <c r="O967">
        <v>12000</v>
      </c>
      <c r="P967">
        <v>3</v>
      </c>
      <c r="Q967" s="11">
        <v>0.1</v>
      </c>
      <c r="R967">
        <f>(ventas[[#This Row],[precio_unitario]]*ventas[[#This Row],[cantidad]])</f>
        <v>36000</v>
      </c>
      <c r="S967">
        <f>ventas[[#This Row],[Total_Productos]]*ventas[[#This Row],[descuento_pct]]</f>
        <v>3600</v>
      </c>
      <c r="T967">
        <f>ventas[[#This Row],[Total_Productos]]-ventas[[#This Row],[Valor_descuento]]</f>
        <v>32400</v>
      </c>
    </row>
    <row r="968" spans="1:20" x14ac:dyDescent="0.3">
      <c r="A968">
        <v>409</v>
      </c>
      <c r="B968" s="1">
        <v>45336</v>
      </c>
      <c r="C968">
        <v>60</v>
      </c>
      <c r="D968">
        <v>1</v>
      </c>
      <c r="E968">
        <v>18</v>
      </c>
      <c r="F968" t="s">
        <v>261</v>
      </c>
      <c r="G968" t="s">
        <v>262</v>
      </c>
      <c r="H968" t="s">
        <v>42</v>
      </c>
      <c r="I968">
        <v>41</v>
      </c>
      <c r="J968" t="s">
        <v>37</v>
      </c>
      <c r="K968" t="str">
        <f>_xlfn.XLOOKUP( ventas[[#This Row],[ciudad_cliente]],  ciudades[Ciudad], ciudades[Region])</f>
        <v>Valparaíso</v>
      </c>
      <c r="L968" t="s">
        <v>38</v>
      </c>
      <c r="M968" t="s">
        <v>102</v>
      </c>
      <c r="N968" t="str">
        <f>_xlfn.XLOOKUP(ventas[[#This Row],[producto]], categ[Producto], categ[Categoria])</f>
        <v>Vestuario</v>
      </c>
      <c r="O968">
        <v>12000</v>
      </c>
      <c r="P968">
        <v>1</v>
      </c>
      <c r="Q968" s="11">
        <v>0.1</v>
      </c>
      <c r="R968">
        <f>(ventas[[#This Row],[precio_unitario]]*ventas[[#This Row],[cantidad]])</f>
        <v>12000</v>
      </c>
      <c r="S968">
        <f>ventas[[#This Row],[Total_Productos]]*ventas[[#This Row],[descuento_pct]]</f>
        <v>1200</v>
      </c>
      <c r="T968">
        <f>ventas[[#This Row],[Total_Productos]]-ventas[[#This Row],[Valor_descuento]]</f>
        <v>10800</v>
      </c>
    </row>
    <row r="969" spans="1:20" x14ac:dyDescent="0.3">
      <c r="A969">
        <v>452</v>
      </c>
      <c r="B969" s="1">
        <v>45379</v>
      </c>
      <c r="C969">
        <v>62</v>
      </c>
      <c r="D969">
        <v>4</v>
      </c>
      <c r="E969">
        <v>18</v>
      </c>
      <c r="F969" t="s">
        <v>261</v>
      </c>
      <c r="G969" t="s">
        <v>262</v>
      </c>
      <c r="H969" t="s">
        <v>42</v>
      </c>
      <c r="I969">
        <v>41</v>
      </c>
      <c r="J969" t="s">
        <v>76</v>
      </c>
      <c r="K969" t="str">
        <f>_xlfn.XLOOKUP( ventas[[#This Row],[ciudad_cliente]],  ciudades[Ciudad], ciudades[Region])</f>
        <v>Los Lagos</v>
      </c>
      <c r="L969" t="s">
        <v>22</v>
      </c>
      <c r="M969" t="s">
        <v>30</v>
      </c>
      <c r="N969" t="str">
        <f>_xlfn.XLOOKUP(ventas[[#This Row],[producto]], categ[Producto], categ[Categoria])</f>
        <v>Electrohogar</v>
      </c>
      <c r="O969">
        <v>700000</v>
      </c>
      <c r="P969">
        <v>1</v>
      </c>
      <c r="Q969" s="11">
        <v>0.05</v>
      </c>
      <c r="R969">
        <f>(ventas[[#This Row],[precio_unitario]]*ventas[[#This Row],[cantidad]])</f>
        <v>700000</v>
      </c>
      <c r="S969">
        <f>ventas[[#This Row],[Total_Productos]]*ventas[[#This Row],[descuento_pct]]</f>
        <v>35000</v>
      </c>
      <c r="T969">
        <f>ventas[[#This Row],[Total_Productos]]-ventas[[#This Row],[Valor_descuento]]</f>
        <v>665000</v>
      </c>
    </row>
    <row r="970" spans="1:20" x14ac:dyDescent="0.3">
      <c r="A970">
        <v>635</v>
      </c>
      <c r="B970" s="1">
        <v>45562</v>
      </c>
      <c r="C970">
        <v>9</v>
      </c>
      <c r="D970">
        <v>9</v>
      </c>
      <c r="E970">
        <v>18</v>
      </c>
      <c r="F970" t="s">
        <v>261</v>
      </c>
      <c r="G970" t="s">
        <v>262</v>
      </c>
      <c r="H970" t="s">
        <v>42</v>
      </c>
      <c r="I970">
        <v>41</v>
      </c>
      <c r="J970" t="s">
        <v>37</v>
      </c>
      <c r="K970" t="str">
        <f>_xlfn.XLOOKUP( ventas[[#This Row],[ciudad_cliente]],  ciudades[Ciudad], ciudades[Region])</f>
        <v>Valparaíso</v>
      </c>
      <c r="L970" t="s">
        <v>38</v>
      </c>
      <c r="M970" t="s">
        <v>23</v>
      </c>
      <c r="N970" t="str">
        <f>_xlfn.XLOOKUP(ventas[[#This Row],[producto]], categ[Producto], categ[Categoria])</f>
        <v>Belleza</v>
      </c>
      <c r="O970">
        <v>15000</v>
      </c>
      <c r="P970">
        <v>3</v>
      </c>
      <c r="Q970" s="11">
        <v>0</v>
      </c>
      <c r="R970">
        <f>(ventas[[#This Row],[precio_unitario]]*ventas[[#This Row],[cantidad]])</f>
        <v>45000</v>
      </c>
      <c r="S970">
        <f>ventas[[#This Row],[Total_Productos]]*ventas[[#This Row],[descuento_pct]]</f>
        <v>0</v>
      </c>
      <c r="T970">
        <f>ventas[[#This Row],[Total_Productos]]-ventas[[#This Row],[Valor_descuento]]</f>
        <v>45000</v>
      </c>
    </row>
    <row r="971" spans="1:20" x14ac:dyDescent="0.3">
      <c r="A971">
        <v>644</v>
      </c>
      <c r="B971" s="1">
        <v>45571</v>
      </c>
      <c r="C971">
        <v>68</v>
      </c>
      <c r="D971">
        <v>2</v>
      </c>
      <c r="E971">
        <v>18</v>
      </c>
      <c r="F971" t="s">
        <v>261</v>
      </c>
      <c r="G971" t="s">
        <v>262</v>
      </c>
      <c r="H971" t="s">
        <v>42</v>
      </c>
      <c r="I971">
        <v>41</v>
      </c>
      <c r="J971" t="s">
        <v>34</v>
      </c>
      <c r="K971" t="str">
        <f>_xlfn.XLOOKUP( ventas[[#This Row],[ciudad_cliente]],  ciudades[Ciudad], ciudades[Region])</f>
        <v>Metropolitana</v>
      </c>
      <c r="L971" t="s">
        <v>29</v>
      </c>
      <c r="M971" t="s">
        <v>30</v>
      </c>
      <c r="N971" t="str">
        <f>_xlfn.XLOOKUP(ventas[[#This Row],[producto]], categ[Producto], categ[Categoria])</f>
        <v>Electrohogar</v>
      </c>
      <c r="O971">
        <v>700000</v>
      </c>
      <c r="P971">
        <v>1</v>
      </c>
      <c r="Q971" s="11">
        <v>0</v>
      </c>
      <c r="R971">
        <f>(ventas[[#This Row],[precio_unitario]]*ventas[[#This Row],[cantidad]])</f>
        <v>700000</v>
      </c>
      <c r="S971">
        <f>ventas[[#This Row],[Total_Productos]]*ventas[[#This Row],[descuento_pct]]</f>
        <v>0</v>
      </c>
      <c r="T971">
        <f>ventas[[#This Row],[Total_Productos]]-ventas[[#This Row],[Valor_descuento]]</f>
        <v>700000</v>
      </c>
    </row>
    <row r="972" spans="1:20" x14ac:dyDescent="0.3">
      <c r="A972">
        <v>783</v>
      </c>
      <c r="B972" s="1">
        <v>45710</v>
      </c>
      <c r="C972">
        <v>68</v>
      </c>
      <c r="D972">
        <v>2</v>
      </c>
      <c r="E972">
        <v>18</v>
      </c>
      <c r="F972" t="s">
        <v>261</v>
      </c>
      <c r="G972" t="s">
        <v>262</v>
      </c>
      <c r="H972" t="s">
        <v>42</v>
      </c>
      <c r="I972">
        <v>41</v>
      </c>
      <c r="J972" t="s">
        <v>34</v>
      </c>
      <c r="K972" t="str">
        <f>_xlfn.XLOOKUP( ventas[[#This Row],[ciudad_cliente]],  ciudades[Ciudad], ciudades[Region])</f>
        <v>Metropolitana</v>
      </c>
      <c r="L972" t="s">
        <v>38</v>
      </c>
      <c r="M972" t="s">
        <v>46</v>
      </c>
      <c r="N972" t="str">
        <f>_xlfn.XLOOKUP(ventas[[#This Row],[producto]], categ[Producto], categ[Categoria])</f>
        <v>Tecnología</v>
      </c>
      <c r="O972">
        <v>750000</v>
      </c>
      <c r="P972">
        <v>3</v>
      </c>
      <c r="Q972" s="11">
        <v>0.1</v>
      </c>
      <c r="R972">
        <f>(ventas[[#This Row],[precio_unitario]]*ventas[[#This Row],[cantidad]])</f>
        <v>2250000</v>
      </c>
      <c r="S972">
        <f>ventas[[#This Row],[Total_Productos]]*ventas[[#This Row],[descuento_pct]]</f>
        <v>225000</v>
      </c>
      <c r="T972">
        <f>ventas[[#This Row],[Total_Productos]]-ventas[[#This Row],[Valor_descuento]]</f>
        <v>2025000</v>
      </c>
    </row>
    <row r="973" spans="1:20" x14ac:dyDescent="0.3">
      <c r="A973">
        <v>990</v>
      </c>
      <c r="B973" s="1">
        <v>45917</v>
      </c>
      <c r="C973">
        <v>37</v>
      </c>
      <c r="D973">
        <v>1</v>
      </c>
      <c r="E973">
        <v>18</v>
      </c>
      <c r="F973" t="s">
        <v>261</v>
      </c>
      <c r="G973" t="s">
        <v>262</v>
      </c>
      <c r="H973" t="s">
        <v>42</v>
      </c>
      <c r="I973">
        <v>41</v>
      </c>
      <c r="J973" t="s">
        <v>116</v>
      </c>
      <c r="K973" t="str">
        <f>_xlfn.XLOOKUP( ventas[[#This Row],[ciudad_cliente]],  ciudades[Ciudad], ciudades[Region])</f>
        <v>Valparaíso</v>
      </c>
      <c r="L973" t="s">
        <v>22</v>
      </c>
      <c r="M973" t="s">
        <v>49</v>
      </c>
      <c r="N973" t="str">
        <f>_xlfn.XLOOKUP(ventas[[#This Row],[producto]], categ[Producto], categ[Categoria])</f>
        <v>Electrohogar</v>
      </c>
      <c r="O973">
        <v>800000</v>
      </c>
      <c r="P973">
        <v>1</v>
      </c>
      <c r="Q973" s="11">
        <v>0.1</v>
      </c>
      <c r="R973">
        <f>(ventas[[#This Row],[precio_unitario]]*ventas[[#This Row],[cantidad]])</f>
        <v>800000</v>
      </c>
      <c r="S973">
        <f>ventas[[#This Row],[Total_Productos]]*ventas[[#This Row],[descuento_pct]]</f>
        <v>80000</v>
      </c>
      <c r="T973">
        <f>ventas[[#This Row],[Total_Productos]]-ventas[[#This Row],[Valor_descuento]]</f>
        <v>720000</v>
      </c>
    </row>
    <row r="974" spans="1:20" x14ac:dyDescent="0.3">
      <c r="A974">
        <v>734</v>
      </c>
      <c r="B974" s="1">
        <v>45661</v>
      </c>
      <c r="C974">
        <v>22</v>
      </c>
      <c r="D974">
        <v>1</v>
      </c>
      <c r="E974">
        <v>257</v>
      </c>
      <c r="F974" t="s">
        <v>578</v>
      </c>
      <c r="G974" t="s">
        <v>579</v>
      </c>
      <c r="H974" t="s">
        <v>19</v>
      </c>
      <c r="I974">
        <v>53</v>
      </c>
      <c r="J974" t="s">
        <v>116</v>
      </c>
      <c r="K974" t="str">
        <f>_xlfn.XLOOKUP( ventas[[#This Row],[ciudad_cliente]],  ciudades[Ciudad], ciudades[Region])</f>
        <v>Valparaíso</v>
      </c>
      <c r="L974" t="s">
        <v>22</v>
      </c>
      <c r="M974" t="s">
        <v>62</v>
      </c>
      <c r="N974" t="str">
        <f>_xlfn.XLOOKUP(ventas[[#This Row],[producto]], categ[Producto], categ[Categoria])</f>
        <v>Electrohogar</v>
      </c>
      <c r="O974">
        <v>650000</v>
      </c>
      <c r="P974">
        <v>3</v>
      </c>
      <c r="Q974" s="11">
        <v>0</v>
      </c>
      <c r="R974">
        <f>(ventas[[#This Row],[precio_unitario]]*ventas[[#This Row],[cantidad]])</f>
        <v>1950000</v>
      </c>
      <c r="S974">
        <f>ventas[[#This Row],[Total_Productos]]*ventas[[#This Row],[descuento_pct]]</f>
        <v>0</v>
      </c>
      <c r="T974">
        <f>ventas[[#This Row],[Total_Productos]]-ventas[[#This Row],[Valor_descuento]]</f>
        <v>1950000</v>
      </c>
    </row>
    <row r="975" spans="1:20" x14ac:dyDescent="0.3">
      <c r="A975">
        <v>842</v>
      </c>
      <c r="B975" s="1">
        <v>45769</v>
      </c>
      <c r="C975">
        <v>14</v>
      </c>
      <c r="D975">
        <v>0</v>
      </c>
      <c r="E975">
        <v>257</v>
      </c>
      <c r="F975" t="s">
        <v>578</v>
      </c>
      <c r="G975" t="s">
        <v>579</v>
      </c>
      <c r="H975" t="s">
        <v>19</v>
      </c>
      <c r="I975">
        <v>53</v>
      </c>
      <c r="J975" t="s">
        <v>34</v>
      </c>
      <c r="K975" t="str">
        <f>_xlfn.XLOOKUP( ventas[[#This Row],[ciudad_cliente]],  ciudades[Ciudad], ciudades[Region])</f>
        <v>Metropolitana</v>
      </c>
      <c r="L975" t="s">
        <v>22</v>
      </c>
      <c r="M975" t="s">
        <v>23</v>
      </c>
      <c r="N975" t="str">
        <f>_xlfn.XLOOKUP(ventas[[#This Row],[producto]], categ[Producto], categ[Categoria])</f>
        <v>Belleza</v>
      </c>
      <c r="O975">
        <v>15000</v>
      </c>
      <c r="P975">
        <v>3</v>
      </c>
      <c r="Q975" s="11">
        <v>0.1</v>
      </c>
      <c r="R975">
        <f>(ventas[[#This Row],[precio_unitario]]*ventas[[#This Row],[cantidad]])</f>
        <v>45000</v>
      </c>
      <c r="S975">
        <f>ventas[[#This Row],[Total_Productos]]*ventas[[#This Row],[descuento_pct]]</f>
        <v>4500</v>
      </c>
      <c r="T975">
        <f>ventas[[#This Row],[Total_Productos]]-ventas[[#This Row],[Valor_descuento]]</f>
        <v>40500</v>
      </c>
    </row>
    <row r="976" spans="1:20" x14ac:dyDescent="0.3">
      <c r="A976">
        <v>2</v>
      </c>
      <c r="B976" s="1">
        <v>44929</v>
      </c>
      <c r="C976">
        <v>13</v>
      </c>
      <c r="D976">
        <v>0</v>
      </c>
      <c r="E976">
        <v>102</v>
      </c>
      <c r="F976" t="s">
        <v>25</v>
      </c>
      <c r="G976" t="s">
        <v>26</v>
      </c>
      <c r="H976" t="s">
        <v>19</v>
      </c>
      <c r="I976">
        <v>32</v>
      </c>
      <c r="J976" t="s">
        <v>27</v>
      </c>
      <c r="K976" t="str">
        <f>_xlfn.XLOOKUP( ventas[[#This Row],[ciudad_cliente]],  ciudades[Ciudad], ciudades[Region])</f>
        <v>Biobío</v>
      </c>
      <c r="L976" t="s">
        <v>29</v>
      </c>
      <c r="M976" t="s">
        <v>30</v>
      </c>
      <c r="N976" t="str">
        <f>_xlfn.XLOOKUP(ventas[[#This Row],[producto]], categ[Producto], categ[Categoria])</f>
        <v>Electrohogar</v>
      </c>
      <c r="O976">
        <v>700000</v>
      </c>
      <c r="P976">
        <v>2</v>
      </c>
      <c r="Q976" s="11">
        <v>0.05</v>
      </c>
      <c r="R976">
        <f>(ventas[[#This Row],[precio_unitario]]*ventas[[#This Row],[cantidad]])</f>
        <v>1400000</v>
      </c>
      <c r="S976">
        <f>ventas[[#This Row],[Total_Productos]]*ventas[[#This Row],[descuento_pct]]</f>
        <v>70000</v>
      </c>
      <c r="T976">
        <f>ventas[[#This Row],[Total_Productos]]-ventas[[#This Row],[Valor_descuento]]</f>
        <v>1330000</v>
      </c>
    </row>
    <row r="977" spans="1:20" x14ac:dyDescent="0.3">
      <c r="A977">
        <v>42</v>
      </c>
      <c r="B977" s="1">
        <v>44969</v>
      </c>
      <c r="C977">
        <v>23</v>
      </c>
      <c r="D977">
        <v>0</v>
      </c>
      <c r="E977">
        <v>102</v>
      </c>
      <c r="F977" t="s">
        <v>25</v>
      </c>
      <c r="G977" t="s">
        <v>26</v>
      </c>
      <c r="H977" t="s">
        <v>19</v>
      </c>
      <c r="I977">
        <v>32</v>
      </c>
      <c r="J977" t="s">
        <v>52</v>
      </c>
      <c r="K977" t="str">
        <f>_xlfn.XLOOKUP( ventas[[#This Row],[ciudad_cliente]],  ciudades[Ciudad], ciudades[Region])</f>
        <v>Biobío</v>
      </c>
      <c r="L977" t="s">
        <v>38</v>
      </c>
      <c r="M977" t="s">
        <v>30</v>
      </c>
      <c r="N977" t="str">
        <f>_xlfn.XLOOKUP(ventas[[#This Row],[producto]], categ[Producto], categ[Categoria])</f>
        <v>Electrohogar</v>
      </c>
      <c r="O977">
        <v>700000</v>
      </c>
      <c r="P977">
        <v>3</v>
      </c>
      <c r="Q977" s="11">
        <v>0</v>
      </c>
      <c r="R977">
        <f>(ventas[[#This Row],[precio_unitario]]*ventas[[#This Row],[cantidad]])</f>
        <v>2100000</v>
      </c>
      <c r="S977">
        <f>ventas[[#This Row],[Total_Productos]]*ventas[[#This Row],[descuento_pct]]</f>
        <v>0</v>
      </c>
      <c r="T977">
        <f>ventas[[#This Row],[Total_Productos]]-ventas[[#This Row],[Valor_descuento]]</f>
        <v>2100000</v>
      </c>
    </row>
    <row r="978" spans="1:20" x14ac:dyDescent="0.3">
      <c r="A978">
        <v>243</v>
      </c>
      <c r="B978" s="1">
        <v>45170</v>
      </c>
      <c r="C978">
        <v>67</v>
      </c>
      <c r="D978">
        <v>0</v>
      </c>
      <c r="E978">
        <v>102</v>
      </c>
      <c r="F978" t="s">
        <v>25</v>
      </c>
      <c r="G978" t="s">
        <v>26</v>
      </c>
      <c r="H978" t="s">
        <v>19</v>
      </c>
      <c r="I978">
        <v>32</v>
      </c>
      <c r="J978" t="s">
        <v>27</v>
      </c>
      <c r="K978" t="str">
        <f>_xlfn.XLOOKUP( ventas[[#This Row],[ciudad_cliente]],  ciudades[Ciudad], ciudades[Region])</f>
        <v>Biobío</v>
      </c>
      <c r="L978" t="s">
        <v>29</v>
      </c>
      <c r="M978" t="s">
        <v>69</v>
      </c>
      <c r="N978" t="str">
        <f>_xlfn.XLOOKUP(ventas[[#This Row],[producto]], categ[Producto], categ[Categoria])</f>
        <v>Tecnología</v>
      </c>
      <c r="O978">
        <v>450000</v>
      </c>
      <c r="P978">
        <v>3</v>
      </c>
      <c r="Q978" s="11">
        <v>0.05</v>
      </c>
      <c r="R978">
        <f>(ventas[[#This Row],[precio_unitario]]*ventas[[#This Row],[cantidad]])</f>
        <v>1350000</v>
      </c>
      <c r="S978">
        <f>ventas[[#This Row],[Total_Productos]]*ventas[[#This Row],[descuento_pct]]</f>
        <v>67500</v>
      </c>
      <c r="T978">
        <f>ventas[[#This Row],[Total_Productos]]-ventas[[#This Row],[Valor_descuento]]</f>
        <v>1282500</v>
      </c>
    </row>
    <row r="979" spans="1:20" x14ac:dyDescent="0.3">
      <c r="A979">
        <v>243</v>
      </c>
      <c r="B979" s="1">
        <v>45170</v>
      </c>
      <c r="C979">
        <v>67</v>
      </c>
      <c r="D979">
        <v>0</v>
      </c>
      <c r="E979">
        <v>102</v>
      </c>
      <c r="F979" t="s">
        <v>25</v>
      </c>
      <c r="G979" t="s">
        <v>26</v>
      </c>
      <c r="H979" t="s">
        <v>19</v>
      </c>
      <c r="I979">
        <v>32</v>
      </c>
      <c r="J979" t="s">
        <v>27</v>
      </c>
      <c r="K979" t="str">
        <f>_xlfn.XLOOKUP( ventas[[#This Row],[ciudad_cliente]],  ciudades[Ciudad], ciudades[Region])</f>
        <v>Biobío</v>
      </c>
      <c r="L979" t="s">
        <v>29</v>
      </c>
      <c r="M979" t="s">
        <v>69</v>
      </c>
      <c r="N979" t="str">
        <f>_xlfn.XLOOKUP(ventas[[#This Row],[producto]], categ[Producto], categ[Categoria])</f>
        <v>Tecnología</v>
      </c>
      <c r="O979">
        <v>450000</v>
      </c>
      <c r="P979">
        <v>3</v>
      </c>
      <c r="Q979" s="11">
        <v>0.05</v>
      </c>
      <c r="R979">
        <f>(ventas[[#This Row],[precio_unitario]]*ventas[[#This Row],[cantidad]])</f>
        <v>1350000</v>
      </c>
      <c r="S979">
        <f>ventas[[#This Row],[Total_Productos]]*ventas[[#This Row],[descuento_pct]]</f>
        <v>67500</v>
      </c>
      <c r="T979">
        <f>ventas[[#This Row],[Total_Productos]]-ventas[[#This Row],[Valor_descuento]]</f>
        <v>1282500</v>
      </c>
    </row>
    <row r="980" spans="1:20" x14ac:dyDescent="0.3">
      <c r="A980">
        <v>258</v>
      </c>
      <c r="B980" s="1">
        <v>45185</v>
      </c>
      <c r="C980">
        <v>70</v>
      </c>
      <c r="D980">
        <v>6</v>
      </c>
      <c r="E980">
        <v>102</v>
      </c>
      <c r="F980" t="s">
        <v>25</v>
      </c>
      <c r="G980" t="s">
        <v>26</v>
      </c>
      <c r="H980" t="s">
        <v>19</v>
      </c>
      <c r="I980">
        <v>32</v>
      </c>
      <c r="J980" t="s">
        <v>27</v>
      </c>
      <c r="K980" t="str">
        <f>_xlfn.XLOOKUP( ventas[[#This Row],[ciudad_cliente]],  ciudades[Ciudad], ciudades[Region])</f>
        <v>Biobío</v>
      </c>
      <c r="L980" t="s">
        <v>22</v>
      </c>
      <c r="M980" t="s">
        <v>46</v>
      </c>
      <c r="N980" t="str">
        <f>_xlfn.XLOOKUP(ventas[[#This Row],[producto]], categ[Producto], categ[Categoria])</f>
        <v>Tecnología</v>
      </c>
      <c r="O980">
        <v>750000</v>
      </c>
      <c r="P980">
        <v>2</v>
      </c>
      <c r="Q980" s="11">
        <v>0</v>
      </c>
      <c r="R980">
        <f>(ventas[[#This Row],[precio_unitario]]*ventas[[#This Row],[cantidad]])</f>
        <v>1500000</v>
      </c>
      <c r="S980">
        <f>ventas[[#This Row],[Total_Productos]]*ventas[[#This Row],[descuento_pct]]</f>
        <v>0</v>
      </c>
      <c r="T980">
        <f>ventas[[#This Row],[Total_Productos]]-ventas[[#This Row],[Valor_descuento]]</f>
        <v>1500000</v>
      </c>
    </row>
    <row r="981" spans="1:20" x14ac:dyDescent="0.3">
      <c r="A981">
        <v>476</v>
      </c>
      <c r="B981" s="1">
        <v>45403</v>
      </c>
      <c r="C981">
        <v>24</v>
      </c>
      <c r="D981">
        <v>3</v>
      </c>
      <c r="E981">
        <v>102</v>
      </c>
      <c r="F981" t="s">
        <v>25</v>
      </c>
      <c r="G981" t="s">
        <v>26</v>
      </c>
      <c r="H981" t="s">
        <v>19</v>
      </c>
      <c r="I981">
        <v>32</v>
      </c>
      <c r="J981" t="s">
        <v>84</v>
      </c>
      <c r="K981" t="str">
        <f>_xlfn.XLOOKUP( ventas[[#This Row],[ciudad_cliente]],  ciudades[Ciudad], ciudades[Region])</f>
        <v>Coquimbo</v>
      </c>
      <c r="L981" t="s">
        <v>38</v>
      </c>
      <c r="M981" t="s">
        <v>69</v>
      </c>
      <c r="N981" t="str">
        <f>_xlfn.XLOOKUP(ventas[[#This Row],[producto]], categ[Producto], categ[Categoria])</f>
        <v>Tecnología</v>
      </c>
      <c r="O981">
        <v>450000</v>
      </c>
      <c r="P981">
        <v>2</v>
      </c>
      <c r="Q981" s="11">
        <v>0</v>
      </c>
      <c r="R981">
        <f>(ventas[[#This Row],[precio_unitario]]*ventas[[#This Row],[cantidad]])</f>
        <v>900000</v>
      </c>
      <c r="S981">
        <f>ventas[[#This Row],[Total_Productos]]*ventas[[#This Row],[descuento_pct]]</f>
        <v>0</v>
      </c>
      <c r="T981">
        <f>ventas[[#This Row],[Total_Productos]]-ventas[[#This Row],[Valor_descuento]]</f>
        <v>900000</v>
      </c>
    </row>
    <row r="982" spans="1:20" x14ac:dyDescent="0.3">
      <c r="A982">
        <v>560</v>
      </c>
      <c r="B982" s="1">
        <v>45487</v>
      </c>
      <c r="C982">
        <v>50</v>
      </c>
      <c r="D982">
        <v>0</v>
      </c>
      <c r="E982">
        <v>102</v>
      </c>
      <c r="F982" t="s">
        <v>25</v>
      </c>
      <c r="G982" t="s">
        <v>26</v>
      </c>
      <c r="H982" t="s">
        <v>19</v>
      </c>
      <c r="I982">
        <v>32</v>
      </c>
      <c r="J982" t="s">
        <v>20</v>
      </c>
      <c r="K982" t="str">
        <f>_xlfn.XLOOKUP( ventas[[#This Row],[ciudad_cliente]],  ciudades[Ciudad], ciudades[Region])</f>
        <v>La Araucanía</v>
      </c>
      <c r="L982" t="s">
        <v>38</v>
      </c>
      <c r="M982" t="s">
        <v>69</v>
      </c>
      <c r="N982" t="str">
        <f>_xlfn.XLOOKUP(ventas[[#This Row],[producto]], categ[Producto], categ[Categoria])</f>
        <v>Tecnología</v>
      </c>
      <c r="O982">
        <v>450000</v>
      </c>
      <c r="P982">
        <v>2</v>
      </c>
      <c r="Q982" s="11">
        <v>0</v>
      </c>
      <c r="R982">
        <f>(ventas[[#This Row],[precio_unitario]]*ventas[[#This Row],[cantidad]])</f>
        <v>900000</v>
      </c>
      <c r="S982">
        <f>ventas[[#This Row],[Total_Productos]]*ventas[[#This Row],[descuento_pct]]</f>
        <v>0</v>
      </c>
      <c r="T982">
        <f>ventas[[#This Row],[Total_Productos]]-ventas[[#This Row],[Valor_descuento]]</f>
        <v>900000</v>
      </c>
    </row>
    <row r="983" spans="1:20" x14ac:dyDescent="0.3">
      <c r="A983">
        <v>358</v>
      </c>
      <c r="B983" s="1">
        <v>45285</v>
      </c>
      <c r="C983">
        <v>25</v>
      </c>
      <c r="D983">
        <v>3</v>
      </c>
      <c r="E983">
        <v>277</v>
      </c>
      <c r="F983" t="s">
        <v>482</v>
      </c>
      <c r="G983" t="s">
        <v>483</v>
      </c>
      <c r="H983" t="s">
        <v>42</v>
      </c>
      <c r="I983">
        <v>40</v>
      </c>
      <c r="J983" t="s">
        <v>76</v>
      </c>
      <c r="K983" t="str">
        <f>_xlfn.XLOOKUP( ventas[[#This Row],[ciudad_cliente]],  ciudades[Ciudad], ciudades[Region])</f>
        <v>Los Lagos</v>
      </c>
      <c r="L983" t="s">
        <v>22</v>
      </c>
      <c r="M983" t="s">
        <v>46</v>
      </c>
      <c r="N983" t="str">
        <f>_xlfn.XLOOKUP(ventas[[#This Row],[producto]], categ[Producto], categ[Categoria])</f>
        <v>Tecnología</v>
      </c>
      <c r="O983">
        <v>750000</v>
      </c>
      <c r="P983">
        <v>2</v>
      </c>
      <c r="Q983" s="11">
        <v>0.05</v>
      </c>
      <c r="R983">
        <f>(ventas[[#This Row],[precio_unitario]]*ventas[[#This Row],[cantidad]])</f>
        <v>1500000</v>
      </c>
      <c r="S983">
        <f>ventas[[#This Row],[Total_Productos]]*ventas[[#This Row],[descuento_pct]]</f>
        <v>75000</v>
      </c>
      <c r="T983">
        <f>ventas[[#This Row],[Total_Productos]]-ventas[[#This Row],[Valor_descuento]]</f>
        <v>1425000</v>
      </c>
    </row>
    <row r="984" spans="1:20" x14ac:dyDescent="0.3">
      <c r="A984">
        <v>684</v>
      </c>
      <c r="B984" s="1">
        <v>45611</v>
      </c>
      <c r="C984">
        <v>17</v>
      </c>
      <c r="D984">
        <v>0</v>
      </c>
      <c r="E984">
        <v>277</v>
      </c>
      <c r="F984" t="s">
        <v>482</v>
      </c>
      <c r="G984" t="s">
        <v>483</v>
      </c>
      <c r="H984" t="s">
        <v>42</v>
      </c>
      <c r="I984">
        <v>40</v>
      </c>
      <c r="J984" t="s">
        <v>34</v>
      </c>
      <c r="K984" t="str">
        <f>_xlfn.XLOOKUP( ventas[[#This Row],[ciudad_cliente]],  ciudades[Ciudad], ciudades[Region])</f>
        <v>Metropolitana</v>
      </c>
      <c r="L984" t="s">
        <v>38</v>
      </c>
      <c r="M984" t="s">
        <v>69</v>
      </c>
      <c r="N984" t="str">
        <f>_xlfn.XLOOKUP(ventas[[#This Row],[producto]], categ[Producto], categ[Categoria])</f>
        <v>Tecnología</v>
      </c>
      <c r="O984">
        <v>450000</v>
      </c>
      <c r="P984">
        <v>1</v>
      </c>
      <c r="Q984" s="11">
        <v>0.1</v>
      </c>
      <c r="R984">
        <f>(ventas[[#This Row],[precio_unitario]]*ventas[[#This Row],[cantidad]])</f>
        <v>450000</v>
      </c>
      <c r="S984">
        <f>ventas[[#This Row],[Total_Productos]]*ventas[[#This Row],[descuento_pct]]</f>
        <v>45000</v>
      </c>
      <c r="T984">
        <f>ventas[[#This Row],[Total_Productos]]-ventas[[#This Row],[Valor_descuento]]</f>
        <v>405000</v>
      </c>
    </row>
    <row r="985" spans="1:20" x14ac:dyDescent="0.3">
      <c r="A985">
        <v>792</v>
      </c>
      <c r="B985" s="1">
        <v>45719</v>
      </c>
      <c r="C985">
        <v>58</v>
      </c>
      <c r="D985">
        <v>1</v>
      </c>
      <c r="E985">
        <v>277</v>
      </c>
      <c r="F985" t="s">
        <v>482</v>
      </c>
      <c r="G985" t="s">
        <v>483</v>
      </c>
      <c r="H985" t="s">
        <v>42</v>
      </c>
      <c r="I985">
        <v>40</v>
      </c>
      <c r="J985" t="s">
        <v>76</v>
      </c>
      <c r="K985" t="str">
        <f>_xlfn.XLOOKUP( ventas[[#This Row],[ciudad_cliente]],  ciudades[Ciudad], ciudades[Region])</f>
        <v>Los Lagos</v>
      </c>
      <c r="L985" t="s">
        <v>38</v>
      </c>
      <c r="M985" t="s">
        <v>23</v>
      </c>
      <c r="N985" t="str">
        <f>_xlfn.XLOOKUP(ventas[[#This Row],[producto]], categ[Producto], categ[Categoria])</f>
        <v>Belleza</v>
      </c>
      <c r="O985">
        <v>15000</v>
      </c>
      <c r="P985">
        <v>3</v>
      </c>
      <c r="Q985" s="11">
        <v>0.05</v>
      </c>
      <c r="R985">
        <f>(ventas[[#This Row],[precio_unitario]]*ventas[[#This Row],[cantidad]])</f>
        <v>45000</v>
      </c>
      <c r="S985">
        <f>ventas[[#This Row],[Total_Productos]]*ventas[[#This Row],[descuento_pct]]</f>
        <v>2250</v>
      </c>
      <c r="T985">
        <f>ventas[[#This Row],[Total_Productos]]-ventas[[#This Row],[Valor_descuento]]</f>
        <v>42750</v>
      </c>
    </row>
    <row r="986" spans="1:20" x14ac:dyDescent="0.3">
      <c r="A986">
        <v>963</v>
      </c>
      <c r="B986" s="1">
        <v>45890</v>
      </c>
      <c r="C986">
        <v>52</v>
      </c>
      <c r="D986">
        <v>0</v>
      </c>
      <c r="E986">
        <v>277</v>
      </c>
      <c r="F986" t="s">
        <v>482</v>
      </c>
      <c r="G986" t="s">
        <v>483</v>
      </c>
      <c r="H986" t="s">
        <v>42</v>
      </c>
      <c r="I986">
        <v>40</v>
      </c>
      <c r="J986" t="s">
        <v>27</v>
      </c>
      <c r="K986" t="str">
        <f>_xlfn.XLOOKUP( ventas[[#This Row],[ciudad_cliente]],  ciudades[Ciudad], ciudades[Region])</f>
        <v>Biobío</v>
      </c>
      <c r="L986" t="s">
        <v>22</v>
      </c>
      <c r="M986" t="s">
        <v>46</v>
      </c>
      <c r="N986" t="str">
        <f>_xlfn.XLOOKUP(ventas[[#This Row],[producto]], categ[Producto], categ[Categoria])</f>
        <v>Tecnología</v>
      </c>
      <c r="O986">
        <v>750000</v>
      </c>
      <c r="P986">
        <v>1</v>
      </c>
      <c r="Q986" s="11">
        <v>0</v>
      </c>
      <c r="R986">
        <f>(ventas[[#This Row],[precio_unitario]]*ventas[[#This Row],[cantidad]])</f>
        <v>750000</v>
      </c>
      <c r="S986">
        <f>ventas[[#This Row],[Total_Productos]]*ventas[[#This Row],[descuento_pct]]</f>
        <v>0</v>
      </c>
      <c r="T986">
        <f>ventas[[#This Row],[Total_Productos]]-ventas[[#This Row],[Valor_descuento]]</f>
        <v>750000</v>
      </c>
    </row>
    <row r="987" spans="1:20" x14ac:dyDescent="0.3">
      <c r="A987">
        <v>219</v>
      </c>
      <c r="B987" s="1">
        <v>45146</v>
      </c>
      <c r="C987">
        <v>39</v>
      </c>
      <c r="D987">
        <v>6</v>
      </c>
      <c r="E987">
        <v>215</v>
      </c>
      <c r="F987" t="s">
        <v>372</v>
      </c>
      <c r="G987" t="s">
        <v>373</v>
      </c>
      <c r="H987" t="s">
        <v>19</v>
      </c>
      <c r="I987">
        <v>34</v>
      </c>
      <c r="J987" t="s">
        <v>43</v>
      </c>
      <c r="K987" t="str">
        <f>_xlfn.XLOOKUP( ventas[[#This Row],[ciudad_cliente]],  ciudades[Ciudad], ciudades[Region])</f>
        <v>Antofagasta</v>
      </c>
      <c r="L987" t="s">
        <v>22</v>
      </c>
      <c r="M987" t="s">
        <v>56</v>
      </c>
      <c r="N987" t="str">
        <f>_xlfn.XLOOKUP(ventas[[#This Row],[producto]], categ[Producto], categ[Categoria])</f>
        <v>Vestuario</v>
      </c>
      <c r="O987">
        <v>25000</v>
      </c>
      <c r="P987">
        <v>2</v>
      </c>
      <c r="Q987" s="11">
        <v>0.1</v>
      </c>
      <c r="R987">
        <f>(ventas[[#This Row],[precio_unitario]]*ventas[[#This Row],[cantidad]])</f>
        <v>50000</v>
      </c>
      <c r="S987">
        <f>ventas[[#This Row],[Total_Productos]]*ventas[[#This Row],[descuento_pct]]</f>
        <v>5000</v>
      </c>
      <c r="T987">
        <f>ventas[[#This Row],[Total_Productos]]-ventas[[#This Row],[Valor_descuento]]</f>
        <v>45000</v>
      </c>
    </row>
    <row r="988" spans="1:20" x14ac:dyDescent="0.3">
      <c r="A988">
        <v>448</v>
      </c>
      <c r="B988" s="1">
        <v>45375</v>
      </c>
      <c r="C988">
        <v>42</v>
      </c>
      <c r="D988">
        <v>4</v>
      </c>
      <c r="E988">
        <v>215</v>
      </c>
      <c r="F988" t="s">
        <v>372</v>
      </c>
      <c r="G988" t="s">
        <v>373</v>
      </c>
      <c r="H988" t="s">
        <v>19</v>
      </c>
      <c r="I988">
        <v>34</v>
      </c>
      <c r="J988" t="s">
        <v>27</v>
      </c>
      <c r="K988" t="str">
        <f>_xlfn.XLOOKUP( ventas[[#This Row],[ciudad_cliente]],  ciudades[Ciudad], ciudades[Region])</f>
        <v>Biobío</v>
      </c>
      <c r="L988" t="s">
        <v>38</v>
      </c>
      <c r="M988" t="s">
        <v>23</v>
      </c>
      <c r="N988" t="str">
        <f>_xlfn.XLOOKUP(ventas[[#This Row],[producto]], categ[Producto], categ[Categoria])</f>
        <v>Belleza</v>
      </c>
      <c r="O988">
        <v>15000</v>
      </c>
      <c r="P988">
        <v>3</v>
      </c>
      <c r="Q988" s="11">
        <v>0.05</v>
      </c>
      <c r="R988">
        <f>(ventas[[#This Row],[precio_unitario]]*ventas[[#This Row],[cantidad]])</f>
        <v>45000</v>
      </c>
      <c r="S988">
        <f>ventas[[#This Row],[Total_Productos]]*ventas[[#This Row],[descuento_pct]]</f>
        <v>2250</v>
      </c>
      <c r="T988">
        <f>ventas[[#This Row],[Total_Productos]]-ventas[[#This Row],[Valor_descuento]]</f>
        <v>42750</v>
      </c>
    </row>
    <row r="989" spans="1:20" x14ac:dyDescent="0.3">
      <c r="A989">
        <v>861</v>
      </c>
      <c r="B989" s="1">
        <v>45788</v>
      </c>
      <c r="C989">
        <v>31</v>
      </c>
      <c r="D989">
        <v>4</v>
      </c>
      <c r="E989">
        <v>215</v>
      </c>
      <c r="F989" t="s">
        <v>372</v>
      </c>
      <c r="G989" t="s">
        <v>373</v>
      </c>
      <c r="H989" t="s">
        <v>19</v>
      </c>
      <c r="I989">
        <v>34</v>
      </c>
      <c r="J989" t="s">
        <v>101</v>
      </c>
      <c r="K989" t="str">
        <f>_xlfn.XLOOKUP( ventas[[#This Row],[ciudad_cliente]],  ciudades[Ciudad], ciudades[Region])</f>
        <v>O'Higgins</v>
      </c>
      <c r="L989" t="s">
        <v>38</v>
      </c>
      <c r="M989" t="s">
        <v>30</v>
      </c>
      <c r="N989" t="str">
        <f>_xlfn.XLOOKUP(ventas[[#This Row],[producto]], categ[Producto], categ[Categoria])</f>
        <v>Electrohogar</v>
      </c>
      <c r="O989">
        <v>700000</v>
      </c>
      <c r="P989">
        <v>3</v>
      </c>
      <c r="Q989" s="11">
        <v>0.05</v>
      </c>
      <c r="R989">
        <f>(ventas[[#This Row],[precio_unitario]]*ventas[[#This Row],[cantidad]])</f>
        <v>2100000</v>
      </c>
      <c r="S989">
        <f>ventas[[#This Row],[Total_Productos]]*ventas[[#This Row],[descuento_pct]]</f>
        <v>105000</v>
      </c>
      <c r="T989">
        <f>ventas[[#This Row],[Total_Productos]]-ventas[[#This Row],[Valor_descuento]]</f>
        <v>1995000</v>
      </c>
    </row>
    <row r="990" spans="1:20" x14ac:dyDescent="0.3">
      <c r="A990">
        <v>69</v>
      </c>
      <c r="B990" s="1">
        <v>44996</v>
      </c>
      <c r="C990">
        <v>30</v>
      </c>
      <c r="D990">
        <v>0</v>
      </c>
      <c r="E990">
        <v>148</v>
      </c>
      <c r="F990" t="s">
        <v>177</v>
      </c>
      <c r="G990" t="s">
        <v>178</v>
      </c>
      <c r="H990" t="s">
        <v>19</v>
      </c>
      <c r="I990">
        <v>22</v>
      </c>
      <c r="J990" t="s">
        <v>37</v>
      </c>
      <c r="K990" t="str">
        <f>_xlfn.XLOOKUP( ventas[[#This Row],[ciudad_cliente]],  ciudades[Ciudad], ciudades[Region])</f>
        <v>Valparaíso</v>
      </c>
      <c r="L990" t="s">
        <v>29</v>
      </c>
      <c r="M990" t="s">
        <v>49</v>
      </c>
      <c r="N990" t="str">
        <f>_xlfn.XLOOKUP(ventas[[#This Row],[producto]], categ[Producto], categ[Categoria])</f>
        <v>Electrohogar</v>
      </c>
      <c r="O990">
        <v>800000</v>
      </c>
      <c r="P990">
        <v>2</v>
      </c>
      <c r="Q990" s="11">
        <v>0.1</v>
      </c>
      <c r="R990">
        <f>(ventas[[#This Row],[precio_unitario]]*ventas[[#This Row],[cantidad]])</f>
        <v>1600000</v>
      </c>
      <c r="S990">
        <f>ventas[[#This Row],[Total_Productos]]*ventas[[#This Row],[descuento_pct]]</f>
        <v>160000</v>
      </c>
      <c r="T990">
        <f>ventas[[#This Row],[Total_Productos]]-ventas[[#This Row],[Valor_descuento]]</f>
        <v>1440000</v>
      </c>
    </row>
    <row r="991" spans="1:20" x14ac:dyDescent="0.3">
      <c r="A991">
        <v>203</v>
      </c>
      <c r="B991" s="1">
        <v>45130</v>
      </c>
      <c r="C991">
        <v>8</v>
      </c>
      <c r="D991">
        <v>1</v>
      </c>
      <c r="E991">
        <v>148</v>
      </c>
      <c r="F991" t="s">
        <v>177</v>
      </c>
      <c r="G991" t="s">
        <v>178</v>
      </c>
      <c r="H991" t="s">
        <v>19</v>
      </c>
      <c r="I991">
        <v>22</v>
      </c>
      <c r="J991" t="s">
        <v>76</v>
      </c>
      <c r="K991" t="str">
        <f>_xlfn.XLOOKUP( ventas[[#This Row],[ciudad_cliente]],  ciudades[Ciudad], ciudades[Region])</f>
        <v>Los Lagos</v>
      </c>
      <c r="L991" t="s">
        <v>38</v>
      </c>
      <c r="M991" t="s">
        <v>49</v>
      </c>
      <c r="N991" t="str">
        <f>_xlfn.XLOOKUP(ventas[[#This Row],[producto]], categ[Producto], categ[Categoria])</f>
        <v>Electrohogar</v>
      </c>
      <c r="O991">
        <v>800000</v>
      </c>
      <c r="P991">
        <v>1</v>
      </c>
      <c r="Q991" s="11">
        <v>0.05</v>
      </c>
      <c r="R991">
        <f>(ventas[[#This Row],[precio_unitario]]*ventas[[#This Row],[cantidad]])</f>
        <v>800000</v>
      </c>
      <c r="S991">
        <f>ventas[[#This Row],[Total_Productos]]*ventas[[#This Row],[descuento_pct]]</f>
        <v>40000</v>
      </c>
      <c r="T991">
        <f>ventas[[#This Row],[Total_Productos]]-ventas[[#This Row],[Valor_descuento]]</f>
        <v>760000</v>
      </c>
    </row>
    <row r="992" spans="1:20" x14ac:dyDescent="0.3">
      <c r="A992">
        <v>427</v>
      </c>
      <c r="B992" s="1">
        <v>45354</v>
      </c>
      <c r="C992">
        <v>58</v>
      </c>
      <c r="D992">
        <v>1</v>
      </c>
      <c r="E992">
        <v>148</v>
      </c>
      <c r="F992" t="s">
        <v>177</v>
      </c>
      <c r="G992" t="s">
        <v>178</v>
      </c>
      <c r="H992" t="s">
        <v>19</v>
      </c>
      <c r="I992">
        <v>22</v>
      </c>
      <c r="J992" t="s">
        <v>76</v>
      </c>
      <c r="K992" t="str">
        <f>_xlfn.XLOOKUP( ventas[[#This Row],[ciudad_cliente]],  ciudades[Ciudad], ciudades[Region])</f>
        <v>Los Lagos</v>
      </c>
      <c r="L992" t="s">
        <v>22</v>
      </c>
      <c r="M992" t="s">
        <v>23</v>
      </c>
      <c r="N992" t="str">
        <f>_xlfn.XLOOKUP(ventas[[#This Row],[producto]], categ[Producto], categ[Categoria])</f>
        <v>Belleza</v>
      </c>
      <c r="O992">
        <v>15000</v>
      </c>
      <c r="P992">
        <v>1</v>
      </c>
      <c r="Q992" s="11">
        <v>0.05</v>
      </c>
      <c r="R992">
        <f>(ventas[[#This Row],[precio_unitario]]*ventas[[#This Row],[cantidad]])</f>
        <v>15000</v>
      </c>
      <c r="S992">
        <f>ventas[[#This Row],[Total_Productos]]*ventas[[#This Row],[descuento_pct]]</f>
        <v>750</v>
      </c>
      <c r="T992">
        <f>ventas[[#This Row],[Total_Productos]]-ventas[[#This Row],[Valor_descuento]]</f>
        <v>14250</v>
      </c>
    </row>
    <row r="993" spans="1:20" x14ac:dyDescent="0.3">
      <c r="A993">
        <v>513</v>
      </c>
      <c r="B993" s="1">
        <v>45440</v>
      </c>
      <c r="C993">
        <v>21</v>
      </c>
      <c r="D993">
        <v>5</v>
      </c>
      <c r="E993">
        <v>148</v>
      </c>
      <c r="F993" t="s">
        <v>177</v>
      </c>
      <c r="G993" t="s">
        <v>178</v>
      </c>
      <c r="H993" t="s">
        <v>19</v>
      </c>
      <c r="I993">
        <v>22</v>
      </c>
      <c r="J993" t="s">
        <v>76</v>
      </c>
      <c r="K993" t="str">
        <f>_xlfn.XLOOKUP( ventas[[#This Row],[ciudad_cliente]],  ciudades[Ciudad], ciudades[Region])</f>
        <v>Los Lagos</v>
      </c>
      <c r="L993" t="s">
        <v>29</v>
      </c>
      <c r="M993" t="s">
        <v>23</v>
      </c>
      <c r="N993" t="str">
        <f>_xlfn.XLOOKUP(ventas[[#This Row],[producto]], categ[Producto], categ[Categoria])</f>
        <v>Belleza</v>
      </c>
      <c r="O993">
        <v>15000</v>
      </c>
      <c r="P993">
        <v>2</v>
      </c>
      <c r="Q993" s="11">
        <v>0.1</v>
      </c>
      <c r="R993">
        <f>(ventas[[#This Row],[precio_unitario]]*ventas[[#This Row],[cantidad]])</f>
        <v>30000</v>
      </c>
      <c r="S993">
        <f>ventas[[#This Row],[Total_Productos]]*ventas[[#This Row],[descuento_pct]]</f>
        <v>3000</v>
      </c>
      <c r="T993">
        <f>ventas[[#This Row],[Total_Productos]]-ventas[[#This Row],[Valor_descuento]]</f>
        <v>27000</v>
      </c>
    </row>
    <row r="994" spans="1:20" x14ac:dyDescent="0.3">
      <c r="A994">
        <v>559</v>
      </c>
      <c r="B994" s="1">
        <v>45486</v>
      </c>
      <c r="C994">
        <v>10</v>
      </c>
      <c r="D994">
        <v>7</v>
      </c>
      <c r="E994">
        <v>148</v>
      </c>
      <c r="F994" t="s">
        <v>177</v>
      </c>
      <c r="G994" t="s">
        <v>178</v>
      </c>
      <c r="H994" t="s">
        <v>19</v>
      </c>
      <c r="I994">
        <v>22</v>
      </c>
      <c r="J994" t="s">
        <v>37</v>
      </c>
      <c r="K994" t="str">
        <f>_xlfn.XLOOKUP( ventas[[#This Row],[ciudad_cliente]],  ciudades[Ciudad], ciudades[Region])</f>
        <v>Valparaíso</v>
      </c>
      <c r="L994" t="s">
        <v>22</v>
      </c>
      <c r="M994" t="s">
        <v>39</v>
      </c>
      <c r="N994" t="str">
        <f>_xlfn.XLOOKUP(ventas[[#This Row],[producto]], categ[Producto], categ[Categoria])</f>
        <v>Belleza</v>
      </c>
      <c r="O994">
        <v>35000</v>
      </c>
      <c r="P994">
        <v>1</v>
      </c>
      <c r="Q994" s="11">
        <v>0</v>
      </c>
      <c r="R994">
        <f>(ventas[[#This Row],[precio_unitario]]*ventas[[#This Row],[cantidad]])</f>
        <v>35000</v>
      </c>
      <c r="S994">
        <f>ventas[[#This Row],[Total_Productos]]*ventas[[#This Row],[descuento_pct]]</f>
        <v>0</v>
      </c>
      <c r="T994">
        <f>ventas[[#This Row],[Total_Productos]]-ventas[[#This Row],[Valor_descuento]]</f>
        <v>35000</v>
      </c>
    </row>
    <row r="995" spans="1:20" x14ac:dyDescent="0.3">
      <c r="A995">
        <v>601</v>
      </c>
      <c r="B995" s="1">
        <v>45528</v>
      </c>
      <c r="C995">
        <v>59</v>
      </c>
      <c r="D995">
        <v>1</v>
      </c>
      <c r="E995">
        <v>148</v>
      </c>
      <c r="F995" t="s">
        <v>177</v>
      </c>
      <c r="G995" t="s">
        <v>178</v>
      </c>
      <c r="H995" t="s">
        <v>19</v>
      </c>
      <c r="I995">
        <v>22</v>
      </c>
      <c r="J995" t="s">
        <v>43</v>
      </c>
      <c r="K995" t="str">
        <f>_xlfn.XLOOKUP( ventas[[#This Row],[ciudad_cliente]],  ciudades[Ciudad], ciudades[Region])</f>
        <v>Antofagasta</v>
      </c>
      <c r="L995" t="s">
        <v>29</v>
      </c>
      <c r="M995" t="s">
        <v>30</v>
      </c>
      <c r="N995" t="str">
        <f>_xlfn.XLOOKUP(ventas[[#This Row],[producto]], categ[Producto], categ[Categoria])</f>
        <v>Electrohogar</v>
      </c>
      <c r="O995">
        <v>700000</v>
      </c>
      <c r="P995">
        <v>1</v>
      </c>
      <c r="Q995" s="11">
        <v>0</v>
      </c>
      <c r="R995">
        <f>(ventas[[#This Row],[precio_unitario]]*ventas[[#This Row],[cantidad]])</f>
        <v>700000</v>
      </c>
      <c r="S995">
        <f>ventas[[#This Row],[Total_Productos]]*ventas[[#This Row],[descuento_pct]]</f>
        <v>0</v>
      </c>
      <c r="T995">
        <f>ventas[[#This Row],[Total_Productos]]-ventas[[#This Row],[Valor_descuento]]</f>
        <v>700000</v>
      </c>
    </row>
    <row r="996" spans="1:20" x14ac:dyDescent="0.3">
      <c r="A996">
        <v>601</v>
      </c>
      <c r="B996" s="1">
        <v>45528</v>
      </c>
      <c r="C996">
        <v>59</v>
      </c>
      <c r="D996">
        <v>1</v>
      </c>
      <c r="E996">
        <v>148</v>
      </c>
      <c r="F996" t="s">
        <v>177</v>
      </c>
      <c r="G996" t="s">
        <v>178</v>
      </c>
      <c r="H996" t="s">
        <v>19</v>
      </c>
      <c r="I996">
        <v>22</v>
      </c>
      <c r="J996" t="s">
        <v>43</v>
      </c>
      <c r="K996" t="str">
        <f>_xlfn.XLOOKUP( ventas[[#This Row],[ciudad_cliente]],  ciudades[Ciudad], ciudades[Region])</f>
        <v>Antofagasta</v>
      </c>
      <c r="L996" t="s">
        <v>29</v>
      </c>
      <c r="M996" t="s">
        <v>30</v>
      </c>
      <c r="N996" t="str">
        <f>_xlfn.XLOOKUP(ventas[[#This Row],[producto]], categ[Producto], categ[Categoria])</f>
        <v>Electrohogar</v>
      </c>
      <c r="O996">
        <v>700000</v>
      </c>
      <c r="P996">
        <v>1</v>
      </c>
      <c r="Q996" s="11">
        <v>0</v>
      </c>
      <c r="R996">
        <f>(ventas[[#This Row],[precio_unitario]]*ventas[[#This Row],[cantidad]])</f>
        <v>700000</v>
      </c>
      <c r="S996">
        <f>ventas[[#This Row],[Total_Productos]]*ventas[[#This Row],[descuento_pct]]</f>
        <v>0</v>
      </c>
      <c r="T996">
        <f>ventas[[#This Row],[Total_Productos]]-ventas[[#This Row],[Valor_descuento]]</f>
        <v>700000</v>
      </c>
    </row>
    <row r="997" spans="1:20" x14ac:dyDescent="0.3">
      <c r="A997">
        <v>160</v>
      </c>
      <c r="B997" s="1">
        <v>45087</v>
      </c>
      <c r="C997">
        <v>58</v>
      </c>
      <c r="D997">
        <v>1</v>
      </c>
      <c r="E997">
        <v>219</v>
      </c>
      <c r="F997" t="s">
        <v>306</v>
      </c>
      <c r="G997" t="s">
        <v>307</v>
      </c>
      <c r="H997" t="s">
        <v>42</v>
      </c>
      <c r="I997">
        <v>32</v>
      </c>
      <c r="J997" t="s">
        <v>76</v>
      </c>
      <c r="K997" t="str">
        <f>_xlfn.XLOOKUP( ventas[[#This Row],[ciudad_cliente]],  ciudades[Ciudad], ciudades[Region])</f>
        <v>Los Lagos</v>
      </c>
      <c r="L997" t="s">
        <v>22</v>
      </c>
      <c r="M997" t="s">
        <v>62</v>
      </c>
      <c r="N997" t="str">
        <f>_xlfn.XLOOKUP(ventas[[#This Row],[producto]], categ[Producto], categ[Categoria])</f>
        <v>Electrohogar</v>
      </c>
      <c r="O997">
        <v>650000</v>
      </c>
      <c r="P997">
        <v>1</v>
      </c>
      <c r="Q997" s="11">
        <v>0.1</v>
      </c>
      <c r="R997">
        <f>(ventas[[#This Row],[precio_unitario]]*ventas[[#This Row],[cantidad]])</f>
        <v>650000</v>
      </c>
      <c r="S997">
        <f>ventas[[#This Row],[Total_Productos]]*ventas[[#This Row],[descuento_pct]]</f>
        <v>65000</v>
      </c>
      <c r="T997">
        <f>ventas[[#This Row],[Total_Productos]]-ventas[[#This Row],[Valor_descuento]]</f>
        <v>585000</v>
      </c>
    </row>
    <row r="998" spans="1:20" x14ac:dyDescent="0.3">
      <c r="A998">
        <v>318</v>
      </c>
      <c r="B998" s="1">
        <v>45245</v>
      </c>
      <c r="C998">
        <v>43</v>
      </c>
      <c r="D998">
        <v>0</v>
      </c>
      <c r="E998">
        <v>219</v>
      </c>
      <c r="F998" t="s">
        <v>306</v>
      </c>
      <c r="G998" t="s">
        <v>307</v>
      </c>
      <c r="H998" t="s">
        <v>42</v>
      </c>
      <c r="I998">
        <v>32</v>
      </c>
      <c r="J998" t="s">
        <v>34</v>
      </c>
      <c r="K998" t="str">
        <f>_xlfn.XLOOKUP( ventas[[#This Row],[ciudad_cliente]],  ciudades[Ciudad], ciudades[Region])</f>
        <v>Metropolitana</v>
      </c>
      <c r="L998" t="s">
        <v>38</v>
      </c>
      <c r="M998" t="s">
        <v>46</v>
      </c>
      <c r="N998" t="str">
        <f>_xlfn.XLOOKUP(ventas[[#This Row],[producto]], categ[Producto], categ[Categoria])</f>
        <v>Tecnología</v>
      </c>
      <c r="O998">
        <v>750000</v>
      </c>
      <c r="P998">
        <v>1</v>
      </c>
      <c r="Q998" s="11">
        <v>0</v>
      </c>
      <c r="R998">
        <f>(ventas[[#This Row],[precio_unitario]]*ventas[[#This Row],[cantidad]])</f>
        <v>750000</v>
      </c>
      <c r="S998">
        <f>ventas[[#This Row],[Total_Productos]]*ventas[[#This Row],[descuento_pct]]</f>
        <v>0</v>
      </c>
      <c r="T998">
        <f>ventas[[#This Row],[Total_Productos]]-ventas[[#This Row],[Valor_descuento]]</f>
        <v>750000</v>
      </c>
    </row>
    <row r="999" spans="1:20" x14ac:dyDescent="0.3">
      <c r="A999">
        <v>765</v>
      </c>
      <c r="B999" s="1">
        <v>45692</v>
      </c>
      <c r="C999">
        <v>19</v>
      </c>
      <c r="D999">
        <v>5</v>
      </c>
      <c r="E999">
        <v>219</v>
      </c>
      <c r="F999" t="s">
        <v>306</v>
      </c>
      <c r="G999" t="s">
        <v>307</v>
      </c>
      <c r="H999" t="s">
        <v>42</v>
      </c>
      <c r="I999">
        <v>32</v>
      </c>
      <c r="J999" t="s">
        <v>20</v>
      </c>
      <c r="K999" t="str">
        <f>_xlfn.XLOOKUP( ventas[[#This Row],[ciudad_cliente]],  ciudades[Ciudad], ciudades[Region])</f>
        <v>La Araucanía</v>
      </c>
      <c r="L999" t="s">
        <v>29</v>
      </c>
      <c r="M999" t="s">
        <v>98</v>
      </c>
      <c r="N999" t="str">
        <f>_xlfn.XLOOKUP(ventas[[#This Row],[producto]], categ[Producto], categ[Categoria])</f>
        <v>Calzado</v>
      </c>
      <c r="O999">
        <v>55000</v>
      </c>
      <c r="P999">
        <v>2</v>
      </c>
      <c r="Q999" s="11">
        <v>0</v>
      </c>
      <c r="R999">
        <f>(ventas[[#This Row],[precio_unitario]]*ventas[[#This Row],[cantidad]])</f>
        <v>110000</v>
      </c>
      <c r="S999">
        <f>ventas[[#This Row],[Total_Productos]]*ventas[[#This Row],[descuento_pct]]</f>
        <v>0</v>
      </c>
      <c r="T999">
        <f>ventas[[#This Row],[Total_Productos]]-ventas[[#This Row],[Valor_descuento]]</f>
        <v>110000</v>
      </c>
    </row>
    <row r="1000" spans="1:20" x14ac:dyDescent="0.3">
      <c r="A1000">
        <v>110</v>
      </c>
      <c r="B1000" s="1">
        <v>45037</v>
      </c>
      <c r="C1000">
        <v>50</v>
      </c>
      <c r="D1000">
        <v>0</v>
      </c>
      <c r="E1000">
        <v>216</v>
      </c>
      <c r="F1000" t="s">
        <v>245</v>
      </c>
      <c r="G1000" t="s">
        <v>246</v>
      </c>
      <c r="H1000" t="s">
        <v>19</v>
      </c>
      <c r="I1000">
        <v>47</v>
      </c>
      <c r="J1000" t="s">
        <v>20</v>
      </c>
      <c r="K1000" t="str">
        <f>_xlfn.XLOOKUP( ventas[[#This Row],[ciudad_cliente]],  ciudades[Ciudad], ciudades[Region])</f>
        <v>La Araucanía</v>
      </c>
      <c r="L1000" t="s">
        <v>38</v>
      </c>
      <c r="M1000" t="s">
        <v>49</v>
      </c>
      <c r="N1000" t="str">
        <f>_xlfn.XLOOKUP(ventas[[#This Row],[producto]], categ[Producto], categ[Categoria])</f>
        <v>Electrohogar</v>
      </c>
      <c r="O1000">
        <v>800000</v>
      </c>
      <c r="P1000">
        <v>2</v>
      </c>
      <c r="Q1000" s="11">
        <v>0</v>
      </c>
      <c r="R1000">
        <f>(ventas[[#This Row],[precio_unitario]]*ventas[[#This Row],[cantidad]])</f>
        <v>1600000</v>
      </c>
      <c r="S1000">
        <f>ventas[[#This Row],[Total_Productos]]*ventas[[#This Row],[descuento_pct]]</f>
        <v>0</v>
      </c>
      <c r="T1000">
        <f>ventas[[#This Row],[Total_Productos]]-ventas[[#This Row],[Valor_descuento]]</f>
        <v>1600000</v>
      </c>
    </row>
    <row r="1001" spans="1:20" x14ac:dyDescent="0.3">
      <c r="A1001">
        <v>415</v>
      </c>
      <c r="B1001" s="1">
        <v>45342</v>
      </c>
      <c r="C1001">
        <v>36</v>
      </c>
      <c r="D1001">
        <v>4</v>
      </c>
      <c r="E1001">
        <v>216</v>
      </c>
      <c r="F1001" t="s">
        <v>245</v>
      </c>
      <c r="G1001" t="s">
        <v>246</v>
      </c>
      <c r="H1001" t="s">
        <v>19</v>
      </c>
      <c r="I1001">
        <v>47</v>
      </c>
      <c r="J1001" t="s">
        <v>101</v>
      </c>
      <c r="K1001" t="str">
        <f>_xlfn.XLOOKUP( ventas[[#This Row],[ciudad_cliente]],  ciudades[Ciudad], ciudades[Region])</f>
        <v>O'Higgins</v>
      </c>
      <c r="L1001" t="s">
        <v>29</v>
      </c>
      <c r="M1001" t="s">
        <v>49</v>
      </c>
      <c r="N1001" t="str">
        <f>_xlfn.XLOOKUP(ventas[[#This Row],[producto]], categ[Producto], categ[Categoria])</f>
        <v>Electrohogar</v>
      </c>
      <c r="O1001">
        <v>800000</v>
      </c>
      <c r="P1001">
        <v>1</v>
      </c>
      <c r="Q1001" s="11">
        <v>0</v>
      </c>
      <c r="R1001">
        <f>(ventas[[#This Row],[precio_unitario]]*ventas[[#This Row],[cantidad]])</f>
        <v>800000</v>
      </c>
      <c r="S1001">
        <f>ventas[[#This Row],[Total_Productos]]*ventas[[#This Row],[descuento_pct]]</f>
        <v>0</v>
      </c>
      <c r="T1001">
        <f>ventas[[#This Row],[Total_Productos]]-ventas[[#This Row],[Valor_descuento]]</f>
        <v>800000</v>
      </c>
    </row>
    <row r="1002" spans="1:20" x14ac:dyDescent="0.3">
      <c r="A1002">
        <v>632</v>
      </c>
      <c r="B1002" s="1">
        <v>45559</v>
      </c>
      <c r="C1002">
        <v>58</v>
      </c>
      <c r="D1002">
        <v>1</v>
      </c>
      <c r="E1002">
        <v>216</v>
      </c>
      <c r="F1002" t="s">
        <v>245</v>
      </c>
      <c r="G1002" t="s">
        <v>246</v>
      </c>
      <c r="H1002" t="s">
        <v>19</v>
      </c>
      <c r="I1002">
        <v>47</v>
      </c>
      <c r="J1002" t="s">
        <v>76</v>
      </c>
      <c r="K1002" t="str">
        <f>_xlfn.XLOOKUP( ventas[[#This Row],[ciudad_cliente]],  ciudades[Ciudad], ciudades[Region])</f>
        <v>Los Lagos</v>
      </c>
      <c r="L1002" t="s">
        <v>22</v>
      </c>
      <c r="M1002" t="s">
        <v>102</v>
      </c>
      <c r="N1002" t="str">
        <f>_xlfn.XLOOKUP(ventas[[#This Row],[producto]], categ[Producto], categ[Categoria])</f>
        <v>Vestuario</v>
      </c>
      <c r="O1002">
        <v>12000</v>
      </c>
      <c r="P1002">
        <v>3</v>
      </c>
      <c r="Q1002" s="11">
        <v>0.1</v>
      </c>
      <c r="R1002">
        <f>(ventas[[#This Row],[precio_unitario]]*ventas[[#This Row],[cantidad]])</f>
        <v>36000</v>
      </c>
      <c r="S1002">
        <f>ventas[[#This Row],[Total_Productos]]*ventas[[#This Row],[descuento_pct]]</f>
        <v>3600</v>
      </c>
      <c r="T1002">
        <f>ventas[[#This Row],[Total_Productos]]-ventas[[#This Row],[Valor_descuento]]</f>
        <v>32400</v>
      </c>
    </row>
    <row r="1003" spans="1:20" x14ac:dyDescent="0.3">
      <c r="A1003">
        <v>784</v>
      </c>
      <c r="B1003" s="1">
        <v>45711</v>
      </c>
      <c r="C1003">
        <v>53</v>
      </c>
      <c r="D1003">
        <v>1</v>
      </c>
      <c r="E1003">
        <v>216</v>
      </c>
      <c r="F1003" t="s">
        <v>245</v>
      </c>
      <c r="G1003" t="s">
        <v>246</v>
      </c>
      <c r="H1003" t="s">
        <v>19</v>
      </c>
      <c r="I1003">
        <v>47</v>
      </c>
      <c r="J1003" t="s">
        <v>76</v>
      </c>
      <c r="K1003" t="str">
        <f>_xlfn.XLOOKUP( ventas[[#This Row],[ciudad_cliente]],  ciudades[Ciudad], ciudades[Region])</f>
        <v>Los Lagos</v>
      </c>
      <c r="L1003" t="s">
        <v>29</v>
      </c>
      <c r="M1003" t="s">
        <v>23</v>
      </c>
      <c r="N1003" t="str">
        <f>_xlfn.XLOOKUP(ventas[[#This Row],[producto]], categ[Producto], categ[Categoria])</f>
        <v>Belleza</v>
      </c>
      <c r="O1003">
        <v>15000</v>
      </c>
      <c r="P1003">
        <v>3</v>
      </c>
      <c r="Q1003" s="11">
        <v>0</v>
      </c>
      <c r="R1003">
        <f>(ventas[[#This Row],[precio_unitario]]*ventas[[#This Row],[cantidad]])</f>
        <v>45000</v>
      </c>
      <c r="S1003">
        <f>ventas[[#This Row],[Total_Productos]]*ventas[[#This Row],[descuento_pct]]</f>
        <v>0</v>
      </c>
      <c r="T1003">
        <f>ventas[[#This Row],[Total_Productos]]-ventas[[#This Row],[Valor_descuento]]</f>
        <v>45000</v>
      </c>
    </row>
    <row r="1004" spans="1:20" x14ac:dyDescent="0.3">
      <c r="A1004">
        <v>371</v>
      </c>
      <c r="B1004" s="1">
        <v>45298</v>
      </c>
      <c r="C1004">
        <v>67</v>
      </c>
      <c r="D1004">
        <v>0</v>
      </c>
      <c r="E1004">
        <v>83</v>
      </c>
      <c r="F1004" t="s">
        <v>488</v>
      </c>
      <c r="G1004" t="s">
        <v>489</v>
      </c>
      <c r="H1004" t="s">
        <v>19</v>
      </c>
      <c r="I1004">
        <v>55</v>
      </c>
      <c r="J1004" t="s">
        <v>27</v>
      </c>
      <c r="K1004" t="str">
        <f>_xlfn.XLOOKUP( ventas[[#This Row],[ciudad_cliente]],  ciudades[Ciudad], ciudades[Region])</f>
        <v>Biobío</v>
      </c>
      <c r="L1004" t="s">
        <v>22</v>
      </c>
      <c r="M1004" t="s">
        <v>39</v>
      </c>
      <c r="N1004" t="str">
        <f>_xlfn.XLOOKUP(ventas[[#This Row],[producto]], categ[Producto], categ[Categoria])</f>
        <v>Belleza</v>
      </c>
      <c r="O1004">
        <v>35000</v>
      </c>
      <c r="P1004">
        <v>1</v>
      </c>
      <c r="Q1004" s="11">
        <v>0</v>
      </c>
      <c r="R1004">
        <f>(ventas[[#This Row],[precio_unitario]]*ventas[[#This Row],[cantidad]])</f>
        <v>35000</v>
      </c>
      <c r="S1004">
        <f>ventas[[#This Row],[Total_Productos]]*ventas[[#This Row],[descuento_pct]]</f>
        <v>0</v>
      </c>
      <c r="T1004">
        <f>ventas[[#This Row],[Total_Productos]]-ventas[[#This Row],[Valor_descuento]]</f>
        <v>35000</v>
      </c>
    </row>
    <row r="1005" spans="1:20" x14ac:dyDescent="0.3">
      <c r="A1005">
        <v>395</v>
      </c>
      <c r="B1005" s="1">
        <v>45322</v>
      </c>
      <c r="C1005">
        <v>60</v>
      </c>
      <c r="D1005">
        <v>1</v>
      </c>
      <c r="E1005">
        <v>83</v>
      </c>
      <c r="F1005" t="s">
        <v>488</v>
      </c>
      <c r="G1005" t="s">
        <v>489</v>
      </c>
      <c r="H1005" t="s">
        <v>19</v>
      </c>
      <c r="I1005">
        <v>55</v>
      </c>
      <c r="J1005" t="s">
        <v>37</v>
      </c>
      <c r="K1005" t="str">
        <f>_xlfn.XLOOKUP( ventas[[#This Row],[ciudad_cliente]],  ciudades[Ciudad], ciudades[Region])</f>
        <v>Valparaíso</v>
      </c>
      <c r="L1005" t="s">
        <v>29</v>
      </c>
      <c r="M1005" t="s">
        <v>23</v>
      </c>
      <c r="N1005" t="str">
        <f>_xlfn.XLOOKUP(ventas[[#This Row],[producto]], categ[Producto], categ[Categoria])</f>
        <v>Belleza</v>
      </c>
      <c r="O1005">
        <v>15000</v>
      </c>
      <c r="P1005">
        <v>3</v>
      </c>
      <c r="Q1005" s="11">
        <v>0</v>
      </c>
      <c r="R1005">
        <f>(ventas[[#This Row],[precio_unitario]]*ventas[[#This Row],[cantidad]])</f>
        <v>45000</v>
      </c>
      <c r="S1005">
        <f>ventas[[#This Row],[Total_Productos]]*ventas[[#This Row],[descuento_pct]]</f>
        <v>0</v>
      </c>
      <c r="T1005">
        <f>ventas[[#This Row],[Total_Productos]]-ventas[[#This Row],[Valor_descuento]]</f>
        <v>45000</v>
      </c>
    </row>
    <row r="1006" spans="1:20" x14ac:dyDescent="0.3">
      <c r="A1006">
        <v>463</v>
      </c>
      <c r="B1006" s="1">
        <v>45390</v>
      </c>
      <c r="C1006">
        <v>35</v>
      </c>
      <c r="D1006">
        <v>1</v>
      </c>
      <c r="E1006">
        <v>83</v>
      </c>
      <c r="F1006" t="s">
        <v>488</v>
      </c>
      <c r="G1006" t="s">
        <v>489</v>
      </c>
      <c r="H1006" t="s">
        <v>19</v>
      </c>
      <c r="I1006">
        <v>55</v>
      </c>
      <c r="J1006" t="s">
        <v>43</v>
      </c>
      <c r="K1006" t="str">
        <f>_xlfn.XLOOKUP( ventas[[#This Row],[ciudad_cliente]],  ciudades[Ciudad], ciudades[Region])</f>
        <v>Antofagasta</v>
      </c>
      <c r="L1006" t="s">
        <v>38</v>
      </c>
      <c r="M1006" t="s">
        <v>62</v>
      </c>
      <c r="N1006" t="str">
        <f>_xlfn.XLOOKUP(ventas[[#This Row],[producto]], categ[Producto], categ[Categoria])</f>
        <v>Electrohogar</v>
      </c>
      <c r="O1006">
        <v>650000</v>
      </c>
      <c r="P1006">
        <v>2</v>
      </c>
      <c r="Q1006" s="11">
        <v>0</v>
      </c>
      <c r="R1006">
        <f>(ventas[[#This Row],[precio_unitario]]*ventas[[#This Row],[cantidad]])</f>
        <v>1300000</v>
      </c>
      <c r="S1006">
        <f>ventas[[#This Row],[Total_Productos]]*ventas[[#This Row],[descuento_pct]]</f>
        <v>0</v>
      </c>
      <c r="T1006">
        <f>ventas[[#This Row],[Total_Productos]]-ventas[[#This Row],[Valor_descuento]]</f>
        <v>1300000</v>
      </c>
    </row>
    <row r="1007" spans="1:20" x14ac:dyDescent="0.3">
      <c r="A1007">
        <v>659</v>
      </c>
      <c r="B1007" s="1">
        <v>45586</v>
      </c>
      <c r="C1007">
        <v>36</v>
      </c>
      <c r="D1007">
        <v>4</v>
      </c>
      <c r="E1007">
        <v>83</v>
      </c>
      <c r="F1007" t="s">
        <v>488</v>
      </c>
      <c r="G1007" t="s">
        <v>489</v>
      </c>
      <c r="H1007" t="s">
        <v>19</v>
      </c>
      <c r="I1007">
        <v>55</v>
      </c>
      <c r="J1007" t="s">
        <v>101</v>
      </c>
      <c r="K1007" t="str">
        <f>_xlfn.XLOOKUP( ventas[[#This Row],[ciudad_cliente]],  ciudades[Ciudad], ciudades[Region])</f>
        <v>O'Higgins</v>
      </c>
      <c r="L1007" t="s">
        <v>38</v>
      </c>
      <c r="M1007" t="s">
        <v>49</v>
      </c>
      <c r="N1007" t="str">
        <f>_xlfn.XLOOKUP(ventas[[#This Row],[producto]], categ[Producto], categ[Categoria])</f>
        <v>Electrohogar</v>
      </c>
      <c r="O1007">
        <v>800000</v>
      </c>
      <c r="P1007">
        <v>2</v>
      </c>
      <c r="Q1007" s="11">
        <v>0</v>
      </c>
      <c r="R1007">
        <f>(ventas[[#This Row],[precio_unitario]]*ventas[[#This Row],[cantidad]])</f>
        <v>1600000</v>
      </c>
      <c r="S1007">
        <f>ventas[[#This Row],[Total_Productos]]*ventas[[#This Row],[descuento_pct]]</f>
        <v>0</v>
      </c>
      <c r="T1007">
        <f>ventas[[#This Row],[Total_Productos]]-ventas[[#This Row],[Valor_descuento]]</f>
        <v>1600000</v>
      </c>
    </row>
    <row r="1008" spans="1:20" x14ac:dyDescent="0.3">
      <c r="A1008">
        <v>895</v>
      </c>
      <c r="B1008" s="1">
        <v>45822</v>
      </c>
      <c r="C1008">
        <v>29</v>
      </c>
      <c r="D1008">
        <v>1</v>
      </c>
      <c r="E1008">
        <v>83</v>
      </c>
      <c r="F1008" t="s">
        <v>488</v>
      </c>
      <c r="G1008" t="s">
        <v>489</v>
      </c>
      <c r="H1008" t="s">
        <v>19</v>
      </c>
      <c r="I1008">
        <v>55</v>
      </c>
      <c r="J1008" t="s">
        <v>116</v>
      </c>
      <c r="K1008" t="str">
        <f>_xlfn.XLOOKUP( ventas[[#This Row],[ciudad_cliente]],  ciudades[Ciudad], ciudades[Region])</f>
        <v>Valparaíso</v>
      </c>
      <c r="L1008" t="s">
        <v>29</v>
      </c>
      <c r="M1008" t="s">
        <v>98</v>
      </c>
      <c r="N1008" t="str">
        <f>_xlfn.XLOOKUP(ventas[[#This Row],[producto]], categ[Producto], categ[Categoria])</f>
        <v>Calzado</v>
      </c>
      <c r="O1008">
        <v>55000</v>
      </c>
      <c r="P1008">
        <v>1</v>
      </c>
      <c r="Q1008" s="11">
        <v>0</v>
      </c>
      <c r="R1008">
        <f>(ventas[[#This Row],[precio_unitario]]*ventas[[#This Row],[cantidad]])</f>
        <v>55000</v>
      </c>
      <c r="S1008">
        <f>ventas[[#This Row],[Total_Productos]]*ventas[[#This Row],[descuento_pct]]</f>
        <v>0</v>
      </c>
      <c r="T1008">
        <f>ventas[[#This Row],[Total_Productos]]-ventas[[#This Row],[Valor_descuento]]</f>
        <v>55000</v>
      </c>
    </row>
    <row r="1009" spans="1:20" x14ac:dyDescent="0.3">
      <c r="A1009">
        <v>9</v>
      </c>
      <c r="B1009" s="1">
        <v>44936</v>
      </c>
      <c r="C1009">
        <v>60</v>
      </c>
      <c r="D1009">
        <v>1</v>
      </c>
      <c r="E1009">
        <v>255</v>
      </c>
      <c r="F1009" t="s">
        <v>54</v>
      </c>
      <c r="G1009" t="s">
        <v>55</v>
      </c>
      <c r="H1009" t="s">
        <v>19</v>
      </c>
      <c r="I1009">
        <v>19</v>
      </c>
      <c r="J1009" t="s">
        <v>37</v>
      </c>
      <c r="K1009" t="str">
        <f>_xlfn.XLOOKUP( ventas[[#This Row],[ciudad_cliente]],  ciudades[Ciudad], ciudades[Region])</f>
        <v>Valparaíso</v>
      </c>
      <c r="L1009" t="s">
        <v>29</v>
      </c>
      <c r="M1009" t="s">
        <v>56</v>
      </c>
      <c r="N1009" t="str">
        <f>_xlfn.XLOOKUP(ventas[[#This Row],[producto]], categ[Producto], categ[Categoria])</f>
        <v>Vestuario</v>
      </c>
      <c r="O1009">
        <v>25000</v>
      </c>
      <c r="P1009">
        <v>2</v>
      </c>
      <c r="Q1009" s="11">
        <v>0.1</v>
      </c>
      <c r="R1009">
        <f>(ventas[[#This Row],[precio_unitario]]*ventas[[#This Row],[cantidad]])</f>
        <v>50000</v>
      </c>
      <c r="S1009">
        <f>ventas[[#This Row],[Total_Productos]]*ventas[[#This Row],[descuento_pct]]</f>
        <v>5000</v>
      </c>
      <c r="T1009">
        <f>ventas[[#This Row],[Total_Productos]]-ventas[[#This Row],[Valor_descuento]]</f>
        <v>45000</v>
      </c>
    </row>
    <row r="1010" spans="1:20" x14ac:dyDescent="0.3">
      <c r="A1010">
        <v>52</v>
      </c>
      <c r="B1010" s="1">
        <v>44979</v>
      </c>
      <c r="C1010">
        <v>20</v>
      </c>
      <c r="D1010">
        <v>0</v>
      </c>
      <c r="E1010">
        <v>255</v>
      </c>
      <c r="F1010" t="s">
        <v>54</v>
      </c>
      <c r="G1010" t="s">
        <v>55</v>
      </c>
      <c r="H1010" t="s">
        <v>19</v>
      </c>
      <c r="I1010">
        <v>19</v>
      </c>
      <c r="J1010" t="s">
        <v>20</v>
      </c>
      <c r="K1010" t="str">
        <f>_xlfn.XLOOKUP( ventas[[#This Row],[ciudad_cliente]],  ciudades[Ciudad], ciudades[Region])</f>
        <v>La Araucanía</v>
      </c>
      <c r="L1010" t="s">
        <v>22</v>
      </c>
      <c r="M1010" t="s">
        <v>69</v>
      </c>
      <c r="N1010" t="str">
        <f>_xlfn.XLOOKUP(ventas[[#This Row],[producto]], categ[Producto], categ[Categoria])</f>
        <v>Tecnología</v>
      </c>
      <c r="O1010">
        <v>450000</v>
      </c>
      <c r="P1010">
        <v>2</v>
      </c>
      <c r="Q1010" s="11">
        <v>0.1</v>
      </c>
      <c r="R1010">
        <f>(ventas[[#This Row],[precio_unitario]]*ventas[[#This Row],[cantidad]])</f>
        <v>900000</v>
      </c>
      <c r="S1010">
        <f>ventas[[#This Row],[Total_Productos]]*ventas[[#This Row],[descuento_pct]]</f>
        <v>90000</v>
      </c>
      <c r="T1010">
        <f>ventas[[#This Row],[Total_Productos]]-ventas[[#This Row],[Valor_descuento]]</f>
        <v>810000</v>
      </c>
    </row>
    <row r="1011" spans="1:20" x14ac:dyDescent="0.3">
      <c r="A1011">
        <v>509</v>
      </c>
      <c r="B1011" s="1">
        <v>45436</v>
      </c>
      <c r="C1011">
        <v>33</v>
      </c>
      <c r="D1011">
        <v>13</v>
      </c>
      <c r="E1011">
        <v>255</v>
      </c>
      <c r="F1011" t="s">
        <v>54</v>
      </c>
      <c r="G1011" t="s">
        <v>55</v>
      </c>
      <c r="H1011" t="s">
        <v>19</v>
      </c>
      <c r="I1011">
        <v>19</v>
      </c>
      <c r="J1011" t="s">
        <v>101</v>
      </c>
      <c r="K1011" t="str">
        <f>_xlfn.XLOOKUP( ventas[[#This Row],[ciudad_cliente]],  ciudades[Ciudad], ciudades[Region])</f>
        <v>O'Higgins</v>
      </c>
      <c r="L1011" t="s">
        <v>38</v>
      </c>
      <c r="M1011" t="s">
        <v>62</v>
      </c>
      <c r="N1011" t="str">
        <f>_xlfn.XLOOKUP(ventas[[#This Row],[producto]], categ[Producto], categ[Categoria])</f>
        <v>Electrohogar</v>
      </c>
      <c r="O1011">
        <v>650000</v>
      </c>
      <c r="P1011">
        <v>3</v>
      </c>
      <c r="Q1011" s="11">
        <v>0</v>
      </c>
      <c r="R1011">
        <f>(ventas[[#This Row],[precio_unitario]]*ventas[[#This Row],[cantidad]])</f>
        <v>1950000</v>
      </c>
      <c r="S1011">
        <f>ventas[[#This Row],[Total_Productos]]*ventas[[#This Row],[descuento_pct]]</f>
        <v>0</v>
      </c>
      <c r="T1011">
        <f>ventas[[#This Row],[Total_Productos]]-ventas[[#This Row],[Valor_descuento]]</f>
        <v>1950000</v>
      </c>
    </row>
    <row r="1012" spans="1:20" x14ac:dyDescent="0.3">
      <c r="A1012">
        <v>687</v>
      </c>
      <c r="B1012" s="1">
        <v>45614</v>
      </c>
      <c r="C1012">
        <v>25</v>
      </c>
      <c r="D1012">
        <v>3</v>
      </c>
      <c r="E1012">
        <v>255</v>
      </c>
      <c r="F1012" t="s">
        <v>54</v>
      </c>
      <c r="G1012" t="s">
        <v>55</v>
      </c>
      <c r="H1012" t="s">
        <v>19</v>
      </c>
      <c r="I1012">
        <v>19</v>
      </c>
      <c r="J1012" t="s">
        <v>76</v>
      </c>
      <c r="K1012" t="str">
        <f>_xlfn.XLOOKUP( ventas[[#This Row],[ciudad_cliente]],  ciudades[Ciudad], ciudades[Region])</f>
        <v>Los Lagos</v>
      </c>
      <c r="L1012" t="s">
        <v>38</v>
      </c>
      <c r="M1012" t="s">
        <v>56</v>
      </c>
      <c r="N1012" t="str">
        <f>_xlfn.XLOOKUP(ventas[[#This Row],[producto]], categ[Producto], categ[Categoria])</f>
        <v>Vestuario</v>
      </c>
      <c r="O1012">
        <v>25000</v>
      </c>
      <c r="P1012">
        <v>2</v>
      </c>
      <c r="Q1012" s="11">
        <v>0</v>
      </c>
      <c r="R1012">
        <f>(ventas[[#This Row],[precio_unitario]]*ventas[[#This Row],[cantidad]])</f>
        <v>50000</v>
      </c>
      <c r="S1012">
        <f>ventas[[#This Row],[Total_Productos]]*ventas[[#This Row],[descuento_pct]]</f>
        <v>0</v>
      </c>
      <c r="T1012">
        <f>ventas[[#This Row],[Total_Productos]]-ventas[[#This Row],[Valor_descuento]]</f>
        <v>50000</v>
      </c>
    </row>
    <row r="1013" spans="1:20" x14ac:dyDescent="0.3">
      <c r="A1013">
        <v>99</v>
      </c>
      <c r="B1013" s="1">
        <v>45026</v>
      </c>
      <c r="C1013">
        <v>28</v>
      </c>
      <c r="D1013">
        <v>5</v>
      </c>
      <c r="E1013">
        <v>6</v>
      </c>
      <c r="F1013" t="s">
        <v>225</v>
      </c>
      <c r="G1013" t="s">
        <v>226</v>
      </c>
      <c r="H1013" t="s">
        <v>42</v>
      </c>
      <c r="I1013">
        <v>35</v>
      </c>
      <c r="J1013" t="s">
        <v>116</v>
      </c>
      <c r="K1013" t="str">
        <f>_xlfn.XLOOKUP( ventas[[#This Row],[ciudad_cliente]],  ciudades[Ciudad], ciudades[Region])</f>
        <v>Valparaíso</v>
      </c>
      <c r="L1013" t="s">
        <v>38</v>
      </c>
      <c r="M1013" t="s">
        <v>98</v>
      </c>
      <c r="N1013" t="str">
        <f>_xlfn.XLOOKUP(ventas[[#This Row],[producto]], categ[Producto], categ[Categoria])</f>
        <v>Calzado</v>
      </c>
      <c r="O1013">
        <v>55000</v>
      </c>
      <c r="P1013">
        <v>2</v>
      </c>
      <c r="Q1013" s="11">
        <v>0.05</v>
      </c>
      <c r="R1013">
        <f>(ventas[[#This Row],[precio_unitario]]*ventas[[#This Row],[cantidad]])</f>
        <v>110000</v>
      </c>
      <c r="S1013">
        <f>ventas[[#This Row],[Total_Productos]]*ventas[[#This Row],[descuento_pct]]</f>
        <v>5500</v>
      </c>
      <c r="T1013">
        <f>ventas[[#This Row],[Total_Productos]]-ventas[[#This Row],[Valor_descuento]]</f>
        <v>104500</v>
      </c>
    </row>
    <row r="1014" spans="1:20" x14ac:dyDescent="0.3">
      <c r="A1014">
        <v>453</v>
      </c>
      <c r="B1014" s="1">
        <v>45380</v>
      </c>
      <c r="C1014">
        <v>67</v>
      </c>
      <c r="D1014">
        <v>0</v>
      </c>
      <c r="E1014">
        <v>6</v>
      </c>
      <c r="F1014" t="s">
        <v>225</v>
      </c>
      <c r="G1014" t="s">
        <v>226</v>
      </c>
      <c r="H1014" t="s">
        <v>42</v>
      </c>
      <c r="I1014">
        <v>35</v>
      </c>
      <c r="J1014" t="s">
        <v>27</v>
      </c>
      <c r="K1014" t="str">
        <f>_xlfn.XLOOKUP( ventas[[#This Row],[ciudad_cliente]],  ciudades[Ciudad], ciudades[Region])</f>
        <v>Biobío</v>
      </c>
      <c r="L1014" t="s">
        <v>22</v>
      </c>
      <c r="M1014" t="s">
        <v>69</v>
      </c>
      <c r="N1014" t="str">
        <f>_xlfn.XLOOKUP(ventas[[#This Row],[producto]], categ[Producto], categ[Categoria])</f>
        <v>Tecnología</v>
      </c>
      <c r="O1014">
        <v>450000</v>
      </c>
      <c r="P1014">
        <v>3</v>
      </c>
      <c r="Q1014" s="11">
        <v>0.1</v>
      </c>
      <c r="R1014">
        <f>(ventas[[#This Row],[precio_unitario]]*ventas[[#This Row],[cantidad]])</f>
        <v>1350000</v>
      </c>
      <c r="S1014">
        <f>ventas[[#This Row],[Total_Productos]]*ventas[[#This Row],[descuento_pct]]</f>
        <v>135000</v>
      </c>
      <c r="T1014">
        <f>ventas[[#This Row],[Total_Productos]]-ventas[[#This Row],[Valor_descuento]]</f>
        <v>1215000</v>
      </c>
    </row>
    <row r="1015" spans="1:20" x14ac:dyDescent="0.3">
      <c r="A1015">
        <v>453</v>
      </c>
      <c r="B1015" s="1">
        <v>45380</v>
      </c>
      <c r="C1015">
        <v>67</v>
      </c>
      <c r="D1015">
        <v>0</v>
      </c>
      <c r="E1015">
        <v>6</v>
      </c>
      <c r="F1015" t="s">
        <v>225</v>
      </c>
      <c r="G1015" t="s">
        <v>226</v>
      </c>
      <c r="H1015" t="s">
        <v>42</v>
      </c>
      <c r="I1015">
        <v>35</v>
      </c>
      <c r="J1015" t="s">
        <v>27</v>
      </c>
      <c r="K1015" t="str">
        <f>_xlfn.XLOOKUP( ventas[[#This Row],[ciudad_cliente]],  ciudades[Ciudad], ciudades[Region])</f>
        <v>Biobío</v>
      </c>
      <c r="L1015" t="s">
        <v>22</v>
      </c>
      <c r="M1015" t="s">
        <v>69</v>
      </c>
      <c r="N1015" t="str">
        <f>_xlfn.XLOOKUP(ventas[[#This Row],[producto]], categ[Producto], categ[Categoria])</f>
        <v>Tecnología</v>
      </c>
      <c r="O1015">
        <v>450000</v>
      </c>
      <c r="P1015">
        <v>3</v>
      </c>
      <c r="Q1015" s="11">
        <v>0.1</v>
      </c>
      <c r="R1015">
        <f>(ventas[[#This Row],[precio_unitario]]*ventas[[#This Row],[cantidad]])</f>
        <v>1350000</v>
      </c>
      <c r="S1015">
        <f>ventas[[#This Row],[Total_Productos]]*ventas[[#This Row],[descuento_pct]]</f>
        <v>135000</v>
      </c>
      <c r="T1015">
        <f>ventas[[#This Row],[Total_Productos]]-ventas[[#This Row],[Valor_descuento]]</f>
        <v>1215000</v>
      </c>
    </row>
    <row r="1016" spans="1:20" x14ac:dyDescent="0.3">
      <c r="A1016">
        <v>712</v>
      </c>
      <c r="B1016" s="1">
        <v>45639</v>
      </c>
      <c r="C1016">
        <v>39</v>
      </c>
      <c r="D1016">
        <v>6</v>
      </c>
      <c r="E1016">
        <v>6</v>
      </c>
      <c r="F1016" t="s">
        <v>225</v>
      </c>
      <c r="G1016" t="s">
        <v>226</v>
      </c>
      <c r="H1016" t="s">
        <v>42</v>
      </c>
      <c r="I1016">
        <v>35</v>
      </c>
      <c r="J1016" t="s">
        <v>43</v>
      </c>
      <c r="K1016" t="str">
        <f>_xlfn.XLOOKUP( ventas[[#This Row],[ciudad_cliente]],  ciudades[Ciudad], ciudades[Region])</f>
        <v>Antofagasta</v>
      </c>
      <c r="L1016" t="s">
        <v>22</v>
      </c>
      <c r="M1016" t="s">
        <v>46</v>
      </c>
      <c r="N1016" t="str">
        <f>_xlfn.XLOOKUP(ventas[[#This Row],[producto]], categ[Producto], categ[Categoria])</f>
        <v>Tecnología</v>
      </c>
      <c r="O1016">
        <v>750000</v>
      </c>
      <c r="P1016">
        <v>3</v>
      </c>
      <c r="Q1016" s="11">
        <v>0</v>
      </c>
      <c r="R1016">
        <f>(ventas[[#This Row],[precio_unitario]]*ventas[[#This Row],[cantidad]])</f>
        <v>2250000</v>
      </c>
      <c r="S1016">
        <f>ventas[[#This Row],[Total_Productos]]*ventas[[#This Row],[descuento_pct]]</f>
        <v>0</v>
      </c>
      <c r="T1016">
        <f>ventas[[#This Row],[Total_Productos]]-ventas[[#This Row],[Valor_descuento]]</f>
        <v>2250000</v>
      </c>
    </row>
    <row r="1017" spans="1:20" x14ac:dyDescent="0.3">
      <c r="A1017">
        <v>149</v>
      </c>
      <c r="B1017" s="1">
        <v>45076</v>
      </c>
      <c r="C1017">
        <v>25</v>
      </c>
      <c r="D1017">
        <v>3</v>
      </c>
      <c r="E1017">
        <v>185</v>
      </c>
      <c r="F1017" t="s">
        <v>288</v>
      </c>
      <c r="G1017" t="s">
        <v>289</v>
      </c>
      <c r="H1017" t="s">
        <v>19</v>
      </c>
      <c r="I1017">
        <v>35</v>
      </c>
      <c r="J1017" t="s">
        <v>76</v>
      </c>
      <c r="K1017" t="str">
        <f>_xlfn.XLOOKUP( ventas[[#This Row],[ciudad_cliente]],  ciudades[Ciudad], ciudades[Region])</f>
        <v>Los Lagos</v>
      </c>
      <c r="L1017" t="s">
        <v>29</v>
      </c>
      <c r="M1017" t="s">
        <v>102</v>
      </c>
      <c r="N1017" t="str">
        <f>_xlfn.XLOOKUP(ventas[[#This Row],[producto]], categ[Producto], categ[Categoria])</f>
        <v>Vestuario</v>
      </c>
      <c r="O1017">
        <v>12000</v>
      </c>
      <c r="P1017">
        <v>1</v>
      </c>
      <c r="Q1017" s="11">
        <v>0</v>
      </c>
      <c r="R1017">
        <f>(ventas[[#This Row],[precio_unitario]]*ventas[[#This Row],[cantidad]])</f>
        <v>12000</v>
      </c>
      <c r="S1017">
        <f>ventas[[#This Row],[Total_Productos]]*ventas[[#This Row],[descuento_pct]]</f>
        <v>0</v>
      </c>
      <c r="T1017">
        <f>ventas[[#This Row],[Total_Productos]]-ventas[[#This Row],[Valor_descuento]]</f>
        <v>12000</v>
      </c>
    </row>
    <row r="1018" spans="1:20" x14ac:dyDescent="0.3">
      <c r="A1018">
        <v>438</v>
      </c>
      <c r="B1018" s="1">
        <v>45365</v>
      </c>
      <c r="C1018">
        <v>27</v>
      </c>
      <c r="D1018">
        <v>4</v>
      </c>
      <c r="E1018">
        <v>185</v>
      </c>
      <c r="F1018" t="s">
        <v>288</v>
      </c>
      <c r="G1018" t="s">
        <v>289</v>
      </c>
      <c r="H1018" t="s">
        <v>19</v>
      </c>
      <c r="I1018">
        <v>35</v>
      </c>
      <c r="J1018" t="s">
        <v>116</v>
      </c>
      <c r="K1018" t="str">
        <f>_xlfn.XLOOKUP( ventas[[#This Row],[ciudad_cliente]],  ciudades[Ciudad], ciudades[Region])</f>
        <v>Valparaíso</v>
      </c>
      <c r="L1018" t="s">
        <v>38</v>
      </c>
      <c r="M1018" t="s">
        <v>62</v>
      </c>
      <c r="N1018" t="str">
        <f>_xlfn.XLOOKUP(ventas[[#This Row],[producto]], categ[Producto], categ[Categoria])</f>
        <v>Electrohogar</v>
      </c>
      <c r="O1018">
        <v>650000</v>
      </c>
      <c r="P1018">
        <v>3</v>
      </c>
      <c r="Q1018" s="11">
        <v>0.1</v>
      </c>
      <c r="R1018">
        <f>(ventas[[#This Row],[precio_unitario]]*ventas[[#This Row],[cantidad]])</f>
        <v>1950000</v>
      </c>
      <c r="S1018">
        <f>ventas[[#This Row],[Total_Productos]]*ventas[[#This Row],[descuento_pct]]</f>
        <v>195000</v>
      </c>
      <c r="T1018">
        <f>ventas[[#This Row],[Total_Productos]]-ventas[[#This Row],[Valor_descuento]]</f>
        <v>1755000</v>
      </c>
    </row>
    <row r="1019" spans="1:20" x14ac:dyDescent="0.3">
      <c r="A1019">
        <v>730</v>
      </c>
      <c r="B1019" s="1">
        <v>45657</v>
      </c>
      <c r="C1019">
        <v>37</v>
      </c>
      <c r="D1019">
        <v>1</v>
      </c>
      <c r="E1019">
        <v>185</v>
      </c>
      <c r="F1019" t="s">
        <v>288</v>
      </c>
      <c r="G1019" t="s">
        <v>289</v>
      </c>
      <c r="H1019" t="s">
        <v>19</v>
      </c>
      <c r="I1019">
        <v>35</v>
      </c>
      <c r="J1019" t="s">
        <v>116</v>
      </c>
      <c r="K1019" t="str">
        <f>_xlfn.XLOOKUP( ventas[[#This Row],[ciudad_cliente]],  ciudades[Ciudad], ciudades[Region])</f>
        <v>Valparaíso</v>
      </c>
      <c r="L1019" t="s">
        <v>38</v>
      </c>
      <c r="M1019" t="s">
        <v>30</v>
      </c>
      <c r="N1019" t="str">
        <f>_xlfn.XLOOKUP(ventas[[#This Row],[producto]], categ[Producto], categ[Categoria])</f>
        <v>Electrohogar</v>
      </c>
      <c r="O1019">
        <v>700000</v>
      </c>
      <c r="P1019">
        <v>3</v>
      </c>
      <c r="Q1019" s="11">
        <v>0.1</v>
      </c>
      <c r="R1019">
        <f>(ventas[[#This Row],[precio_unitario]]*ventas[[#This Row],[cantidad]])</f>
        <v>2100000</v>
      </c>
      <c r="S1019">
        <f>ventas[[#This Row],[Total_Productos]]*ventas[[#This Row],[descuento_pct]]</f>
        <v>210000</v>
      </c>
      <c r="T1019">
        <f>ventas[[#This Row],[Total_Productos]]-ventas[[#This Row],[Valor_descuento]]</f>
        <v>1890000</v>
      </c>
    </row>
    <row r="1020" spans="1:20" x14ac:dyDescent="0.3">
      <c r="A1020">
        <v>862</v>
      </c>
      <c r="B1020" s="1">
        <v>45789</v>
      </c>
      <c r="C1020">
        <v>41</v>
      </c>
      <c r="D1020">
        <v>4</v>
      </c>
      <c r="E1020">
        <v>185</v>
      </c>
      <c r="F1020" t="s">
        <v>288</v>
      </c>
      <c r="G1020" t="s">
        <v>289</v>
      </c>
      <c r="H1020" t="s">
        <v>19</v>
      </c>
      <c r="I1020">
        <v>35</v>
      </c>
      <c r="J1020" t="s">
        <v>43</v>
      </c>
      <c r="K1020" t="str">
        <f>_xlfn.XLOOKUP( ventas[[#This Row],[ciudad_cliente]],  ciudades[Ciudad], ciudades[Region])</f>
        <v>Antofagasta</v>
      </c>
      <c r="L1020" t="s">
        <v>22</v>
      </c>
      <c r="M1020" t="s">
        <v>30</v>
      </c>
      <c r="N1020" t="str">
        <f>_xlfn.XLOOKUP(ventas[[#This Row],[producto]], categ[Producto], categ[Categoria])</f>
        <v>Electrohogar</v>
      </c>
      <c r="O1020">
        <v>700000</v>
      </c>
      <c r="P1020">
        <v>2</v>
      </c>
      <c r="Q1020" s="11">
        <v>0</v>
      </c>
      <c r="R1020">
        <f>(ventas[[#This Row],[precio_unitario]]*ventas[[#This Row],[cantidad]])</f>
        <v>1400000</v>
      </c>
      <c r="S1020">
        <f>ventas[[#This Row],[Total_Productos]]*ventas[[#This Row],[descuento_pct]]</f>
        <v>0</v>
      </c>
      <c r="T1020">
        <f>ventas[[#This Row],[Total_Productos]]-ventas[[#This Row],[Valor_descuento]]</f>
        <v>1400000</v>
      </c>
    </row>
    <row r="1021" spans="1:20" x14ac:dyDescent="0.3">
      <c r="A1021">
        <v>958</v>
      </c>
      <c r="B1021" s="1">
        <v>45885</v>
      </c>
      <c r="C1021">
        <v>52</v>
      </c>
      <c r="D1021">
        <v>0</v>
      </c>
      <c r="E1021">
        <v>185</v>
      </c>
      <c r="F1021" t="s">
        <v>288</v>
      </c>
      <c r="G1021" t="s">
        <v>289</v>
      </c>
      <c r="H1021" t="s">
        <v>19</v>
      </c>
      <c r="I1021">
        <v>35</v>
      </c>
      <c r="J1021" t="s">
        <v>27</v>
      </c>
      <c r="K1021" t="str">
        <f>_xlfn.XLOOKUP( ventas[[#This Row],[ciudad_cliente]],  ciudades[Ciudad], ciudades[Region])</f>
        <v>Biobío</v>
      </c>
      <c r="L1021" t="s">
        <v>22</v>
      </c>
      <c r="M1021" t="s">
        <v>69</v>
      </c>
      <c r="N1021" t="str">
        <f>_xlfn.XLOOKUP(ventas[[#This Row],[producto]], categ[Producto], categ[Categoria])</f>
        <v>Tecnología</v>
      </c>
      <c r="O1021">
        <v>450000</v>
      </c>
      <c r="P1021">
        <v>3</v>
      </c>
      <c r="Q1021" s="11">
        <v>0.05</v>
      </c>
      <c r="R1021">
        <f>(ventas[[#This Row],[precio_unitario]]*ventas[[#This Row],[cantidad]])</f>
        <v>1350000</v>
      </c>
      <c r="S1021">
        <f>ventas[[#This Row],[Total_Productos]]*ventas[[#This Row],[descuento_pct]]</f>
        <v>67500</v>
      </c>
      <c r="T1021">
        <f>ventas[[#This Row],[Total_Productos]]-ventas[[#This Row],[Valor_descuento]]</f>
        <v>1282500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5CBD-4DC9-4471-BA17-25E6F3E1B5B4}">
  <dimension ref="B1:V79"/>
  <sheetViews>
    <sheetView workbookViewId="0">
      <selection activeCell="P44" sqref="P44"/>
    </sheetView>
  </sheetViews>
  <sheetFormatPr baseColWidth="10" defaultRowHeight="14.4" x14ac:dyDescent="0.3"/>
  <cols>
    <col min="2" max="2" width="34.21875" bestFit="1" customWidth="1"/>
    <col min="3" max="3" width="16.5546875" customWidth="1"/>
    <col min="4" max="4" width="16.21875" customWidth="1"/>
    <col min="5" max="5" width="10" bestFit="1" customWidth="1"/>
    <col min="12" max="12" width="21.5546875" bestFit="1" customWidth="1"/>
    <col min="13" max="13" width="21.21875" bestFit="1" customWidth="1"/>
    <col min="14" max="15" width="10" bestFit="1" customWidth="1"/>
    <col min="16" max="16" width="15" bestFit="1" customWidth="1"/>
    <col min="17" max="17" width="11.5546875" customWidth="1"/>
    <col min="18" max="18" width="16.109375" customWidth="1"/>
    <col min="19" max="19" width="12.88671875" customWidth="1"/>
    <col min="20" max="21" width="10" bestFit="1" customWidth="1"/>
    <col min="22" max="22" width="11.5546875" bestFit="1" customWidth="1"/>
    <col min="23" max="23" width="9" bestFit="1" customWidth="1"/>
    <col min="24" max="24" width="10" bestFit="1" customWidth="1"/>
    <col min="27" max="27" width="19" bestFit="1" customWidth="1"/>
    <col min="28" max="28" width="15.77734375" customWidth="1"/>
    <col min="29" max="30" width="10" bestFit="1" customWidth="1"/>
  </cols>
  <sheetData>
    <row r="1" spans="2:4" ht="15" thickBot="1" x14ac:dyDescent="0.35"/>
    <row r="2" spans="2:4" ht="15" thickBot="1" x14ac:dyDescent="0.35">
      <c r="B2" s="74" t="s">
        <v>653</v>
      </c>
      <c r="C2" s="75"/>
    </row>
    <row r="3" spans="2:4" x14ac:dyDescent="0.3">
      <c r="B3" s="12" t="s">
        <v>657</v>
      </c>
      <c r="C3" s="14">
        <f>SUM(H79:J79)</f>
        <v>735149500</v>
      </c>
    </row>
    <row r="4" spans="2:4" x14ac:dyDescent="0.3">
      <c r="B4" s="13" t="s">
        <v>654</v>
      </c>
      <c r="C4" s="15">
        <f>GETPIVOTDATA("Total_ventas",$R$41,"Años (fecha_venta)",2023)</f>
        <v>285222400</v>
      </c>
    </row>
    <row r="5" spans="2:4" x14ac:dyDescent="0.3">
      <c r="B5" s="13" t="s">
        <v>655</v>
      </c>
      <c r="C5" s="15">
        <f>GETPIVOTDATA("Total_ventas",$R$41,"Años (fecha_venta)",2024)</f>
        <v>249972400</v>
      </c>
    </row>
    <row r="6" spans="2:4" ht="15" thickBot="1" x14ac:dyDescent="0.35">
      <c r="B6" s="13" t="s">
        <v>656</v>
      </c>
      <c r="C6" s="15">
        <f>GETPIVOTDATA("Total_ventas",$R$41,"Años (fecha_venta)",2025)</f>
        <v>199954700</v>
      </c>
    </row>
    <row r="7" spans="2:4" ht="15" thickBot="1" x14ac:dyDescent="0.35">
      <c r="B7" s="16" t="s">
        <v>658</v>
      </c>
      <c r="C7" s="18" t="str">
        <f>_xlfn.XLOOKUP(D7,V43:V54, R43:R54)</f>
        <v>jun</v>
      </c>
      <c r="D7" s="17">
        <f>MAX(V43:V54)</f>
        <v>74175200</v>
      </c>
    </row>
    <row r="8" spans="2:4" ht="15" thickBot="1" x14ac:dyDescent="0.35">
      <c r="B8" s="16" t="s">
        <v>659</v>
      </c>
      <c r="C8" s="18" t="str">
        <f>_xlfn.XLOOKUP(D8,H79:J79, H42:J42)</f>
        <v>Tienda</v>
      </c>
      <c r="D8" s="17">
        <f>MAX(H79:J79)</f>
        <v>342168800</v>
      </c>
    </row>
    <row r="9" spans="2:4" ht="15" thickBot="1" x14ac:dyDescent="0.35">
      <c r="B9" s="16" t="s">
        <v>660</v>
      </c>
      <c r="C9" s="18" t="str">
        <f>_xlfn.XLOOKUP(D9,P43:P50, L43:L50)</f>
        <v>Biobío</v>
      </c>
      <c r="D9" s="17">
        <f>MAX(P43:P50)</f>
        <v>185617200</v>
      </c>
    </row>
    <row r="41" spans="2:22" ht="28.8" x14ac:dyDescent="0.3">
      <c r="B41" s="2" t="s">
        <v>652</v>
      </c>
      <c r="C41" s="7" t="s">
        <v>621</v>
      </c>
      <c r="G41" s="2" t="s">
        <v>647</v>
      </c>
      <c r="H41" s="2" t="s">
        <v>621</v>
      </c>
      <c r="L41" s="2" t="s">
        <v>651</v>
      </c>
      <c r="M41" s="2" t="s">
        <v>621</v>
      </c>
      <c r="R41" s="2" t="s">
        <v>650</v>
      </c>
      <c r="S41" s="2" t="s">
        <v>621</v>
      </c>
    </row>
    <row r="42" spans="2:22" x14ac:dyDescent="0.3">
      <c r="B42" s="2" t="s">
        <v>606</v>
      </c>
      <c r="C42" t="s">
        <v>630</v>
      </c>
      <c r="G42" s="2" t="s">
        <v>606</v>
      </c>
      <c r="H42" t="s">
        <v>29</v>
      </c>
      <c r="I42" t="s">
        <v>38</v>
      </c>
      <c r="J42" t="s">
        <v>22</v>
      </c>
      <c r="L42" s="2" t="s">
        <v>606</v>
      </c>
      <c r="M42" t="s">
        <v>628</v>
      </c>
      <c r="N42" t="s">
        <v>629</v>
      </c>
      <c r="O42" t="s">
        <v>630</v>
      </c>
      <c r="P42" t="s">
        <v>620</v>
      </c>
      <c r="R42" s="2" t="s">
        <v>606</v>
      </c>
      <c r="S42" t="s">
        <v>628</v>
      </c>
      <c r="T42" t="s">
        <v>629</v>
      </c>
      <c r="U42" t="s">
        <v>630</v>
      </c>
      <c r="V42" t="s">
        <v>620</v>
      </c>
    </row>
    <row r="43" spans="2:22" x14ac:dyDescent="0.3">
      <c r="B43" s="3" t="s">
        <v>24</v>
      </c>
      <c r="C43" s="92">
        <v>2651000</v>
      </c>
      <c r="G43" s="3" t="s">
        <v>628</v>
      </c>
      <c r="H43">
        <v>57559200</v>
      </c>
      <c r="I43">
        <v>120762550</v>
      </c>
      <c r="J43">
        <v>106900650</v>
      </c>
      <c r="L43" s="3" t="s">
        <v>43</v>
      </c>
      <c r="M43">
        <v>28579400</v>
      </c>
      <c r="N43">
        <v>29392800</v>
      </c>
      <c r="O43">
        <v>28200050</v>
      </c>
      <c r="P43" s="93">
        <v>86172250</v>
      </c>
      <c r="R43" s="3" t="s">
        <v>631</v>
      </c>
      <c r="S43">
        <v>22217500</v>
      </c>
      <c r="T43">
        <v>19252550</v>
      </c>
      <c r="U43">
        <v>23598700</v>
      </c>
      <c r="V43">
        <v>65068750</v>
      </c>
    </row>
    <row r="44" spans="2:22" x14ac:dyDescent="0.3">
      <c r="B44" s="3" t="s">
        <v>152</v>
      </c>
      <c r="C44" s="92">
        <v>1817750</v>
      </c>
      <c r="G44" s="4" t="s">
        <v>631</v>
      </c>
      <c r="H44">
        <v>3596000</v>
      </c>
      <c r="I44">
        <v>5204000</v>
      </c>
      <c r="J44">
        <v>13417500</v>
      </c>
      <c r="L44" s="3" t="s">
        <v>28</v>
      </c>
      <c r="M44">
        <v>74842050</v>
      </c>
      <c r="N44">
        <v>67315500</v>
      </c>
      <c r="O44">
        <v>43459650</v>
      </c>
      <c r="P44" s="93">
        <v>185617200</v>
      </c>
      <c r="R44" s="3" t="s">
        <v>632</v>
      </c>
      <c r="S44">
        <v>23601400</v>
      </c>
      <c r="T44">
        <v>17834800</v>
      </c>
      <c r="U44">
        <v>19288150</v>
      </c>
      <c r="V44">
        <v>60724350</v>
      </c>
    </row>
    <row r="45" spans="2:22" x14ac:dyDescent="0.3">
      <c r="B45" s="3" t="s">
        <v>31</v>
      </c>
      <c r="C45" s="92">
        <v>114410000</v>
      </c>
      <c r="G45" s="4" t="s">
        <v>632</v>
      </c>
      <c r="H45">
        <v>4961750</v>
      </c>
      <c r="I45">
        <v>10419100</v>
      </c>
      <c r="J45">
        <v>8220550</v>
      </c>
      <c r="L45" s="3" t="s">
        <v>85</v>
      </c>
      <c r="M45">
        <v>6334600</v>
      </c>
      <c r="N45">
        <v>4489500</v>
      </c>
      <c r="O45">
        <v>1812400</v>
      </c>
      <c r="P45" s="93">
        <v>12636500</v>
      </c>
      <c r="R45" s="3" t="s">
        <v>633</v>
      </c>
      <c r="S45">
        <v>26457450</v>
      </c>
      <c r="T45">
        <v>19164100</v>
      </c>
      <c r="U45">
        <v>25127750</v>
      </c>
      <c r="V45">
        <v>70749300</v>
      </c>
    </row>
    <row r="46" spans="2:22" x14ac:dyDescent="0.3">
      <c r="B46" s="3" t="s">
        <v>53</v>
      </c>
      <c r="C46" s="92">
        <v>78832500</v>
      </c>
      <c r="G46" s="4" t="s">
        <v>633</v>
      </c>
      <c r="H46">
        <v>12378150</v>
      </c>
      <c r="I46">
        <v>11560800</v>
      </c>
      <c r="J46">
        <v>2518500</v>
      </c>
      <c r="L46" s="3" t="s">
        <v>21</v>
      </c>
      <c r="M46">
        <v>29956600</v>
      </c>
      <c r="N46">
        <v>12705450</v>
      </c>
      <c r="O46">
        <v>12381150</v>
      </c>
      <c r="P46" s="93">
        <v>55043200</v>
      </c>
      <c r="R46" s="3" t="s">
        <v>634</v>
      </c>
      <c r="S46">
        <v>17952900</v>
      </c>
      <c r="T46">
        <v>19126950</v>
      </c>
      <c r="U46">
        <v>18962400</v>
      </c>
      <c r="V46">
        <v>56042250</v>
      </c>
    </row>
    <row r="47" spans="2:22" x14ac:dyDescent="0.3">
      <c r="B47" s="3" t="s">
        <v>57</v>
      </c>
      <c r="C47" s="92">
        <v>2243450</v>
      </c>
      <c r="G47" s="4" t="s">
        <v>634</v>
      </c>
      <c r="H47">
        <v>230500</v>
      </c>
      <c r="I47">
        <v>7423900</v>
      </c>
      <c r="J47">
        <v>10298500</v>
      </c>
      <c r="L47" s="3" t="s">
        <v>77</v>
      </c>
      <c r="M47">
        <v>37775950</v>
      </c>
      <c r="N47">
        <v>23198800</v>
      </c>
      <c r="O47">
        <v>23540400</v>
      </c>
      <c r="P47" s="93">
        <v>84515150</v>
      </c>
      <c r="R47" s="3" t="s">
        <v>635</v>
      </c>
      <c r="S47">
        <v>22397750</v>
      </c>
      <c r="T47">
        <v>22139150</v>
      </c>
      <c r="U47">
        <v>21490000</v>
      </c>
      <c r="V47">
        <v>66026900</v>
      </c>
    </row>
    <row r="48" spans="2:22" x14ac:dyDescent="0.3">
      <c r="B48" s="3" t="s">
        <v>620</v>
      </c>
      <c r="C48" s="92">
        <v>199954700</v>
      </c>
      <c r="G48" s="4" t="s">
        <v>635</v>
      </c>
      <c r="H48">
        <v>5337500</v>
      </c>
      <c r="I48">
        <v>11123650</v>
      </c>
      <c r="J48">
        <v>5936600</v>
      </c>
      <c r="L48" s="3" t="s">
        <v>273</v>
      </c>
      <c r="M48">
        <v>31618750</v>
      </c>
      <c r="N48">
        <v>18108750</v>
      </c>
      <c r="O48">
        <v>20670500</v>
      </c>
      <c r="P48" s="93">
        <v>70398000</v>
      </c>
      <c r="R48" s="3" t="s">
        <v>636</v>
      </c>
      <c r="S48">
        <v>25975450</v>
      </c>
      <c r="T48">
        <v>28804750</v>
      </c>
      <c r="U48">
        <v>19395000</v>
      </c>
      <c r="V48">
        <v>74175200</v>
      </c>
    </row>
    <row r="49" spans="7:22" x14ac:dyDescent="0.3">
      <c r="G49" s="4" t="s">
        <v>636</v>
      </c>
      <c r="H49">
        <v>2195000</v>
      </c>
      <c r="I49">
        <v>13001600</v>
      </c>
      <c r="J49">
        <v>10778850</v>
      </c>
      <c r="L49" s="3" t="s">
        <v>109</v>
      </c>
      <c r="M49">
        <v>26349200</v>
      </c>
      <c r="N49">
        <v>30579450</v>
      </c>
      <c r="O49">
        <v>27975300</v>
      </c>
      <c r="P49" s="93">
        <v>84903950</v>
      </c>
      <c r="R49" s="3" t="s">
        <v>637</v>
      </c>
      <c r="S49">
        <v>20247600</v>
      </c>
      <c r="T49">
        <v>14802450</v>
      </c>
      <c r="U49">
        <v>25164800</v>
      </c>
      <c r="V49">
        <v>60214850</v>
      </c>
    </row>
    <row r="50" spans="7:22" x14ac:dyDescent="0.3">
      <c r="G50" s="4" t="s">
        <v>637</v>
      </c>
      <c r="H50">
        <v>1605000</v>
      </c>
      <c r="I50">
        <v>10709500</v>
      </c>
      <c r="J50">
        <v>7933100</v>
      </c>
      <c r="L50" s="3" t="s">
        <v>37</v>
      </c>
      <c r="M50">
        <v>49765850</v>
      </c>
      <c r="N50">
        <v>64182150</v>
      </c>
      <c r="O50">
        <v>41915250</v>
      </c>
      <c r="P50" s="93">
        <v>155863250</v>
      </c>
      <c r="R50" s="3" t="s">
        <v>638</v>
      </c>
      <c r="S50">
        <v>24451950</v>
      </c>
      <c r="T50">
        <v>21193400</v>
      </c>
      <c r="U50">
        <v>25039150</v>
      </c>
      <c r="V50">
        <v>70684500</v>
      </c>
    </row>
    <row r="51" spans="7:22" x14ac:dyDescent="0.3">
      <c r="G51" s="4" t="s">
        <v>638</v>
      </c>
      <c r="H51">
        <v>2042500</v>
      </c>
      <c r="I51">
        <v>11653700</v>
      </c>
      <c r="J51">
        <v>10755750</v>
      </c>
      <c r="L51" s="3" t="s">
        <v>620</v>
      </c>
      <c r="M51">
        <v>285222400</v>
      </c>
      <c r="N51">
        <v>249972400</v>
      </c>
      <c r="O51">
        <v>199954700</v>
      </c>
      <c r="P51">
        <v>735149500</v>
      </c>
      <c r="R51" s="3" t="s">
        <v>639</v>
      </c>
      <c r="S51">
        <v>29208450</v>
      </c>
      <c r="T51">
        <v>14503150</v>
      </c>
      <c r="U51">
        <v>21888750</v>
      </c>
      <c r="V51">
        <v>65600350</v>
      </c>
    </row>
    <row r="52" spans="7:22" x14ac:dyDescent="0.3">
      <c r="G52" s="4" t="s">
        <v>639</v>
      </c>
      <c r="H52">
        <v>11580250</v>
      </c>
      <c r="I52">
        <v>5884000</v>
      </c>
      <c r="J52">
        <v>11744200</v>
      </c>
      <c r="R52" s="3" t="s">
        <v>640</v>
      </c>
      <c r="S52">
        <v>17798850</v>
      </c>
      <c r="T52">
        <v>23258550</v>
      </c>
      <c r="V52">
        <v>41057400</v>
      </c>
    </row>
    <row r="53" spans="7:22" x14ac:dyDescent="0.3">
      <c r="G53" s="4" t="s">
        <v>640</v>
      </c>
      <c r="H53">
        <v>1374750</v>
      </c>
      <c r="I53">
        <v>8958800</v>
      </c>
      <c r="J53">
        <v>7465300</v>
      </c>
      <c r="R53" s="3" t="s">
        <v>641</v>
      </c>
      <c r="S53">
        <v>28602500</v>
      </c>
      <c r="T53">
        <v>22326300</v>
      </c>
      <c r="V53">
        <v>50928800</v>
      </c>
    </row>
    <row r="54" spans="7:22" x14ac:dyDescent="0.3">
      <c r="G54" s="4" t="s">
        <v>641</v>
      </c>
      <c r="H54">
        <v>9809500</v>
      </c>
      <c r="I54">
        <v>13038000</v>
      </c>
      <c r="J54">
        <v>5755000</v>
      </c>
      <c r="R54" s="3" t="s">
        <v>642</v>
      </c>
      <c r="S54">
        <v>26310600</v>
      </c>
      <c r="T54">
        <v>27566250</v>
      </c>
      <c r="V54">
        <v>53876850</v>
      </c>
    </row>
    <row r="55" spans="7:22" x14ac:dyDescent="0.3">
      <c r="G55" s="4" t="s">
        <v>642</v>
      </c>
      <c r="H55">
        <v>2448300</v>
      </c>
      <c r="I55">
        <v>11785500</v>
      </c>
      <c r="J55">
        <v>12076800</v>
      </c>
      <c r="R55" s="3" t="s">
        <v>620</v>
      </c>
      <c r="S55">
        <v>285222400</v>
      </c>
      <c r="T55">
        <v>249972400</v>
      </c>
      <c r="U55">
        <v>199954700</v>
      </c>
      <c r="V55">
        <v>735149500</v>
      </c>
    </row>
    <row r="56" spans="7:22" x14ac:dyDescent="0.3">
      <c r="G56" s="3" t="s">
        <v>629</v>
      </c>
      <c r="H56">
        <v>47868550</v>
      </c>
      <c r="I56">
        <v>128856150</v>
      </c>
      <c r="J56">
        <v>73247700</v>
      </c>
    </row>
    <row r="57" spans="7:22" x14ac:dyDescent="0.3">
      <c r="G57" s="4" t="s">
        <v>631</v>
      </c>
      <c r="H57">
        <v>201500</v>
      </c>
      <c r="I57">
        <v>13521250</v>
      </c>
      <c r="J57">
        <v>5529800</v>
      </c>
    </row>
    <row r="58" spans="7:22" x14ac:dyDescent="0.3">
      <c r="G58" s="4" t="s">
        <v>632</v>
      </c>
      <c r="H58">
        <v>4439250</v>
      </c>
      <c r="I58">
        <v>4230550</v>
      </c>
      <c r="J58">
        <v>9165000</v>
      </c>
    </row>
    <row r="59" spans="7:22" x14ac:dyDescent="0.3">
      <c r="G59" s="4" t="s">
        <v>633</v>
      </c>
      <c r="H59">
        <v>5770000</v>
      </c>
      <c r="I59">
        <v>10010000</v>
      </c>
      <c r="J59">
        <v>3384100</v>
      </c>
    </row>
    <row r="60" spans="7:22" x14ac:dyDescent="0.3">
      <c r="G60" s="4" t="s">
        <v>634</v>
      </c>
      <c r="H60">
        <v>3735000</v>
      </c>
      <c r="I60">
        <v>9657850</v>
      </c>
      <c r="J60">
        <v>5734100</v>
      </c>
    </row>
    <row r="61" spans="7:22" x14ac:dyDescent="0.3">
      <c r="G61" s="4" t="s">
        <v>635</v>
      </c>
      <c r="H61">
        <v>272500</v>
      </c>
      <c r="I61">
        <v>19434900</v>
      </c>
      <c r="J61">
        <v>2431750</v>
      </c>
    </row>
    <row r="62" spans="7:22" x14ac:dyDescent="0.3">
      <c r="G62" s="4" t="s">
        <v>636</v>
      </c>
      <c r="H62">
        <v>6283000</v>
      </c>
      <c r="I62">
        <v>13664250</v>
      </c>
      <c r="J62">
        <v>8857500</v>
      </c>
    </row>
    <row r="63" spans="7:22" x14ac:dyDescent="0.3">
      <c r="G63" s="4" t="s">
        <v>637</v>
      </c>
      <c r="H63">
        <v>2608250</v>
      </c>
      <c r="I63">
        <v>10289000</v>
      </c>
      <c r="J63">
        <v>1905200</v>
      </c>
    </row>
    <row r="64" spans="7:22" x14ac:dyDescent="0.3">
      <c r="G64" s="4" t="s">
        <v>638</v>
      </c>
      <c r="H64">
        <v>8386900</v>
      </c>
      <c r="I64">
        <v>8908800</v>
      </c>
      <c r="J64">
        <v>3897700</v>
      </c>
    </row>
    <row r="65" spans="7:10" x14ac:dyDescent="0.3">
      <c r="G65" s="4" t="s">
        <v>639</v>
      </c>
      <c r="H65">
        <v>4536500</v>
      </c>
      <c r="I65">
        <v>4660000</v>
      </c>
      <c r="J65">
        <v>5306650</v>
      </c>
    </row>
    <row r="66" spans="7:10" x14ac:dyDescent="0.3">
      <c r="G66" s="4" t="s">
        <v>640</v>
      </c>
      <c r="H66">
        <v>4017000</v>
      </c>
      <c r="I66">
        <v>7000050</v>
      </c>
      <c r="J66">
        <v>12241500</v>
      </c>
    </row>
    <row r="67" spans="7:10" x14ac:dyDescent="0.3">
      <c r="G67" s="4" t="s">
        <v>641</v>
      </c>
      <c r="H67">
        <v>7511400</v>
      </c>
      <c r="I67">
        <v>10519500</v>
      </c>
      <c r="J67">
        <v>4295400</v>
      </c>
    </row>
    <row r="68" spans="7:10" x14ac:dyDescent="0.3">
      <c r="G68" s="4" t="s">
        <v>642</v>
      </c>
      <c r="H68">
        <v>107250</v>
      </c>
      <c r="I68">
        <v>16960000</v>
      </c>
      <c r="J68">
        <v>10499000</v>
      </c>
    </row>
    <row r="69" spans="7:10" x14ac:dyDescent="0.3">
      <c r="G69" s="3" t="s">
        <v>630</v>
      </c>
      <c r="H69">
        <v>30143100</v>
      </c>
      <c r="I69">
        <v>92550100</v>
      </c>
      <c r="J69">
        <v>77261500</v>
      </c>
    </row>
    <row r="70" spans="7:10" x14ac:dyDescent="0.3">
      <c r="G70" s="4" t="s">
        <v>631</v>
      </c>
      <c r="H70">
        <v>2627750</v>
      </c>
      <c r="I70">
        <v>12405250</v>
      </c>
      <c r="J70">
        <v>8565700</v>
      </c>
    </row>
    <row r="71" spans="7:10" x14ac:dyDescent="0.3">
      <c r="G71" s="4" t="s">
        <v>632</v>
      </c>
      <c r="H71">
        <v>2830250</v>
      </c>
      <c r="I71">
        <v>10127150</v>
      </c>
      <c r="J71">
        <v>6330750</v>
      </c>
    </row>
    <row r="72" spans="7:10" x14ac:dyDescent="0.3">
      <c r="G72" s="4" t="s">
        <v>633</v>
      </c>
      <c r="H72">
        <v>6857250</v>
      </c>
      <c r="I72">
        <v>5717750</v>
      </c>
      <c r="J72">
        <v>12552750</v>
      </c>
    </row>
    <row r="73" spans="7:10" x14ac:dyDescent="0.3">
      <c r="G73" s="4" t="s">
        <v>634</v>
      </c>
      <c r="H73">
        <v>455000</v>
      </c>
      <c r="I73">
        <v>9507900</v>
      </c>
      <c r="J73">
        <v>8999500</v>
      </c>
    </row>
    <row r="74" spans="7:10" x14ac:dyDescent="0.3">
      <c r="G74" s="4" t="s">
        <v>635</v>
      </c>
      <c r="H74">
        <v>1097500</v>
      </c>
      <c r="I74">
        <v>10069050</v>
      </c>
      <c r="J74">
        <v>10323450</v>
      </c>
    </row>
    <row r="75" spans="7:10" x14ac:dyDescent="0.3">
      <c r="G75" s="4" t="s">
        <v>636</v>
      </c>
      <c r="H75">
        <v>3038500</v>
      </c>
      <c r="I75">
        <v>10831150</v>
      </c>
      <c r="J75">
        <v>5525350</v>
      </c>
    </row>
    <row r="76" spans="7:10" x14ac:dyDescent="0.3">
      <c r="G76" s="4" t="s">
        <v>637</v>
      </c>
      <c r="H76">
        <v>7546000</v>
      </c>
      <c r="I76">
        <v>15395800</v>
      </c>
      <c r="J76">
        <v>2223000</v>
      </c>
    </row>
    <row r="77" spans="7:10" x14ac:dyDescent="0.3">
      <c r="G77" s="4" t="s">
        <v>638</v>
      </c>
      <c r="H77">
        <v>2501600</v>
      </c>
      <c r="I77">
        <v>10656550</v>
      </c>
      <c r="J77">
        <v>11881000</v>
      </c>
    </row>
    <row r="78" spans="7:10" x14ac:dyDescent="0.3">
      <c r="G78" s="4" t="s">
        <v>639</v>
      </c>
      <c r="H78">
        <v>3189250</v>
      </c>
      <c r="I78">
        <v>7839500</v>
      </c>
      <c r="J78">
        <v>10860000</v>
      </c>
    </row>
    <row r="79" spans="7:10" x14ac:dyDescent="0.3">
      <c r="G79" s="3" t="s">
        <v>620</v>
      </c>
      <c r="H79">
        <v>135570850</v>
      </c>
      <c r="I79">
        <v>342168800</v>
      </c>
      <c r="J79">
        <v>257409850</v>
      </c>
    </row>
  </sheetData>
  <mergeCells count="1">
    <mergeCell ref="B2:C2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F04A-95E6-45D0-B8F4-F7715F4B391A}">
  <dimension ref="B2:S318"/>
  <sheetViews>
    <sheetView topLeftCell="A11" workbookViewId="0">
      <selection activeCell="B21" sqref="B21:F31"/>
    </sheetView>
  </sheetViews>
  <sheetFormatPr baseColWidth="10" defaultRowHeight="14.4" x14ac:dyDescent="0.3"/>
  <cols>
    <col min="2" max="2" width="25.21875" bestFit="1" customWidth="1"/>
    <col min="3" max="3" width="14" bestFit="1" customWidth="1"/>
    <col min="4" max="4" width="12" style="19" bestFit="1" customWidth="1"/>
    <col min="5" max="5" width="12.21875" style="19" bestFit="1" customWidth="1"/>
    <col min="6" max="6" width="16.109375" bestFit="1" customWidth="1"/>
    <col min="7" max="7" width="11.6640625" customWidth="1"/>
    <col min="8" max="9" width="12.88671875" style="19" customWidth="1"/>
    <col min="10" max="11" width="12.88671875" customWidth="1"/>
    <col min="12" max="12" width="16.5546875" bestFit="1" customWidth="1"/>
    <col min="13" max="13" width="13.6640625" customWidth="1"/>
    <col min="14" max="14" width="13.5546875" customWidth="1"/>
    <col min="15" max="15" width="17.6640625" bestFit="1" customWidth="1"/>
    <col min="16" max="16" width="21.21875" bestFit="1" customWidth="1"/>
    <col min="17" max="17" width="6.21875" bestFit="1" customWidth="1"/>
    <col min="18" max="18" width="8.6640625" bestFit="1" customWidth="1"/>
    <col min="19" max="19" width="11.5546875" bestFit="1" customWidth="1"/>
    <col min="20" max="23" width="10.44140625" customWidth="1"/>
    <col min="24" max="24" width="11.5546875" bestFit="1" customWidth="1"/>
    <col min="25" max="25" width="11.44140625" bestFit="1" customWidth="1"/>
    <col min="26" max="26" width="9.88671875" bestFit="1" customWidth="1"/>
    <col min="27" max="27" width="8.88671875" bestFit="1" customWidth="1"/>
    <col min="28" max="29" width="11.5546875" bestFit="1" customWidth="1"/>
    <col min="30" max="30" width="11.21875" bestFit="1" customWidth="1"/>
    <col min="31" max="31" width="10.5546875" bestFit="1" customWidth="1"/>
    <col min="32" max="32" width="6.33203125" bestFit="1" customWidth="1"/>
    <col min="33" max="33" width="11.5546875" bestFit="1" customWidth="1"/>
    <col min="34" max="34" width="14.33203125" bestFit="1" customWidth="1"/>
    <col min="35" max="35" width="22.21875" bestFit="1" customWidth="1"/>
    <col min="36" max="36" width="21.21875" bestFit="1" customWidth="1"/>
    <col min="37" max="37" width="10" bestFit="1" customWidth="1"/>
    <col min="38" max="38" width="9.6640625" bestFit="1" customWidth="1"/>
    <col min="39" max="39" width="11.5546875" bestFit="1" customWidth="1"/>
    <col min="40" max="40" width="9" bestFit="1" customWidth="1"/>
    <col min="41" max="41" width="12.6640625" bestFit="1" customWidth="1"/>
    <col min="42" max="42" width="9" bestFit="1" customWidth="1"/>
    <col min="43" max="43" width="10" bestFit="1" customWidth="1"/>
    <col min="44" max="44" width="11.5546875" bestFit="1" customWidth="1"/>
    <col min="45" max="45" width="11.109375" bestFit="1" customWidth="1"/>
    <col min="46" max="46" width="11.5546875" bestFit="1" customWidth="1"/>
    <col min="47" max="47" width="14.33203125" bestFit="1" customWidth="1"/>
    <col min="48" max="48" width="17.21875" bestFit="1" customWidth="1"/>
    <col min="49" max="49" width="10.5546875" bestFit="1" customWidth="1"/>
    <col min="50" max="50" width="13.33203125" bestFit="1" customWidth="1"/>
    <col min="51" max="51" width="11.5546875" bestFit="1" customWidth="1"/>
    <col min="52" max="52" width="11.109375" bestFit="1" customWidth="1"/>
    <col min="53" max="53" width="14.33203125" bestFit="1" customWidth="1"/>
    <col min="54" max="54" width="11.5546875" bestFit="1" customWidth="1"/>
    <col min="55" max="55" width="13.109375" bestFit="1" customWidth="1"/>
    <col min="56" max="56" width="11.21875" bestFit="1" customWidth="1"/>
    <col min="57" max="57" width="3" bestFit="1" customWidth="1"/>
    <col min="58" max="58" width="11.5546875" bestFit="1" customWidth="1"/>
    <col min="59" max="59" width="11.21875" bestFit="1" customWidth="1"/>
    <col min="60" max="60" width="10.5546875" bestFit="1" customWidth="1"/>
    <col min="61" max="61" width="6.33203125" bestFit="1" customWidth="1"/>
    <col min="62" max="62" width="10.6640625" bestFit="1" customWidth="1"/>
    <col min="63" max="63" width="8" bestFit="1" customWidth="1"/>
    <col min="64" max="64" width="9.44140625" bestFit="1" customWidth="1"/>
    <col min="65" max="65" width="13.109375" bestFit="1" customWidth="1"/>
    <col min="66" max="66" width="11.21875" bestFit="1" customWidth="1"/>
    <col min="67" max="67" width="3" bestFit="1" customWidth="1"/>
    <col min="68" max="68" width="11.5546875" bestFit="1" customWidth="1"/>
    <col min="69" max="69" width="11.21875" bestFit="1" customWidth="1"/>
    <col min="70" max="70" width="10.5546875" bestFit="1" customWidth="1"/>
    <col min="71" max="71" width="6.33203125" bestFit="1" customWidth="1"/>
    <col min="72" max="72" width="9.88671875" bestFit="1" customWidth="1"/>
    <col min="73" max="73" width="8" bestFit="1" customWidth="1"/>
    <col min="74" max="74" width="9.44140625" bestFit="1" customWidth="1"/>
    <col min="75" max="75" width="13.109375" bestFit="1" customWidth="1"/>
    <col min="76" max="76" width="11.21875" bestFit="1" customWidth="1"/>
    <col min="77" max="77" width="3" bestFit="1" customWidth="1"/>
    <col min="79" max="79" width="11.21875" bestFit="1" customWidth="1"/>
    <col min="80" max="80" width="10.5546875" bestFit="1" customWidth="1"/>
    <col min="81" max="81" width="6.33203125" bestFit="1" customWidth="1"/>
    <col min="82" max="82" width="12.109375" bestFit="1" customWidth="1"/>
    <col min="83" max="83" width="8" bestFit="1" customWidth="1"/>
    <col min="84" max="84" width="9.44140625" bestFit="1" customWidth="1"/>
    <col min="85" max="85" width="13.109375" bestFit="1" customWidth="1"/>
    <col min="86" max="86" width="11.21875" bestFit="1" customWidth="1"/>
    <col min="87" max="87" width="3" bestFit="1" customWidth="1"/>
    <col min="89" max="89" width="11.21875" bestFit="1" customWidth="1"/>
    <col min="90" max="90" width="10.5546875" bestFit="1" customWidth="1"/>
    <col min="91" max="91" width="6.33203125" bestFit="1" customWidth="1"/>
    <col min="92" max="92" width="9.77734375" bestFit="1" customWidth="1"/>
    <col min="93" max="93" width="8" bestFit="1" customWidth="1"/>
    <col min="94" max="94" width="9.44140625" bestFit="1" customWidth="1"/>
    <col min="95" max="95" width="13.109375" bestFit="1" customWidth="1"/>
    <col min="96" max="96" width="11.21875" bestFit="1" customWidth="1"/>
    <col min="97" max="97" width="3" bestFit="1" customWidth="1"/>
    <col min="99" max="99" width="11.21875" bestFit="1" customWidth="1"/>
    <col min="100" max="100" width="10.5546875" bestFit="1" customWidth="1"/>
    <col min="101" max="101" width="6.33203125" bestFit="1" customWidth="1"/>
    <col min="103" max="103" width="8" bestFit="1" customWidth="1"/>
    <col min="104" max="104" width="9.44140625" bestFit="1" customWidth="1"/>
    <col min="105" max="105" width="13.109375" bestFit="1" customWidth="1"/>
    <col min="106" max="106" width="11.21875" bestFit="1" customWidth="1"/>
    <col min="107" max="107" width="3" bestFit="1" customWidth="1"/>
    <col min="109" max="109" width="11.21875" bestFit="1" customWidth="1"/>
    <col min="110" max="110" width="10.5546875" bestFit="1" customWidth="1"/>
    <col min="111" max="111" width="6.33203125" bestFit="1" customWidth="1"/>
    <col min="112" max="112" width="12.77734375" bestFit="1" customWidth="1"/>
    <col min="113" max="113" width="8" bestFit="1" customWidth="1"/>
    <col min="114" max="114" width="9.44140625" bestFit="1" customWidth="1"/>
    <col min="115" max="115" width="13.109375" bestFit="1" customWidth="1"/>
    <col min="116" max="116" width="11.21875" bestFit="1" customWidth="1"/>
    <col min="117" max="117" width="3" bestFit="1" customWidth="1"/>
    <col min="119" max="119" width="11.21875" bestFit="1" customWidth="1"/>
    <col min="120" max="120" width="10.5546875" bestFit="1" customWidth="1"/>
    <col min="121" max="121" width="6.33203125" bestFit="1" customWidth="1"/>
    <col min="122" max="122" width="5.44140625" bestFit="1" customWidth="1"/>
  </cols>
  <sheetData>
    <row r="2" spans="4:9" x14ac:dyDescent="0.3">
      <c r="E2"/>
      <c r="H2"/>
      <c r="I2"/>
    </row>
    <row r="3" spans="4:9" x14ac:dyDescent="0.3">
      <c r="D3"/>
      <c r="E3"/>
      <c r="H3"/>
      <c r="I3"/>
    </row>
    <row r="4" spans="4:9" x14ac:dyDescent="0.3">
      <c r="D4"/>
      <c r="E4"/>
      <c r="H4"/>
      <c r="I4"/>
    </row>
    <row r="5" spans="4:9" x14ac:dyDescent="0.3">
      <c r="D5"/>
      <c r="E5"/>
      <c r="H5"/>
      <c r="I5"/>
    </row>
    <row r="6" spans="4:9" x14ac:dyDescent="0.3">
      <c r="D6"/>
      <c r="E6"/>
      <c r="H6"/>
      <c r="I6"/>
    </row>
    <row r="7" spans="4:9" x14ac:dyDescent="0.3">
      <c r="D7"/>
      <c r="E7"/>
      <c r="H7"/>
      <c r="I7"/>
    </row>
    <row r="8" spans="4:9" x14ac:dyDescent="0.3">
      <c r="D8"/>
      <c r="E8"/>
      <c r="H8"/>
      <c r="I8"/>
    </row>
    <row r="18" spans="2:6" ht="15" thickBot="1" x14ac:dyDescent="0.35"/>
    <row r="19" spans="2:6" x14ac:dyDescent="0.3">
      <c r="B19" s="76" t="s">
        <v>668</v>
      </c>
      <c r="C19" s="77"/>
      <c r="D19" s="77"/>
      <c r="E19" s="77"/>
      <c r="F19" s="78"/>
    </row>
    <row r="20" spans="2:6" x14ac:dyDescent="0.3">
      <c r="B20" s="79"/>
      <c r="C20" s="80"/>
      <c r="D20" s="80"/>
      <c r="E20" s="80"/>
      <c r="F20" s="81"/>
    </row>
    <row r="21" spans="2:6" ht="43.2" x14ac:dyDescent="0.3">
      <c r="B21" s="22" t="s">
        <v>606</v>
      </c>
      <c r="C21" s="69" t="s">
        <v>666</v>
      </c>
      <c r="D21" s="69" t="s">
        <v>665</v>
      </c>
      <c r="E21" s="69" t="s">
        <v>667</v>
      </c>
      <c r="F21" s="43" t="s">
        <v>690</v>
      </c>
    </row>
    <row r="22" spans="2:6" x14ac:dyDescent="0.3">
      <c r="B22" s="23" t="s">
        <v>280</v>
      </c>
      <c r="C22" s="68">
        <v>9745000</v>
      </c>
      <c r="D22" s="62">
        <v>6</v>
      </c>
      <c r="E22" s="68">
        <v>1624166.6666666667</v>
      </c>
      <c r="F22" s="24">
        <v>105000</v>
      </c>
    </row>
    <row r="23" spans="2:6" x14ac:dyDescent="0.3">
      <c r="B23" s="23" t="s">
        <v>466</v>
      </c>
      <c r="C23" s="68">
        <v>9400000</v>
      </c>
      <c r="D23" s="62">
        <v>5</v>
      </c>
      <c r="E23" s="68">
        <v>1880000</v>
      </c>
      <c r="F23" s="24">
        <v>0</v>
      </c>
    </row>
    <row r="24" spans="2:6" x14ac:dyDescent="0.3">
      <c r="B24" s="23" t="s">
        <v>25</v>
      </c>
      <c r="C24" s="68">
        <v>9295000</v>
      </c>
      <c r="D24" s="62">
        <v>7</v>
      </c>
      <c r="E24" s="68">
        <v>1327857.142857143</v>
      </c>
      <c r="F24" s="24">
        <v>205000</v>
      </c>
    </row>
    <row r="25" spans="2:6" x14ac:dyDescent="0.3">
      <c r="B25" s="23" t="s">
        <v>203</v>
      </c>
      <c r="C25" s="68">
        <v>9248400</v>
      </c>
      <c r="D25" s="62">
        <v>10</v>
      </c>
      <c r="E25" s="68">
        <v>924840</v>
      </c>
      <c r="F25" s="24">
        <v>73600</v>
      </c>
    </row>
    <row r="26" spans="2:6" x14ac:dyDescent="0.3">
      <c r="B26" s="23" t="s">
        <v>468</v>
      </c>
      <c r="C26" s="68">
        <v>9055000</v>
      </c>
      <c r="D26" s="62">
        <v>7</v>
      </c>
      <c r="E26" s="68">
        <v>1293571.4285714286</v>
      </c>
      <c r="F26" s="24">
        <v>355000</v>
      </c>
    </row>
    <row r="27" spans="2:6" x14ac:dyDescent="0.3">
      <c r="B27" s="23" t="s">
        <v>70</v>
      </c>
      <c r="C27" s="68">
        <v>8492750</v>
      </c>
      <c r="D27" s="62">
        <v>7</v>
      </c>
      <c r="E27" s="68">
        <v>1213250</v>
      </c>
      <c r="F27" s="24">
        <v>287250</v>
      </c>
    </row>
    <row r="28" spans="2:6" x14ac:dyDescent="0.3">
      <c r="B28" s="23" t="s">
        <v>271</v>
      </c>
      <c r="C28" s="68">
        <v>8430000</v>
      </c>
      <c r="D28" s="62">
        <v>4</v>
      </c>
      <c r="E28" s="68">
        <v>2107500</v>
      </c>
      <c r="F28" s="24">
        <v>570000</v>
      </c>
    </row>
    <row r="29" spans="2:6" x14ac:dyDescent="0.3">
      <c r="B29" s="23" t="s">
        <v>422</v>
      </c>
      <c r="C29" s="68">
        <v>7964000</v>
      </c>
      <c r="D29" s="62">
        <v>7</v>
      </c>
      <c r="E29" s="68">
        <v>1137714.2857142857</v>
      </c>
      <c r="F29" s="24">
        <v>336000</v>
      </c>
    </row>
    <row r="30" spans="2:6" x14ac:dyDescent="0.3">
      <c r="B30" s="23" t="s">
        <v>47</v>
      </c>
      <c r="C30" s="68">
        <v>7576800</v>
      </c>
      <c r="D30" s="62">
        <v>7</v>
      </c>
      <c r="E30" s="68">
        <v>1082400</v>
      </c>
      <c r="F30" s="24">
        <v>321200</v>
      </c>
    </row>
    <row r="31" spans="2:6" ht="15" thickBot="1" x14ac:dyDescent="0.35">
      <c r="B31" s="25" t="s">
        <v>336</v>
      </c>
      <c r="C31" s="26">
        <v>7550000</v>
      </c>
      <c r="D31" s="70">
        <v>6</v>
      </c>
      <c r="E31" s="26">
        <v>1258333.3333333333</v>
      </c>
      <c r="F31" s="28">
        <v>330000</v>
      </c>
    </row>
    <row r="32" spans="2:6" ht="15" thickBot="1" x14ac:dyDescent="0.35"/>
    <row r="33" spans="2:19" x14ac:dyDescent="0.3">
      <c r="B33" s="76" t="s">
        <v>669</v>
      </c>
      <c r="C33" s="77"/>
      <c r="D33" s="77"/>
      <c r="E33" s="77"/>
      <c r="F33" s="77"/>
      <c r="G33" s="77"/>
      <c r="H33" s="77"/>
      <c r="I33" s="77"/>
      <c r="J33" s="78"/>
      <c r="L33" s="76" t="s">
        <v>670</v>
      </c>
      <c r="M33" s="78"/>
      <c r="O33" s="82" t="s">
        <v>673</v>
      </c>
      <c r="P33" s="101"/>
      <c r="Q33" s="101"/>
      <c r="R33" s="101"/>
      <c r="S33" s="83"/>
    </row>
    <row r="34" spans="2:19" x14ac:dyDescent="0.3">
      <c r="B34" s="79"/>
      <c r="C34" s="80"/>
      <c r="D34" s="80"/>
      <c r="E34" s="80"/>
      <c r="F34" s="80"/>
      <c r="G34" s="80"/>
      <c r="H34" s="80"/>
      <c r="I34" s="80"/>
      <c r="J34" s="81"/>
      <c r="L34" s="79"/>
      <c r="M34" s="81"/>
      <c r="O34" s="84"/>
      <c r="P34" s="100"/>
      <c r="Q34" s="100"/>
      <c r="R34" s="100"/>
      <c r="S34" s="85"/>
    </row>
    <row r="35" spans="2:19" ht="43.2" x14ac:dyDescent="0.3">
      <c r="B35" s="22" t="s">
        <v>613</v>
      </c>
      <c r="C35" s="67" t="s">
        <v>648</v>
      </c>
      <c r="D35" s="72" t="s">
        <v>619</v>
      </c>
      <c r="E35" s="72" t="s">
        <v>662</v>
      </c>
      <c r="F35" s="72" t="s">
        <v>618</v>
      </c>
      <c r="G35" s="69" t="s">
        <v>663</v>
      </c>
      <c r="H35" s="69" t="s">
        <v>617</v>
      </c>
      <c r="I35" s="6" t="s">
        <v>671</v>
      </c>
      <c r="J35" s="30" t="s">
        <v>625</v>
      </c>
      <c r="L35" s="38" t="s">
        <v>606</v>
      </c>
      <c r="M35" s="43" t="s">
        <v>664</v>
      </c>
      <c r="O35" s="45" t="s">
        <v>672</v>
      </c>
      <c r="P35" s="99" t="s">
        <v>621</v>
      </c>
      <c r="Q35" s="94"/>
      <c r="R35" s="94"/>
      <c r="S35" s="42"/>
    </row>
    <row r="36" spans="2:19" x14ac:dyDescent="0.3">
      <c r="B36" s="23" t="s">
        <v>332</v>
      </c>
      <c r="C36" s="62">
        <v>32</v>
      </c>
      <c r="D36" s="68">
        <v>4349100</v>
      </c>
      <c r="E36" s="68">
        <v>1087275</v>
      </c>
      <c r="F36" s="68">
        <v>24900</v>
      </c>
      <c r="G36">
        <v>9</v>
      </c>
      <c r="H36">
        <v>4</v>
      </c>
      <c r="I36" s="20" t="str">
        <f xml:space="preserve"> _xlfn.XLOOKUP(B36, ventas[nombre_cliente], ventas[genero_cliente])</f>
        <v>Mujer</v>
      </c>
      <c r="J36" s="31" t="str">
        <f t="shared" ref="J36:J99" si="0" xml:space="preserve"> IF( D36 &gt;= Premium, "Premium", IF( D36 &gt;= Frecuente, "Frecuente", "Nuevo" ))</f>
        <v>Premium</v>
      </c>
      <c r="L36" s="33" t="s">
        <v>645</v>
      </c>
      <c r="M36" s="39">
        <v>76</v>
      </c>
      <c r="O36" s="45" t="s">
        <v>606</v>
      </c>
      <c r="P36" s="94" t="s">
        <v>645</v>
      </c>
      <c r="Q36" s="94" t="s">
        <v>644</v>
      </c>
      <c r="R36" s="94" t="s">
        <v>646</v>
      </c>
      <c r="S36" s="42" t="s">
        <v>620</v>
      </c>
    </row>
    <row r="37" spans="2:19" x14ac:dyDescent="0.3">
      <c r="B37" s="23" t="s">
        <v>360</v>
      </c>
      <c r="C37" s="62">
        <v>39</v>
      </c>
      <c r="D37" s="68">
        <v>3180000</v>
      </c>
      <c r="E37" s="68">
        <v>1060000</v>
      </c>
      <c r="F37" s="68">
        <v>275000</v>
      </c>
      <c r="G37">
        <v>6</v>
      </c>
      <c r="H37">
        <v>3</v>
      </c>
      <c r="I37" s="21" t="str">
        <f xml:space="preserve"> _xlfn.XLOOKUP(B37, ventas[nombre_cliente], ventas[genero_cliente])</f>
        <v>Mujer</v>
      </c>
      <c r="J37" s="32" t="str">
        <f t="shared" si="0"/>
        <v>Premium</v>
      </c>
      <c r="L37" s="33" t="s">
        <v>644</v>
      </c>
      <c r="M37" s="39">
        <v>40</v>
      </c>
      <c r="O37" s="23" t="s">
        <v>19</v>
      </c>
      <c r="P37" s="95">
        <v>38</v>
      </c>
      <c r="Q37" s="95">
        <v>20</v>
      </c>
      <c r="R37" s="95">
        <v>80</v>
      </c>
      <c r="S37" s="96">
        <v>138</v>
      </c>
    </row>
    <row r="38" spans="2:19" ht="15" thickBot="1" x14ac:dyDescent="0.35">
      <c r="B38" s="23" t="s">
        <v>420</v>
      </c>
      <c r="C38" s="62">
        <v>25</v>
      </c>
      <c r="D38" s="68">
        <v>6467400</v>
      </c>
      <c r="E38" s="68">
        <v>1077900</v>
      </c>
      <c r="F38" s="68">
        <v>468600</v>
      </c>
      <c r="G38">
        <v>18</v>
      </c>
      <c r="H38">
        <v>6</v>
      </c>
      <c r="I38" s="20" t="str">
        <f xml:space="preserve"> _xlfn.XLOOKUP(B38, ventas[nombre_cliente], ventas[genero_cliente])</f>
        <v>Mujer</v>
      </c>
      <c r="J38" s="31" t="str">
        <f t="shared" si="0"/>
        <v>Premium</v>
      </c>
      <c r="L38" s="40" t="s">
        <v>646</v>
      </c>
      <c r="M38" s="41">
        <v>160</v>
      </c>
      <c r="O38" s="23" t="s">
        <v>42</v>
      </c>
      <c r="P38" s="95">
        <v>38</v>
      </c>
      <c r="Q38" s="95">
        <v>20</v>
      </c>
      <c r="R38" s="95">
        <v>80</v>
      </c>
      <c r="S38" s="96">
        <v>138</v>
      </c>
    </row>
    <row r="39" spans="2:19" ht="15" thickBot="1" x14ac:dyDescent="0.35">
      <c r="B39" s="23" t="s">
        <v>326</v>
      </c>
      <c r="C39" s="62">
        <v>27</v>
      </c>
      <c r="D39" s="68">
        <v>2631500</v>
      </c>
      <c r="E39" s="68">
        <v>526300</v>
      </c>
      <c r="F39" s="68">
        <v>139500</v>
      </c>
      <c r="G39">
        <v>11</v>
      </c>
      <c r="H39">
        <v>5</v>
      </c>
      <c r="I39" s="21" t="str">
        <f xml:space="preserve"> _xlfn.XLOOKUP(B39, ventas[nombre_cliente], ventas[genero_cliente])</f>
        <v>Hombre</v>
      </c>
      <c r="J39" s="32" t="str">
        <f t="shared" si="0"/>
        <v>Premium</v>
      </c>
      <c r="O39" s="25" t="s">
        <v>620</v>
      </c>
      <c r="P39" s="97">
        <v>76</v>
      </c>
      <c r="Q39" s="97">
        <v>40</v>
      </c>
      <c r="R39" s="97">
        <v>160</v>
      </c>
      <c r="S39" s="98">
        <v>276</v>
      </c>
    </row>
    <row r="40" spans="2:19" x14ac:dyDescent="0.3">
      <c r="B40" s="23" t="s">
        <v>251</v>
      </c>
      <c r="C40" s="62">
        <v>40</v>
      </c>
      <c r="D40" s="68">
        <v>6596800</v>
      </c>
      <c r="E40" s="68">
        <v>824600</v>
      </c>
      <c r="F40" s="68">
        <v>344200</v>
      </c>
      <c r="G40">
        <v>15</v>
      </c>
      <c r="H40">
        <v>8</v>
      </c>
      <c r="I40" s="20" t="str">
        <f xml:space="preserve"> _xlfn.XLOOKUP(B40, ventas[nombre_cliente], ventas[genero_cliente])</f>
        <v>Hombre</v>
      </c>
      <c r="J40" s="31" t="str">
        <f t="shared" si="0"/>
        <v>Premium</v>
      </c>
    </row>
    <row r="41" spans="2:19" x14ac:dyDescent="0.3">
      <c r="B41" s="23" t="s">
        <v>536</v>
      </c>
      <c r="C41" s="62">
        <v>45</v>
      </c>
      <c r="D41" s="68">
        <v>191250</v>
      </c>
      <c r="E41" s="68">
        <v>95625</v>
      </c>
      <c r="F41" s="68">
        <v>18750</v>
      </c>
      <c r="G41">
        <v>6</v>
      </c>
      <c r="H41">
        <v>2</v>
      </c>
      <c r="I41" s="21" t="str">
        <f xml:space="preserve"> _xlfn.XLOOKUP(B41, ventas[nombre_cliente], ventas[genero_cliente])</f>
        <v>Hombre</v>
      </c>
      <c r="J41" s="32" t="str">
        <f t="shared" si="0"/>
        <v>Nuevo</v>
      </c>
    </row>
    <row r="42" spans="2:19" x14ac:dyDescent="0.3">
      <c r="B42" s="23" t="s">
        <v>265</v>
      </c>
      <c r="C42" s="62">
        <v>41</v>
      </c>
      <c r="D42" s="68">
        <v>1532400</v>
      </c>
      <c r="E42" s="68">
        <v>766200</v>
      </c>
      <c r="F42" s="68">
        <v>3600</v>
      </c>
      <c r="G42">
        <v>5</v>
      </c>
      <c r="H42">
        <v>2</v>
      </c>
      <c r="I42" s="20" t="str">
        <f xml:space="preserve"> _xlfn.XLOOKUP(B42, ventas[nombre_cliente], ventas[genero_cliente])</f>
        <v>Hombre</v>
      </c>
      <c r="J42" s="31" t="str">
        <f t="shared" si="0"/>
        <v>Frecuente</v>
      </c>
    </row>
    <row r="43" spans="2:19" x14ac:dyDescent="0.3">
      <c r="B43" s="23" t="s">
        <v>402</v>
      </c>
      <c r="C43" s="62">
        <v>55</v>
      </c>
      <c r="D43" s="68">
        <v>2212500</v>
      </c>
      <c r="E43" s="68">
        <v>1106250</v>
      </c>
      <c r="F43" s="68">
        <v>37500</v>
      </c>
      <c r="G43">
        <v>3</v>
      </c>
      <c r="H43">
        <v>2</v>
      </c>
      <c r="I43" s="21" t="str">
        <f xml:space="preserve"> _xlfn.XLOOKUP(B43, ventas[nombre_cliente], ventas[genero_cliente])</f>
        <v>Hombre</v>
      </c>
      <c r="J43" s="32" t="str">
        <f t="shared" si="0"/>
        <v>Premium</v>
      </c>
    </row>
    <row r="44" spans="2:19" x14ac:dyDescent="0.3">
      <c r="B44" s="23" t="s">
        <v>304</v>
      </c>
      <c r="C44" s="62">
        <v>42</v>
      </c>
      <c r="D44" s="68">
        <v>1336000</v>
      </c>
      <c r="E44" s="68">
        <v>668000</v>
      </c>
      <c r="F44" s="68">
        <v>0</v>
      </c>
      <c r="G44">
        <v>5</v>
      </c>
      <c r="H44">
        <v>2</v>
      </c>
      <c r="I44" s="20" t="str">
        <f xml:space="preserve"> _xlfn.XLOOKUP(B44, ventas[nombre_cliente], ventas[genero_cliente])</f>
        <v>Mujer</v>
      </c>
      <c r="J44" s="31" t="str">
        <f t="shared" si="0"/>
        <v>Frecuente</v>
      </c>
    </row>
    <row r="45" spans="2:19" x14ac:dyDescent="0.3">
      <c r="B45" s="23" t="s">
        <v>269</v>
      </c>
      <c r="C45" s="62">
        <v>23</v>
      </c>
      <c r="D45" s="68">
        <v>1245000</v>
      </c>
      <c r="E45" s="68">
        <v>622500</v>
      </c>
      <c r="F45" s="68">
        <v>135000</v>
      </c>
      <c r="G45">
        <v>5</v>
      </c>
      <c r="H45">
        <v>2</v>
      </c>
      <c r="I45" s="21" t="str">
        <f xml:space="preserve"> _xlfn.XLOOKUP(B45, ventas[nombre_cliente], ventas[genero_cliente])</f>
        <v>Mujer</v>
      </c>
      <c r="J45" s="32" t="str">
        <f t="shared" si="0"/>
        <v>Frecuente</v>
      </c>
    </row>
    <row r="46" spans="2:19" x14ac:dyDescent="0.3">
      <c r="B46" s="23" t="s">
        <v>404</v>
      </c>
      <c r="C46" s="62">
        <v>20</v>
      </c>
      <c r="D46" s="68">
        <v>2095750</v>
      </c>
      <c r="E46" s="68">
        <v>419150</v>
      </c>
      <c r="F46" s="68">
        <v>74250</v>
      </c>
      <c r="G46">
        <v>9</v>
      </c>
      <c r="H46">
        <v>5</v>
      </c>
      <c r="I46" s="20" t="str">
        <f xml:space="preserve"> _xlfn.XLOOKUP(B46, ventas[nombre_cliente], ventas[genero_cliente])</f>
        <v>Hombre</v>
      </c>
      <c r="J46" s="31" t="str">
        <f t="shared" si="0"/>
        <v>Premium</v>
      </c>
    </row>
    <row r="47" spans="2:19" x14ac:dyDescent="0.3">
      <c r="B47" s="23" t="s">
        <v>173</v>
      </c>
      <c r="C47" s="62">
        <v>18</v>
      </c>
      <c r="D47" s="68">
        <v>2160000</v>
      </c>
      <c r="E47" s="68">
        <v>2160000</v>
      </c>
      <c r="F47" s="68">
        <v>240000</v>
      </c>
      <c r="G47">
        <v>3</v>
      </c>
      <c r="H47">
        <v>1</v>
      </c>
      <c r="I47" s="21" t="str">
        <f xml:space="preserve"> _xlfn.XLOOKUP(B47, ventas[nombre_cliente], ventas[genero_cliente])</f>
        <v>Mujer</v>
      </c>
      <c r="J47" s="32" t="str">
        <f t="shared" si="0"/>
        <v>Premium</v>
      </c>
    </row>
    <row r="48" spans="2:19" x14ac:dyDescent="0.3">
      <c r="B48" s="23" t="s">
        <v>444</v>
      </c>
      <c r="C48" s="62">
        <v>48</v>
      </c>
      <c r="D48" s="68">
        <v>180800</v>
      </c>
      <c r="E48" s="68">
        <v>36160</v>
      </c>
      <c r="F48" s="68">
        <v>1200</v>
      </c>
      <c r="G48">
        <v>8</v>
      </c>
      <c r="H48">
        <v>5</v>
      </c>
      <c r="I48" s="20" t="str">
        <f xml:space="preserve"> _xlfn.XLOOKUP(B48, ventas[nombre_cliente], ventas[genero_cliente])</f>
        <v>Hombre</v>
      </c>
      <c r="J48" s="31" t="str">
        <f t="shared" si="0"/>
        <v>Nuevo</v>
      </c>
    </row>
    <row r="49" spans="2:10" x14ac:dyDescent="0.3">
      <c r="B49" s="23" t="s">
        <v>219</v>
      </c>
      <c r="C49" s="62">
        <v>43</v>
      </c>
      <c r="D49" s="68">
        <v>2260000</v>
      </c>
      <c r="E49" s="68">
        <v>1130000</v>
      </c>
      <c r="F49" s="68">
        <v>40000</v>
      </c>
      <c r="G49">
        <v>3</v>
      </c>
      <c r="H49">
        <v>2</v>
      </c>
      <c r="I49" s="21" t="str">
        <f xml:space="preserve"> _xlfn.XLOOKUP(B49, ventas[nombre_cliente], ventas[genero_cliente])</f>
        <v>Hombre</v>
      </c>
      <c r="J49" s="32" t="str">
        <f t="shared" si="0"/>
        <v>Premium</v>
      </c>
    </row>
    <row r="50" spans="2:10" x14ac:dyDescent="0.3">
      <c r="B50" s="23" t="s">
        <v>300</v>
      </c>
      <c r="C50" s="62">
        <v>32</v>
      </c>
      <c r="D50" s="68">
        <v>2475000</v>
      </c>
      <c r="E50" s="68">
        <v>1237500</v>
      </c>
      <c r="F50" s="68">
        <v>0</v>
      </c>
      <c r="G50">
        <v>6</v>
      </c>
      <c r="H50">
        <v>2</v>
      </c>
      <c r="I50" s="20" t="str">
        <f xml:space="preserve"> _xlfn.XLOOKUP(B50, ventas[nombre_cliente], ventas[genero_cliente])</f>
        <v>Mujer</v>
      </c>
      <c r="J50" s="31" t="str">
        <f t="shared" si="0"/>
        <v>Premium</v>
      </c>
    </row>
    <row r="51" spans="2:10" x14ac:dyDescent="0.3">
      <c r="B51" s="23" t="s">
        <v>128</v>
      </c>
      <c r="C51" s="62">
        <v>55</v>
      </c>
      <c r="D51" s="68">
        <v>909750</v>
      </c>
      <c r="E51" s="68">
        <v>227437.5</v>
      </c>
      <c r="F51" s="68">
        <v>5250</v>
      </c>
      <c r="G51">
        <v>8</v>
      </c>
      <c r="H51">
        <v>4</v>
      </c>
      <c r="I51" s="21" t="str">
        <f xml:space="preserve"> _xlfn.XLOOKUP(B51, ventas[nombre_cliente], ventas[genero_cliente])</f>
        <v>Mujer</v>
      </c>
      <c r="J51" s="32" t="str">
        <f t="shared" si="0"/>
        <v>Frecuente</v>
      </c>
    </row>
    <row r="52" spans="2:10" x14ac:dyDescent="0.3">
      <c r="B52" s="23" t="s">
        <v>582</v>
      </c>
      <c r="C52" s="62">
        <v>34</v>
      </c>
      <c r="D52" s="68">
        <v>2165000</v>
      </c>
      <c r="E52" s="68">
        <v>721666.66666666663</v>
      </c>
      <c r="F52" s="68">
        <v>0</v>
      </c>
      <c r="G52">
        <v>6</v>
      </c>
      <c r="H52">
        <v>3</v>
      </c>
      <c r="I52" s="20" t="str">
        <f xml:space="preserve"> _xlfn.XLOOKUP(B52, ventas[nombre_cliente], ventas[genero_cliente])</f>
        <v>Hombre</v>
      </c>
      <c r="J52" s="31" t="str">
        <f t="shared" si="0"/>
        <v>Premium</v>
      </c>
    </row>
    <row r="53" spans="2:10" x14ac:dyDescent="0.3">
      <c r="B53" s="23" t="s">
        <v>96</v>
      </c>
      <c r="C53" s="62">
        <v>67</v>
      </c>
      <c r="D53" s="68">
        <v>2694400</v>
      </c>
      <c r="E53" s="68">
        <v>673600</v>
      </c>
      <c r="F53" s="68">
        <v>146600</v>
      </c>
      <c r="G53">
        <v>8</v>
      </c>
      <c r="H53">
        <v>4</v>
      </c>
      <c r="I53" s="21" t="str">
        <f xml:space="preserve"> _xlfn.XLOOKUP(B53, ventas[nombre_cliente], ventas[genero_cliente])</f>
        <v>Mujer</v>
      </c>
      <c r="J53" s="32" t="str">
        <f t="shared" si="0"/>
        <v>Premium</v>
      </c>
    </row>
    <row r="54" spans="2:10" x14ac:dyDescent="0.3">
      <c r="B54" s="23" t="s">
        <v>484</v>
      </c>
      <c r="C54" s="62">
        <v>31</v>
      </c>
      <c r="D54" s="68">
        <v>3960000</v>
      </c>
      <c r="E54" s="68">
        <v>1320000</v>
      </c>
      <c r="F54" s="68">
        <v>440000</v>
      </c>
      <c r="G54">
        <v>6</v>
      </c>
      <c r="H54">
        <v>3</v>
      </c>
      <c r="I54" s="20" t="str">
        <f xml:space="preserve"> _xlfn.XLOOKUP(B54, ventas[nombre_cliente], ventas[genero_cliente])</f>
        <v>Mujer</v>
      </c>
      <c r="J54" s="31" t="str">
        <f t="shared" si="0"/>
        <v>Premium</v>
      </c>
    </row>
    <row r="55" spans="2:10" x14ac:dyDescent="0.3">
      <c r="B55" s="33" t="s">
        <v>286</v>
      </c>
      <c r="C55" s="67">
        <v>21</v>
      </c>
      <c r="D55" s="73">
        <v>5086500</v>
      </c>
      <c r="E55" s="73">
        <v>1017300</v>
      </c>
      <c r="F55" s="73">
        <v>187500</v>
      </c>
      <c r="G55" s="56">
        <v>10</v>
      </c>
      <c r="H55" s="56">
        <v>5</v>
      </c>
      <c r="I55" s="21" t="str">
        <f xml:space="preserve"> _xlfn.XLOOKUP(B55, ventas[nombre_cliente], ventas[genero_cliente])</f>
        <v>Mujer</v>
      </c>
      <c r="J55" s="32" t="str">
        <f t="shared" si="0"/>
        <v>Premium</v>
      </c>
    </row>
    <row r="56" spans="2:10" x14ac:dyDescent="0.3">
      <c r="B56" s="23" t="s">
        <v>392</v>
      </c>
      <c r="C56" s="62">
        <v>31</v>
      </c>
      <c r="D56" s="68">
        <v>3477500</v>
      </c>
      <c r="E56" s="68">
        <v>1159166.6666666667</v>
      </c>
      <c r="F56" s="68">
        <v>272500</v>
      </c>
      <c r="G56">
        <v>5</v>
      </c>
      <c r="H56">
        <v>3</v>
      </c>
      <c r="I56" s="20" t="str">
        <f xml:space="preserve"> _xlfn.XLOOKUP(B56, ventas[nombre_cliente], ventas[genero_cliente])</f>
        <v>Mujer</v>
      </c>
      <c r="J56" s="31" t="str">
        <f t="shared" si="0"/>
        <v>Premium</v>
      </c>
    </row>
    <row r="57" spans="2:10" x14ac:dyDescent="0.3">
      <c r="B57" s="23" t="s">
        <v>253</v>
      </c>
      <c r="C57" s="62">
        <v>57</v>
      </c>
      <c r="D57" s="68">
        <v>2087000</v>
      </c>
      <c r="E57" s="68">
        <v>417400</v>
      </c>
      <c r="F57" s="68">
        <v>18000</v>
      </c>
      <c r="G57">
        <v>12</v>
      </c>
      <c r="H57">
        <v>5</v>
      </c>
      <c r="I57" s="21" t="str">
        <f xml:space="preserve"> _xlfn.XLOOKUP(B57, ventas[nombre_cliente], ventas[genero_cliente])</f>
        <v>Mujer</v>
      </c>
      <c r="J57" s="32" t="str">
        <f t="shared" si="0"/>
        <v>Premium</v>
      </c>
    </row>
    <row r="58" spans="2:10" x14ac:dyDescent="0.3">
      <c r="B58" s="23" t="s">
        <v>396</v>
      </c>
      <c r="C58" s="62">
        <v>47</v>
      </c>
      <c r="D58" s="68">
        <v>235000</v>
      </c>
      <c r="E58" s="68">
        <v>78333.333333333328</v>
      </c>
      <c r="F58" s="68">
        <v>0</v>
      </c>
      <c r="G58">
        <v>5</v>
      </c>
      <c r="H58">
        <v>3</v>
      </c>
      <c r="I58" s="20" t="str">
        <f xml:space="preserve"> _xlfn.XLOOKUP(B58, ventas[nombre_cliente], ventas[genero_cliente])</f>
        <v>Mujer</v>
      </c>
      <c r="J58" s="31" t="str">
        <f t="shared" si="0"/>
        <v>Nuevo</v>
      </c>
    </row>
    <row r="59" spans="2:10" x14ac:dyDescent="0.3">
      <c r="B59" s="23" t="s">
        <v>231</v>
      </c>
      <c r="C59" s="62">
        <v>35</v>
      </c>
      <c r="D59" s="68">
        <v>126050</v>
      </c>
      <c r="E59" s="68">
        <v>31512.5</v>
      </c>
      <c r="F59" s="68">
        <v>2950</v>
      </c>
      <c r="G59">
        <v>5</v>
      </c>
      <c r="H59">
        <v>4</v>
      </c>
      <c r="I59" s="21" t="str">
        <f xml:space="preserve"> _xlfn.XLOOKUP(B59, ventas[nombre_cliente], ventas[genero_cliente])</f>
        <v>Mujer</v>
      </c>
      <c r="J59" s="32" t="str">
        <f t="shared" si="0"/>
        <v>Nuevo</v>
      </c>
    </row>
    <row r="60" spans="2:10" x14ac:dyDescent="0.3">
      <c r="B60" s="23" t="s">
        <v>556</v>
      </c>
      <c r="C60" s="62">
        <v>23</v>
      </c>
      <c r="D60" s="68">
        <v>2160000</v>
      </c>
      <c r="E60" s="68">
        <v>2160000</v>
      </c>
      <c r="F60" s="68">
        <v>240000</v>
      </c>
      <c r="G60">
        <v>3</v>
      </c>
      <c r="H60">
        <v>1</v>
      </c>
      <c r="I60" s="20" t="str">
        <f xml:space="preserve"> _xlfn.XLOOKUP(B60, ventas[nombre_cliente], ventas[genero_cliente])</f>
        <v>Mujer</v>
      </c>
      <c r="J60" s="31" t="str">
        <f t="shared" si="0"/>
        <v>Premium</v>
      </c>
    </row>
    <row r="61" spans="2:10" x14ac:dyDescent="0.3">
      <c r="B61" s="23" t="s">
        <v>233</v>
      </c>
      <c r="C61" s="62">
        <v>23</v>
      </c>
      <c r="D61" s="68">
        <v>164950</v>
      </c>
      <c r="E61" s="68">
        <v>41237.5</v>
      </c>
      <c r="F61" s="68">
        <v>11050</v>
      </c>
      <c r="G61">
        <v>11</v>
      </c>
      <c r="H61">
        <v>4</v>
      </c>
      <c r="I61" s="21" t="str">
        <f xml:space="preserve"> _xlfn.XLOOKUP(B61, ventas[nombre_cliente], ventas[genero_cliente])</f>
        <v>Hombre</v>
      </c>
      <c r="J61" s="32" t="str">
        <f t="shared" si="0"/>
        <v>Nuevo</v>
      </c>
    </row>
    <row r="62" spans="2:10" x14ac:dyDescent="0.3">
      <c r="B62" s="23" t="s">
        <v>171</v>
      </c>
      <c r="C62" s="62">
        <v>47</v>
      </c>
      <c r="D62" s="68">
        <v>1265000</v>
      </c>
      <c r="E62" s="68">
        <v>421666.66666666669</v>
      </c>
      <c r="F62" s="68">
        <v>130000</v>
      </c>
      <c r="G62">
        <v>5</v>
      </c>
      <c r="H62">
        <v>3</v>
      </c>
      <c r="I62" s="20" t="str">
        <f xml:space="preserve"> _xlfn.XLOOKUP(B62, ventas[nombre_cliente], ventas[genero_cliente])</f>
        <v>Mujer</v>
      </c>
      <c r="J62" s="31" t="str">
        <f t="shared" si="0"/>
        <v>Frecuente</v>
      </c>
    </row>
    <row r="63" spans="2:10" x14ac:dyDescent="0.3">
      <c r="B63" s="23" t="s">
        <v>308</v>
      </c>
      <c r="C63" s="62">
        <v>49</v>
      </c>
      <c r="D63" s="68">
        <v>1530000</v>
      </c>
      <c r="E63" s="68">
        <v>382500</v>
      </c>
      <c r="F63" s="68">
        <v>80000</v>
      </c>
      <c r="G63">
        <v>9</v>
      </c>
      <c r="H63">
        <v>4</v>
      </c>
      <c r="I63" s="21" t="str">
        <f xml:space="preserve"> _xlfn.XLOOKUP(B63, ventas[nombre_cliente], ventas[genero_cliente])</f>
        <v>Hombre</v>
      </c>
      <c r="J63" s="32" t="str">
        <f t="shared" si="0"/>
        <v>Frecuente</v>
      </c>
    </row>
    <row r="64" spans="2:10" x14ac:dyDescent="0.3">
      <c r="B64" s="23" t="s">
        <v>492</v>
      </c>
      <c r="C64" s="62">
        <v>28</v>
      </c>
      <c r="D64" s="68">
        <v>1595000</v>
      </c>
      <c r="E64" s="68">
        <v>531666.66666666663</v>
      </c>
      <c r="F64" s="68">
        <v>0</v>
      </c>
      <c r="G64">
        <v>7</v>
      </c>
      <c r="H64">
        <v>3</v>
      </c>
      <c r="I64" s="20" t="str">
        <f xml:space="preserve"> _xlfn.XLOOKUP(B64, ventas[nombre_cliente], ventas[genero_cliente])</f>
        <v>Hombre</v>
      </c>
      <c r="J64" s="31" t="str">
        <f t="shared" si="0"/>
        <v>Frecuente</v>
      </c>
    </row>
    <row r="65" spans="2:10" x14ac:dyDescent="0.3">
      <c r="B65" s="23" t="s">
        <v>344</v>
      </c>
      <c r="C65" s="62">
        <v>30</v>
      </c>
      <c r="D65" s="68">
        <v>2896000</v>
      </c>
      <c r="E65" s="68">
        <v>579200</v>
      </c>
      <c r="F65" s="68">
        <v>170000</v>
      </c>
      <c r="G65">
        <v>10</v>
      </c>
      <c r="H65">
        <v>5</v>
      </c>
      <c r="I65" s="21" t="str">
        <f xml:space="preserve"> _xlfn.XLOOKUP(B65, ventas[nombre_cliente], ventas[genero_cliente])</f>
        <v>Mujer</v>
      </c>
      <c r="J65" s="32" t="str">
        <f t="shared" si="0"/>
        <v>Premium</v>
      </c>
    </row>
    <row r="66" spans="2:10" x14ac:dyDescent="0.3">
      <c r="B66" s="23" t="s">
        <v>460</v>
      </c>
      <c r="C66" s="62">
        <v>34</v>
      </c>
      <c r="D66" s="68">
        <v>3915000</v>
      </c>
      <c r="E66" s="68">
        <v>1957500</v>
      </c>
      <c r="F66" s="68">
        <v>435000</v>
      </c>
      <c r="G66">
        <v>6</v>
      </c>
      <c r="H66">
        <v>2</v>
      </c>
      <c r="I66" s="20" t="str">
        <f xml:space="preserve"> _xlfn.XLOOKUP(B66, ventas[nombre_cliente], ventas[genero_cliente])</f>
        <v>Hombre</v>
      </c>
      <c r="J66" s="31" t="str">
        <f t="shared" si="0"/>
        <v>Premium</v>
      </c>
    </row>
    <row r="67" spans="2:10" x14ac:dyDescent="0.3">
      <c r="B67" s="23" t="s">
        <v>394</v>
      </c>
      <c r="C67" s="62">
        <v>25</v>
      </c>
      <c r="D67" s="68">
        <v>1137000</v>
      </c>
      <c r="E67" s="68">
        <v>379000</v>
      </c>
      <c r="F67" s="68">
        <v>125000</v>
      </c>
      <c r="G67">
        <v>3</v>
      </c>
      <c r="H67">
        <v>3</v>
      </c>
      <c r="I67" s="21" t="str">
        <f xml:space="preserve"> _xlfn.XLOOKUP(B67, ventas[nombre_cliente], ventas[genero_cliente])</f>
        <v>Mujer</v>
      </c>
      <c r="J67" s="32" t="str">
        <f t="shared" si="0"/>
        <v>Frecuente</v>
      </c>
    </row>
    <row r="68" spans="2:10" x14ac:dyDescent="0.3">
      <c r="B68" s="23" t="s">
        <v>338</v>
      </c>
      <c r="C68" s="62">
        <v>49</v>
      </c>
      <c r="D68" s="68">
        <v>178500</v>
      </c>
      <c r="E68" s="68">
        <v>59500</v>
      </c>
      <c r="F68" s="68">
        <v>7500</v>
      </c>
      <c r="G68">
        <v>9</v>
      </c>
      <c r="H68">
        <v>3</v>
      </c>
      <c r="I68" s="20" t="str">
        <f xml:space="preserve"> _xlfn.XLOOKUP(B68, ventas[nombre_cliente], ventas[genero_cliente])</f>
        <v>Mujer</v>
      </c>
      <c r="J68" s="31" t="str">
        <f t="shared" si="0"/>
        <v>Nuevo</v>
      </c>
    </row>
    <row r="69" spans="2:10" x14ac:dyDescent="0.3">
      <c r="B69" s="23" t="s">
        <v>462</v>
      </c>
      <c r="C69" s="62">
        <v>42</v>
      </c>
      <c r="D69" s="68">
        <v>1475000</v>
      </c>
      <c r="E69" s="68">
        <v>737500</v>
      </c>
      <c r="F69" s="68">
        <v>0</v>
      </c>
      <c r="G69">
        <v>5</v>
      </c>
      <c r="H69">
        <v>2</v>
      </c>
      <c r="I69" s="21" t="str">
        <f xml:space="preserve"> _xlfn.XLOOKUP(B69, ventas[nombre_cliente], ventas[genero_cliente])</f>
        <v>Hombre</v>
      </c>
      <c r="J69" s="32" t="str">
        <f t="shared" si="0"/>
        <v>Frecuente</v>
      </c>
    </row>
    <row r="70" spans="2:10" x14ac:dyDescent="0.3">
      <c r="B70" s="23" t="s">
        <v>532</v>
      </c>
      <c r="C70" s="62">
        <v>28</v>
      </c>
      <c r="D70" s="68">
        <v>2453250</v>
      </c>
      <c r="E70" s="68">
        <v>613312.5</v>
      </c>
      <c r="F70" s="68">
        <v>126750</v>
      </c>
      <c r="G70">
        <v>11</v>
      </c>
      <c r="H70">
        <v>4</v>
      </c>
      <c r="I70" s="20" t="str">
        <f xml:space="preserve"> _xlfn.XLOOKUP(B70, ventas[nombre_cliente], ventas[genero_cliente])</f>
        <v>Hombre</v>
      </c>
      <c r="J70" s="31" t="str">
        <f t="shared" si="0"/>
        <v>Premium</v>
      </c>
    </row>
    <row r="71" spans="2:10" x14ac:dyDescent="0.3">
      <c r="B71" s="23" t="s">
        <v>336</v>
      </c>
      <c r="C71" s="62">
        <v>38</v>
      </c>
      <c r="D71" s="68">
        <v>7550000</v>
      </c>
      <c r="E71" s="68">
        <v>1258333.3333333333</v>
      </c>
      <c r="F71" s="68">
        <v>330000</v>
      </c>
      <c r="G71">
        <v>13</v>
      </c>
      <c r="H71">
        <v>6</v>
      </c>
      <c r="I71" s="21" t="str">
        <f xml:space="preserve"> _xlfn.XLOOKUP(B71, ventas[nombre_cliente], ventas[genero_cliente])</f>
        <v>Mujer</v>
      </c>
      <c r="J71" s="32" t="str">
        <f t="shared" si="0"/>
        <v>Premium</v>
      </c>
    </row>
    <row r="72" spans="2:10" x14ac:dyDescent="0.3">
      <c r="B72" s="23" t="s">
        <v>318</v>
      </c>
      <c r="C72" s="62">
        <v>47</v>
      </c>
      <c r="D72" s="68">
        <v>6034500</v>
      </c>
      <c r="E72" s="68">
        <v>1206900</v>
      </c>
      <c r="F72" s="68">
        <v>277500</v>
      </c>
      <c r="G72">
        <v>9</v>
      </c>
      <c r="H72">
        <v>5</v>
      </c>
      <c r="I72" s="20" t="str">
        <f xml:space="preserve"> _xlfn.XLOOKUP(B72, ventas[nombre_cliente], ventas[genero_cliente])</f>
        <v>Hombre</v>
      </c>
      <c r="J72" s="31" t="str">
        <f t="shared" si="0"/>
        <v>Premium</v>
      </c>
    </row>
    <row r="73" spans="2:10" x14ac:dyDescent="0.3">
      <c r="B73" s="23" t="s">
        <v>249</v>
      </c>
      <c r="C73" s="62">
        <v>32</v>
      </c>
      <c r="D73" s="68">
        <v>3905250</v>
      </c>
      <c r="E73" s="68">
        <v>650875</v>
      </c>
      <c r="F73" s="68">
        <v>119750</v>
      </c>
      <c r="G73">
        <v>13</v>
      </c>
      <c r="H73">
        <v>6</v>
      </c>
      <c r="I73" s="21" t="str">
        <f xml:space="preserve"> _xlfn.XLOOKUP(B73, ventas[nombre_cliente], ventas[genero_cliente])</f>
        <v>Hombre</v>
      </c>
      <c r="J73" s="32" t="str">
        <f t="shared" si="0"/>
        <v>Premium</v>
      </c>
    </row>
    <row r="74" spans="2:10" x14ac:dyDescent="0.3">
      <c r="B74" s="23" t="s">
        <v>496</v>
      </c>
      <c r="C74" s="62">
        <v>46</v>
      </c>
      <c r="D74" s="68">
        <v>860000</v>
      </c>
      <c r="E74" s="68">
        <v>215000</v>
      </c>
      <c r="F74" s="68">
        <v>35000</v>
      </c>
      <c r="G74">
        <v>8</v>
      </c>
      <c r="H74">
        <v>4</v>
      </c>
      <c r="I74" s="20" t="str">
        <f xml:space="preserve"> _xlfn.XLOOKUP(B74, ventas[nombre_cliente], ventas[genero_cliente])</f>
        <v>Hombre</v>
      </c>
      <c r="J74" s="31" t="str">
        <f t="shared" si="0"/>
        <v>Frecuente</v>
      </c>
    </row>
    <row r="75" spans="2:10" x14ac:dyDescent="0.3">
      <c r="B75" s="23" t="s">
        <v>470</v>
      </c>
      <c r="C75" s="62">
        <v>43</v>
      </c>
      <c r="D75" s="68">
        <v>3581000</v>
      </c>
      <c r="E75" s="68">
        <v>716200</v>
      </c>
      <c r="F75" s="68">
        <v>160000</v>
      </c>
      <c r="G75">
        <v>9</v>
      </c>
      <c r="H75">
        <v>5</v>
      </c>
      <c r="I75" s="21" t="str">
        <f xml:space="preserve"> _xlfn.XLOOKUP(B75, ventas[nombre_cliente], ventas[genero_cliente])</f>
        <v>Hombre</v>
      </c>
      <c r="J75" s="32" t="str">
        <f t="shared" si="0"/>
        <v>Premium</v>
      </c>
    </row>
    <row r="76" spans="2:10" x14ac:dyDescent="0.3">
      <c r="B76" s="23" t="s">
        <v>92</v>
      </c>
      <c r="C76" s="62">
        <v>38</v>
      </c>
      <c r="D76" s="68">
        <v>1721350</v>
      </c>
      <c r="E76" s="68">
        <v>430337.5</v>
      </c>
      <c r="F76" s="68">
        <v>7650</v>
      </c>
      <c r="G76">
        <v>8</v>
      </c>
      <c r="H76">
        <v>4</v>
      </c>
      <c r="I76" s="20" t="str">
        <f xml:space="preserve"> _xlfn.XLOOKUP(B76, ventas[nombre_cliente], ventas[genero_cliente])</f>
        <v>Mujer</v>
      </c>
      <c r="J76" s="31" t="str">
        <f t="shared" si="0"/>
        <v>Frecuente</v>
      </c>
    </row>
    <row r="77" spans="2:10" x14ac:dyDescent="0.3">
      <c r="B77" s="23" t="s">
        <v>50</v>
      </c>
      <c r="C77" s="62">
        <v>36</v>
      </c>
      <c r="D77" s="68">
        <v>712500</v>
      </c>
      <c r="E77" s="68">
        <v>712500</v>
      </c>
      <c r="F77" s="68">
        <v>37500</v>
      </c>
      <c r="G77">
        <v>1</v>
      </c>
      <c r="H77">
        <v>1</v>
      </c>
      <c r="I77" s="21" t="str">
        <f xml:space="preserve"> _xlfn.XLOOKUP(B77, ventas[nombre_cliente], ventas[genero_cliente])</f>
        <v>Mujer</v>
      </c>
      <c r="J77" s="32" t="str">
        <f t="shared" si="0"/>
        <v>Frecuente</v>
      </c>
    </row>
    <row r="78" spans="2:10" x14ac:dyDescent="0.3">
      <c r="B78" s="23" t="s">
        <v>140</v>
      </c>
      <c r="C78" s="62">
        <v>50</v>
      </c>
      <c r="D78" s="68">
        <v>2410250</v>
      </c>
      <c r="E78" s="68">
        <v>482050</v>
      </c>
      <c r="F78" s="68">
        <v>109750</v>
      </c>
      <c r="G78">
        <v>11</v>
      </c>
      <c r="H78">
        <v>5</v>
      </c>
      <c r="I78" s="20" t="str">
        <f xml:space="preserve"> _xlfn.XLOOKUP(B78, ventas[nombre_cliente], ventas[genero_cliente])</f>
        <v>Hombre</v>
      </c>
      <c r="J78" s="31" t="str">
        <f t="shared" si="0"/>
        <v>Premium</v>
      </c>
    </row>
    <row r="79" spans="2:10" x14ac:dyDescent="0.3">
      <c r="B79" s="23" t="s">
        <v>107</v>
      </c>
      <c r="C79" s="62">
        <v>27</v>
      </c>
      <c r="D79" s="68">
        <v>2430000</v>
      </c>
      <c r="E79" s="68">
        <v>405000</v>
      </c>
      <c r="F79" s="68">
        <v>145000</v>
      </c>
      <c r="G79">
        <v>11</v>
      </c>
      <c r="H79">
        <v>6</v>
      </c>
      <c r="I79" s="21" t="str">
        <f xml:space="preserve"> _xlfn.XLOOKUP(B79, ventas[nombre_cliente], ventas[genero_cliente])</f>
        <v>Mujer</v>
      </c>
      <c r="J79" s="32" t="str">
        <f t="shared" si="0"/>
        <v>Premium</v>
      </c>
    </row>
    <row r="80" spans="2:10" x14ac:dyDescent="0.3">
      <c r="B80" s="23" t="s">
        <v>282</v>
      </c>
      <c r="C80" s="62">
        <v>51</v>
      </c>
      <c r="D80" s="68">
        <v>126600</v>
      </c>
      <c r="E80" s="68">
        <v>63300</v>
      </c>
      <c r="F80" s="68">
        <v>2400</v>
      </c>
      <c r="G80">
        <v>5</v>
      </c>
      <c r="H80">
        <v>2</v>
      </c>
      <c r="I80" s="20" t="str">
        <f xml:space="preserve"> _xlfn.XLOOKUP(B80, ventas[nombre_cliente], ventas[genero_cliente])</f>
        <v>Hombre</v>
      </c>
      <c r="J80" s="31" t="str">
        <f t="shared" si="0"/>
        <v>Nuevo</v>
      </c>
    </row>
    <row r="81" spans="2:10" x14ac:dyDescent="0.3">
      <c r="B81" s="23" t="s">
        <v>155</v>
      </c>
      <c r="C81" s="62">
        <v>26</v>
      </c>
      <c r="D81" s="68">
        <v>1398000</v>
      </c>
      <c r="E81" s="68">
        <v>466000</v>
      </c>
      <c r="F81" s="68">
        <v>0</v>
      </c>
      <c r="G81">
        <v>7</v>
      </c>
      <c r="H81">
        <v>3</v>
      </c>
      <c r="I81" s="21" t="str">
        <f xml:space="preserve"> _xlfn.XLOOKUP(B81, ventas[nombre_cliente], ventas[genero_cliente])</f>
        <v>Hombre</v>
      </c>
      <c r="J81" s="32" t="str">
        <f t="shared" si="0"/>
        <v>Frecuente</v>
      </c>
    </row>
    <row r="82" spans="2:10" x14ac:dyDescent="0.3">
      <c r="B82" s="23" t="s">
        <v>267</v>
      </c>
      <c r="C82" s="62">
        <v>18</v>
      </c>
      <c r="D82" s="68">
        <v>2633500</v>
      </c>
      <c r="E82" s="68">
        <v>658375</v>
      </c>
      <c r="F82" s="68">
        <v>67500</v>
      </c>
      <c r="G82">
        <v>9</v>
      </c>
      <c r="H82">
        <v>4</v>
      </c>
      <c r="I82" s="20" t="str">
        <f xml:space="preserve"> _xlfn.XLOOKUP(B82, ventas[nombre_cliente], ventas[genero_cliente])</f>
        <v>Hombre</v>
      </c>
      <c r="J82" s="31" t="str">
        <f t="shared" si="0"/>
        <v>Premium</v>
      </c>
    </row>
    <row r="83" spans="2:10" x14ac:dyDescent="0.3">
      <c r="B83" s="23" t="s">
        <v>434</v>
      </c>
      <c r="C83" s="62">
        <v>45</v>
      </c>
      <c r="D83" s="68">
        <v>80750</v>
      </c>
      <c r="E83" s="68">
        <v>26916.666666666668</v>
      </c>
      <c r="F83" s="68">
        <v>4250</v>
      </c>
      <c r="G83">
        <v>3</v>
      </c>
      <c r="H83">
        <v>3</v>
      </c>
      <c r="I83" s="21" t="str">
        <f xml:space="preserve"> _xlfn.XLOOKUP(B83, ventas[nombre_cliente], ventas[genero_cliente])</f>
        <v>Hombre</v>
      </c>
      <c r="J83" s="32" t="str">
        <f t="shared" si="0"/>
        <v>Nuevo</v>
      </c>
    </row>
    <row r="84" spans="2:10" x14ac:dyDescent="0.3">
      <c r="B84" s="23" t="s">
        <v>175</v>
      </c>
      <c r="C84" s="62">
        <v>47</v>
      </c>
      <c r="D84" s="68">
        <v>192750</v>
      </c>
      <c r="E84" s="68">
        <v>64250</v>
      </c>
      <c r="F84" s="68">
        <v>2250</v>
      </c>
      <c r="G84">
        <v>9</v>
      </c>
      <c r="H84">
        <v>3</v>
      </c>
      <c r="I84" s="20" t="str">
        <f xml:space="preserve"> _xlfn.XLOOKUP(B84, ventas[nombre_cliente], ventas[genero_cliente])</f>
        <v>Mujer</v>
      </c>
      <c r="J84" s="31" t="str">
        <f t="shared" si="0"/>
        <v>Nuevo</v>
      </c>
    </row>
    <row r="85" spans="2:10" x14ac:dyDescent="0.3">
      <c r="B85" s="23" t="s">
        <v>530</v>
      </c>
      <c r="C85" s="62">
        <v>18</v>
      </c>
      <c r="D85" s="68">
        <v>749200</v>
      </c>
      <c r="E85" s="68">
        <v>249733.33333333334</v>
      </c>
      <c r="F85" s="68">
        <v>36800</v>
      </c>
      <c r="G85">
        <v>6</v>
      </c>
      <c r="H85">
        <v>3</v>
      </c>
      <c r="I85" s="21" t="str">
        <f xml:space="preserve"> _xlfn.XLOOKUP(B85, ventas[nombre_cliente], ventas[genero_cliente])</f>
        <v>Hombre</v>
      </c>
      <c r="J85" s="32" t="str">
        <f t="shared" si="0"/>
        <v>Frecuente</v>
      </c>
    </row>
    <row r="86" spans="2:10" x14ac:dyDescent="0.3">
      <c r="B86" s="23" t="s">
        <v>193</v>
      </c>
      <c r="C86" s="62">
        <v>51</v>
      </c>
      <c r="D86" s="68">
        <v>462500</v>
      </c>
      <c r="E86" s="68">
        <v>231250</v>
      </c>
      <c r="F86" s="68">
        <v>22500</v>
      </c>
      <c r="G86">
        <v>2</v>
      </c>
      <c r="H86">
        <v>2</v>
      </c>
      <c r="I86" s="20" t="str">
        <f xml:space="preserve"> _xlfn.XLOOKUP(B86, ventas[nombre_cliente], ventas[genero_cliente])</f>
        <v>Hombre</v>
      </c>
      <c r="J86" s="31" t="str">
        <f t="shared" si="0"/>
        <v>Nuevo</v>
      </c>
    </row>
    <row r="87" spans="2:10" x14ac:dyDescent="0.3">
      <c r="B87" s="23" t="s">
        <v>334</v>
      </c>
      <c r="C87" s="62">
        <v>60</v>
      </c>
      <c r="D87" s="68">
        <v>2226500</v>
      </c>
      <c r="E87" s="68">
        <v>1113250</v>
      </c>
      <c r="F87" s="68">
        <v>243500</v>
      </c>
      <c r="G87">
        <v>5</v>
      </c>
      <c r="H87">
        <v>2</v>
      </c>
      <c r="I87" s="21" t="str">
        <f xml:space="preserve"> _xlfn.XLOOKUP(B87, ventas[nombre_cliente], ventas[genero_cliente])</f>
        <v>Mujer</v>
      </c>
      <c r="J87" s="32" t="str">
        <f t="shared" si="0"/>
        <v>Premium</v>
      </c>
    </row>
    <row r="88" spans="2:10" x14ac:dyDescent="0.3">
      <c r="B88" s="23" t="s">
        <v>167</v>
      </c>
      <c r="C88" s="62">
        <v>18</v>
      </c>
      <c r="D88" s="68">
        <v>2813000</v>
      </c>
      <c r="E88" s="68">
        <v>703250</v>
      </c>
      <c r="F88" s="68">
        <v>157000</v>
      </c>
      <c r="G88">
        <v>6</v>
      </c>
      <c r="H88">
        <v>4</v>
      </c>
      <c r="I88" s="20" t="str">
        <f xml:space="preserve"> _xlfn.XLOOKUP(B88, ventas[nombre_cliente], ventas[genero_cliente])</f>
        <v>Mujer</v>
      </c>
      <c r="J88" s="31" t="str">
        <f t="shared" si="0"/>
        <v>Premium</v>
      </c>
    </row>
    <row r="89" spans="2:10" x14ac:dyDescent="0.3">
      <c r="B89" s="23" t="s">
        <v>598</v>
      </c>
      <c r="C89" s="62">
        <v>26</v>
      </c>
      <c r="D89" s="68">
        <v>33250</v>
      </c>
      <c r="E89" s="68">
        <v>33250</v>
      </c>
      <c r="F89" s="68">
        <v>1750</v>
      </c>
      <c r="G89">
        <v>1</v>
      </c>
      <c r="H89">
        <v>1</v>
      </c>
      <c r="I89" s="21" t="str">
        <f xml:space="preserve"> _xlfn.XLOOKUP(B89, ventas[nombre_cliente], ventas[genero_cliente])</f>
        <v>Hombre</v>
      </c>
      <c r="J89" s="32" t="str">
        <f t="shared" si="0"/>
        <v>Nuevo</v>
      </c>
    </row>
    <row r="90" spans="2:10" x14ac:dyDescent="0.3">
      <c r="B90" s="23" t="s">
        <v>292</v>
      </c>
      <c r="C90" s="62">
        <v>47</v>
      </c>
      <c r="D90" s="68">
        <v>1500000</v>
      </c>
      <c r="E90" s="68">
        <v>1500000</v>
      </c>
      <c r="F90" s="68">
        <v>0</v>
      </c>
      <c r="G90">
        <v>2</v>
      </c>
      <c r="H90">
        <v>1</v>
      </c>
      <c r="I90" s="20" t="str">
        <f xml:space="preserve"> _xlfn.XLOOKUP(B90, ventas[nombre_cliente], ventas[genero_cliente])</f>
        <v>Mujer</v>
      </c>
      <c r="J90" s="31" t="str">
        <f t="shared" si="0"/>
        <v>Frecuente</v>
      </c>
    </row>
    <row r="91" spans="2:10" x14ac:dyDescent="0.3">
      <c r="B91" s="23" t="s">
        <v>520</v>
      </c>
      <c r="C91" s="62">
        <v>41</v>
      </c>
      <c r="D91" s="68">
        <v>6960750</v>
      </c>
      <c r="E91" s="68">
        <v>1160125</v>
      </c>
      <c r="F91" s="68">
        <v>134250</v>
      </c>
      <c r="G91">
        <v>16</v>
      </c>
      <c r="H91">
        <v>6</v>
      </c>
      <c r="I91" s="21" t="str">
        <f xml:space="preserve"> _xlfn.XLOOKUP(B91, ventas[nombre_cliente], ventas[genero_cliente])</f>
        <v>Hombre</v>
      </c>
      <c r="J91" s="32" t="str">
        <f t="shared" si="0"/>
        <v>Premium</v>
      </c>
    </row>
    <row r="92" spans="2:10" x14ac:dyDescent="0.3">
      <c r="B92" s="23" t="s">
        <v>376</v>
      </c>
      <c r="C92" s="62">
        <v>41</v>
      </c>
      <c r="D92" s="68">
        <v>914250</v>
      </c>
      <c r="E92" s="68">
        <v>457125</v>
      </c>
      <c r="F92" s="68">
        <v>750</v>
      </c>
      <c r="G92">
        <v>3</v>
      </c>
      <c r="H92">
        <v>2</v>
      </c>
      <c r="I92" s="20" t="str">
        <f xml:space="preserve"> _xlfn.XLOOKUP(B92, ventas[nombre_cliente], ventas[genero_cliente])</f>
        <v>Hombre</v>
      </c>
      <c r="J92" s="31" t="str">
        <f t="shared" si="0"/>
        <v>Frecuente</v>
      </c>
    </row>
    <row r="93" spans="2:10" x14ac:dyDescent="0.3">
      <c r="B93" s="23" t="s">
        <v>221</v>
      </c>
      <c r="C93" s="62">
        <v>56</v>
      </c>
      <c r="D93" s="68">
        <v>1361400</v>
      </c>
      <c r="E93" s="68">
        <v>453800</v>
      </c>
      <c r="F93" s="68">
        <v>600</v>
      </c>
      <c r="G93">
        <v>5</v>
      </c>
      <c r="H93">
        <v>3</v>
      </c>
      <c r="I93" s="21" t="str">
        <f xml:space="preserve"> _xlfn.XLOOKUP(B93, ventas[nombre_cliente], ventas[genero_cliente])</f>
        <v>Hombre</v>
      </c>
      <c r="J93" s="32" t="str">
        <f t="shared" si="0"/>
        <v>Frecuente</v>
      </c>
    </row>
    <row r="94" spans="2:10" x14ac:dyDescent="0.3">
      <c r="B94" s="23" t="s">
        <v>201</v>
      </c>
      <c r="C94" s="62">
        <v>18</v>
      </c>
      <c r="D94" s="68">
        <v>3841500</v>
      </c>
      <c r="E94" s="68">
        <v>768300</v>
      </c>
      <c r="F94" s="68">
        <v>193500</v>
      </c>
      <c r="G94">
        <v>11</v>
      </c>
      <c r="H94">
        <v>5</v>
      </c>
      <c r="I94" s="20" t="str">
        <f xml:space="preserve"> _xlfn.XLOOKUP(B94, ventas[nombre_cliente], ventas[genero_cliente])</f>
        <v>Hombre</v>
      </c>
      <c r="J94" s="31" t="str">
        <f t="shared" si="0"/>
        <v>Premium</v>
      </c>
    </row>
    <row r="95" spans="2:10" x14ac:dyDescent="0.3">
      <c r="B95" s="23" t="s">
        <v>183</v>
      </c>
      <c r="C95" s="62">
        <v>49</v>
      </c>
      <c r="D95" s="68">
        <v>1364100</v>
      </c>
      <c r="E95" s="68">
        <v>341025</v>
      </c>
      <c r="F95" s="68">
        <v>148900</v>
      </c>
      <c r="G95">
        <v>9</v>
      </c>
      <c r="H95">
        <v>4</v>
      </c>
      <c r="I95" s="21" t="str">
        <f xml:space="preserve"> _xlfn.XLOOKUP(B95, ventas[nombre_cliente], ventas[genero_cliente])</f>
        <v>Mujer</v>
      </c>
      <c r="J95" s="32" t="str">
        <f t="shared" si="0"/>
        <v>Frecuente</v>
      </c>
    </row>
    <row r="96" spans="2:10" x14ac:dyDescent="0.3">
      <c r="B96" s="23" t="s">
        <v>229</v>
      </c>
      <c r="C96" s="62">
        <v>36</v>
      </c>
      <c r="D96" s="68">
        <v>512250</v>
      </c>
      <c r="E96" s="68">
        <v>170750</v>
      </c>
      <c r="F96" s="68">
        <v>48750</v>
      </c>
      <c r="G96">
        <v>7</v>
      </c>
      <c r="H96">
        <v>3</v>
      </c>
      <c r="I96" s="20" t="str">
        <f xml:space="preserve"> _xlfn.XLOOKUP(B96, ventas[nombre_cliente], ventas[genero_cliente])</f>
        <v>Hombre</v>
      </c>
      <c r="J96" s="31" t="str">
        <f t="shared" si="0"/>
        <v>Frecuente</v>
      </c>
    </row>
    <row r="97" spans="2:10" x14ac:dyDescent="0.3">
      <c r="B97" s="23" t="s">
        <v>356</v>
      </c>
      <c r="C97" s="62">
        <v>23</v>
      </c>
      <c r="D97" s="68">
        <v>3583250</v>
      </c>
      <c r="E97" s="68">
        <v>1194416.6666666667</v>
      </c>
      <c r="F97" s="68">
        <v>1750</v>
      </c>
      <c r="G97">
        <v>6</v>
      </c>
      <c r="H97">
        <v>3</v>
      </c>
      <c r="I97" s="21" t="str">
        <f xml:space="preserve"> _xlfn.XLOOKUP(B97, ventas[nombre_cliente], ventas[genero_cliente])</f>
        <v>Mujer</v>
      </c>
      <c r="J97" s="32" t="str">
        <f t="shared" si="0"/>
        <v>Premium</v>
      </c>
    </row>
    <row r="98" spans="2:10" x14ac:dyDescent="0.3">
      <c r="B98" s="23" t="s">
        <v>203</v>
      </c>
      <c r="C98" s="62">
        <v>32</v>
      </c>
      <c r="D98" s="68">
        <v>9248400</v>
      </c>
      <c r="E98" s="68">
        <v>924840</v>
      </c>
      <c r="F98" s="68">
        <v>73600</v>
      </c>
      <c r="G98">
        <v>20</v>
      </c>
      <c r="H98">
        <v>10</v>
      </c>
      <c r="I98" s="20" t="str">
        <f xml:space="preserve"> _xlfn.XLOOKUP(B98, ventas[nombre_cliente], ventas[genero_cliente])</f>
        <v>Mujer</v>
      </c>
      <c r="J98" s="31" t="str">
        <f t="shared" si="0"/>
        <v>Premium</v>
      </c>
    </row>
    <row r="99" spans="2:10" x14ac:dyDescent="0.3">
      <c r="B99" s="23" t="s">
        <v>195</v>
      </c>
      <c r="C99" s="62">
        <v>47</v>
      </c>
      <c r="D99" s="68">
        <v>2602500</v>
      </c>
      <c r="E99" s="68">
        <v>520500</v>
      </c>
      <c r="F99" s="68">
        <v>211500</v>
      </c>
      <c r="G99">
        <v>10</v>
      </c>
      <c r="H99">
        <v>5</v>
      </c>
      <c r="I99" s="21" t="str">
        <f xml:space="preserve"> _xlfn.XLOOKUP(B99, ventas[nombre_cliente], ventas[genero_cliente])</f>
        <v>Hombre</v>
      </c>
      <c r="J99" s="32" t="str">
        <f t="shared" si="0"/>
        <v>Premium</v>
      </c>
    </row>
    <row r="100" spans="2:10" x14ac:dyDescent="0.3">
      <c r="B100" s="23" t="s">
        <v>406</v>
      </c>
      <c r="C100" s="62">
        <v>27</v>
      </c>
      <c r="D100" s="68">
        <v>1330000</v>
      </c>
      <c r="E100" s="68">
        <v>665000</v>
      </c>
      <c r="F100" s="68">
        <v>70000</v>
      </c>
      <c r="G100">
        <v>2</v>
      </c>
      <c r="H100">
        <v>2</v>
      </c>
      <c r="I100" s="20" t="str">
        <f xml:space="preserve"> _xlfn.XLOOKUP(B100, ventas[nombre_cliente], ventas[genero_cliente])</f>
        <v>Mujer</v>
      </c>
      <c r="J100" s="31" t="str">
        <f t="shared" ref="J100:J163" si="1" xml:space="preserve"> IF( D100 &gt;= Premium, "Premium", IF( D100 &gt;= Frecuente, "Frecuente", "Nuevo" ))</f>
        <v>Frecuente</v>
      </c>
    </row>
    <row r="101" spans="2:10" x14ac:dyDescent="0.3">
      <c r="B101" s="23" t="s">
        <v>544</v>
      </c>
      <c r="C101" s="62">
        <v>42</v>
      </c>
      <c r="D101" s="68">
        <v>4460000</v>
      </c>
      <c r="E101" s="68">
        <v>1115000</v>
      </c>
      <c r="F101" s="68">
        <v>340000</v>
      </c>
      <c r="G101">
        <v>7</v>
      </c>
      <c r="H101">
        <v>4</v>
      </c>
      <c r="I101" s="21" t="str">
        <f xml:space="preserve"> _xlfn.XLOOKUP(B101, ventas[nombre_cliente], ventas[genero_cliente])</f>
        <v>Mujer</v>
      </c>
      <c r="J101" s="32" t="str">
        <f t="shared" si="1"/>
        <v>Premium</v>
      </c>
    </row>
    <row r="102" spans="2:10" x14ac:dyDescent="0.3">
      <c r="B102" s="23" t="s">
        <v>436</v>
      </c>
      <c r="C102" s="62">
        <v>46</v>
      </c>
      <c r="D102" s="68">
        <v>665000</v>
      </c>
      <c r="E102" s="68">
        <v>665000</v>
      </c>
      <c r="F102" s="68">
        <v>35000</v>
      </c>
      <c r="G102">
        <v>1</v>
      </c>
      <c r="H102">
        <v>1</v>
      </c>
      <c r="I102" s="20" t="str">
        <f xml:space="preserve"> _xlfn.XLOOKUP(B102, ventas[nombre_cliente], ventas[genero_cliente])</f>
        <v>Hombre</v>
      </c>
      <c r="J102" s="31" t="str">
        <f t="shared" si="1"/>
        <v>Frecuente</v>
      </c>
    </row>
    <row r="103" spans="2:10" x14ac:dyDescent="0.3">
      <c r="B103" s="23" t="s">
        <v>112</v>
      </c>
      <c r="C103" s="62">
        <v>36</v>
      </c>
      <c r="D103" s="68">
        <v>3290800</v>
      </c>
      <c r="E103" s="68">
        <v>822700</v>
      </c>
      <c r="F103" s="68">
        <v>1200</v>
      </c>
      <c r="G103">
        <v>8</v>
      </c>
      <c r="H103">
        <v>4</v>
      </c>
      <c r="I103" s="21" t="str">
        <f xml:space="preserve"> _xlfn.XLOOKUP(B103, ventas[nombre_cliente], ventas[genero_cliente])</f>
        <v>Hombre</v>
      </c>
      <c r="J103" s="32" t="str">
        <f t="shared" si="1"/>
        <v>Premium</v>
      </c>
    </row>
    <row r="104" spans="2:10" x14ac:dyDescent="0.3">
      <c r="B104" s="23" t="s">
        <v>257</v>
      </c>
      <c r="C104" s="62">
        <v>41</v>
      </c>
      <c r="D104" s="68">
        <v>1616750</v>
      </c>
      <c r="E104" s="68">
        <v>323350</v>
      </c>
      <c r="F104" s="68">
        <v>8250</v>
      </c>
      <c r="G104">
        <v>7</v>
      </c>
      <c r="H104">
        <v>5</v>
      </c>
      <c r="I104" s="20" t="str">
        <f xml:space="preserve"> _xlfn.XLOOKUP(B104, ventas[nombre_cliente], ventas[genero_cliente])</f>
        <v>Mujer</v>
      </c>
      <c r="J104" s="31" t="str">
        <f t="shared" si="1"/>
        <v>Frecuente</v>
      </c>
    </row>
    <row r="105" spans="2:10" x14ac:dyDescent="0.3">
      <c r="B105" s="23" t="s">
        <v>398</v>
      </c>
      <c r="C105" s="62">
        <v>56</v>
      </c>
      <c r="D105" s="68">
        <v>2255000</v>
      </c>
      <c r="E105" s="68">
        <v>751666.66666666663</v>
      </c>
      <c r="F105" s="68">
        <v>0</v>
      </c>
      <c r="G105">
        <v>7</v>
      </c>
      <c r="H105">
        <v>3</v>
      </c>
      <c r="I105" s="21" t="str">
        <f xml:space="preserve"> _xlfn.XLOOKUP(B105, ventas[nombre_cliente], ventas[genero_cliente])</f>
        <v>Hombre</v>
      </c>
      <c r="J105" s="32" t="str">
        <f t="shared" si="1"/>
        <v>Premium</v>
      </c>
    </row>
    <row r="106" spans="2:10" x14ac:dyDescent="0.3">
      <c r="B106" s="23" t="s">
        <v>32</v>
      </c>
      <c r="C106" s="62">
        <v>42</v>
      </c>
      <c r="D106" s="68">
        <v>4945800</v>
      </c>
      <c r="E106" s="68">
        <v>989160</v>
      </c>
      <c r="F106" s="68">
        <v>266200</v>
      </c>
      <c r="G106">
        <v>9</v>
      </c>
      <c r="H106">
        <v>5</v>
      </c>
      <c r="I106" s="20" t="str">
        <f xml:space="preserve"> _xlfn.XLOOKUP(B106, ventas[nombre_cliente], ventas[genero_cliente])</f>
        <v>Hombre</v>
      </c>
      <c r="J106" s="31" t="str">
        <f t="shared" si="1"/>
        <v>Premium</v>
      </c>
    </row>
    <row r="107" spans="2:10" x14ac:dyDescent="0.3">
      <c r="B107" s="23" t="s">
        <v>320</v>
      </c>
      <c r="C107" s="62">
        <v>18</v>
      </c>
      <c r="D107" s="68">
        <v>45000</v>
      </c>
      <c r="E107" s="68">
        <v>45000</v>
      </c>
      <c r="F107" s="68">
        <v>0</v>
      </c>
      <c r="G107">
        <v>3</v>
      </c>
      <c r="H107">
        <v>1</v>
      </c>
      <c r="I107" s="21" t="str">
        <f xml:space="preserve"> _xlfn.XLOOKUP(B107, ventas[nombre_cliente], ventas[genero_cliente])</f>
        <v>Hombre</v>
      </c>
      <c r="J107" s="32" t="str">
        <f t="shared" si="1"/>
        <v>Nuevo</v>
      </c>
    </row>
    <row r="108" spans="2:10" x14ac:dyDescent="0.3">
      <c r="B108" s="23" t="s">
        <v>594</v>
      </c>
      <c r="C108" s="62">
        <v>39</v>
      </c>
      <c r="D108" s="68">
        <v>70000</v>
      </c>
      <c r="E108" s="68">
        <v>70000</v>
      </c>
      <c r="F108" s="68">
        <v>0</v>
      </c>
      <c r="G108">
        <v>2</v>
      </c>
      <c r="H108">
        <v>1</v>
      </c>
      <c r="I108" s="20" t="str">
        <f xml:space="preserve"> _xlfn.XLOOKUP(B108, ventas[nombre_cliente], ventas[genero_cliente])</f>
        <v>Mujer</v>
      </c>
      <c r="J108" s="31" t="str">
        <f t="shared" si="1"/>
        <v>Nuevo</v>
      </c>
    </row>
    <row r="109" spans="2:10" x14ac:dyDescent="0.3">
      <c r="B109" s="23" t="s">
        <v>400</v>
      </c>
      <c r="C109" s="62">
        <v>29</v>
      </c>
      <c r="D109" s="68">
        <v>3030000</v>
      </c>
      <c r="E109" s="68">
        <v>1010000</v>
      </c>
      <c r="F109" s="68">
        <v>65000</v>
      </c>
      <c r="G109">
        <v>7</v>
      </c>
      <c r="H109">
        <v>3</v>
      </c>
      <c r="I109" s="21" t="str">
        <f xml:space="preserve"> _xlfn.XLOOKUP(B109, ventas[nombre_cliente], ventas[genero_cliente])</f>
        <v>Mujer</v>
      </c>
      <c r="J109" s="32" t="str">
        <f t="shared" si="1"/>
        <v>Premium</v>
      </c>
    </row>
    <row r="110" spans="2:10" x14ac:dyDescent="0.3">
      <c r="B110" s="23" t="s">
        <v>388</v>
      </c>
      <c r="C110" s="62">
        <v>44</v>
      </c>
      <c r="D110" s="68">
        <v>2820000</v>
      </c>
      <c r="E110" s="68">
        <v>1410000</v>
      </c>
      <c r="F110" s="68">
        <v>80000</v>
      </c>
      <c r="G110">
        <v>4</v>
      </c>
      <c r="H110">
        <v>2</v>
      </c>
      <c r="I110" s="20" t="str">
        <f xml:space="preserve"> _xlfn.XLOOKUP(B110, ventas[nombre_cliente], ventas[genero_cliente])</f>
        <v>Hombre</v>
      </c>
      <c r="J110" s="31" t="str">
        <f t="shared" si="1"/>
        <v>Premium</v>
      </c>
    </row>
    <row r="111" spans="2:10" x14ac:dyDescent="0.3">
      <c r="B111" s="23" t="s">
        <v>540</v>
      </c>
      <c r="C111" s="62">
        <v>41</v>
      </c>
      <c r="D111" s="68">
        <v>2250000</v>
      </c>
      <c r="E111" s="68">
        <v>2250000</v>
      </c>
      <c r="F111" s="68">
        <v>0</v>
      </c>
      <c r="G111">
        <v>3</v>
      </c>
      <c r="H111">
        <v>1</v>
      </c>
      <c r="I111" s="21" t="str">
        <f xml:space="preserve"> _xlfn.XLOOKUP(B111, ventas[nombre_cliente], ventas[genero_cliente])</f>
        <v>Hombre</v>
      </c>
      <c r="J111" s="32" t="str">
        <f t="shared" si="1"/>
        <v>Premium</v>
      </c>
    </row>
    <row r="112" spans="2:10" x14ac:dyDescent="0.3">
      <c r="B112" s="23" t="s">
        <v>235</v>
      </c>
      <c r="C112" s="62">
        <v>29</v>
      </c>
      <c r="D112" s="68">
        <v>2314000</v>
      </c>
      <c r="E112" s="68">
        <v>462800</v>
      </c>
      <c r="F112" s="68">
        <v>6000</v>
      </c>
      <c r="G112">
        <v>8</v>
      </c>
      <c r="H112">
        <v>5</v>
      </c>
      <c r="I112" s="20" t="str">
        <f xml:space="preserve"> _xlfn.XLOOKUP(B112, ventas[nombre_cliente], ventas[genero_cliente])</f>
        <v>Mujer</v>
      </c>
      <c r="J112" s="31" t="str">
        <f t="shared" si="1"/>
        <v>Premium</v>
      </c>
    </row>
    <row r="113" spans="2:10" x14ac:dyDescent="0.3">
      <c r="B113" s="23" t="s">
        <v>74</v>
      </c>
      <c r="C113" s="62">
        <v>44</v>
      </c>
      <c r="D113" s="68">
        <v>3472800</v>
      </c>
      <c r="E113" s="68">
        <v>868200</v>
      </c>
      <c r="F113" s="68">
        <v>1200</v>
      </c>
      <c r="G113">
        <v>7</v>
      </c>
      <c r="H113">
        <v>4</v>
      </c>
      <c r="I113" s="21" t="str">
        <f xml:space="preserve"> _xlfn.XLOOKUP(B113, ventas[nombre_cliente], ventas[genero_cliente])</f>
        <v>Mujer</v>
      </c>
      <c r="J113" s="32" t="str">
        <f t="shared" si="1"/>
        <v>Premium</v>
      </c>
    </row>
    <row r="114" spans="2:10" x14ac:dyDescent="0.3">
      <c r="B114" s="23" t="s">
        <v>237</v>
      </c>
      <c r="C114" s="62">
        <v>25</v>
      </c>
      <c r="D114" s="68">
        <v>3261400</v>
      </c>
      <c r="E114" s="68">
        <v>652280</v>
      </c>
      <c r="F114" s="68">
        <v>120600</v>
      </c>
      <c r="G114">
        <v>9</v>
      </c>
      <c r="H114">
        <v>5</v>
      </c>
      <c r="I114" s="20" t="str">
        <f xml:space="preserve"> _xlfn.XLOOKUP(B114, ventas[nombre_cliente], ventas[genero_cliente])</f>
        <v>Mujer</v>
      </c>
      <c r="J114" s="31" t="str">
        <f t="shared" si="1"/>
        <v>Premium</v>
      </c>
    </row>
    <row r="115" spans="2:10" x14ac:dyDescent="0.3">
      <c r="B115" s="23" t="s">
        <v>564</v>
      </c>
      <c r="C115" s="62">
        <v>19</v>
      </c>
      <c r="D115" s="68">
        <v>1258750</v>
      </c>
      <c r="E115" s="68">
        <v>629375</v>
      </c>
      <c r="F115" s="68">
        <v>66250</v>
      </c>
      <c r="G115">
        <v>3</v>
      </c>
      <c r="H115">
        <v>2</v>
      </c>
      <c r="I115" s="21" t="str">
        <f xml:space="preserve"> _xlfn.XLOOKUP(B115, ventas[nombre_cliente], ventas[genero_cliente])</f>
        <v>Hombre</v>
      </c>
      <c r="J115" s="32" t="str">
        <f t="shared" si="1"/>
        <v>Frecuente</v>
      </c>
    </row>
    <row r="116" spans="2:10" x14ac:dyDescent="0.3">
      <c r="B116" s="23" t="s">
        <v>88</v>
      </c>
      <c r="C116" s="62">
        <v>40</v>
      </c>
      <c r="D116" s="68">
        <v>5937500</v>
      </c>
      <c r="E116" s="68">
        <v>989583.33333333337</v>
      </c>
      <c r="F116" s="68">
        <v>197500</v>
      </c>
      <c r="G116">
        <v>13</v>
      </c>
      <c r="H116">
        <v>6</v>
      </c>
      <c r="I116" s="20" t="str">
        <f xml:space="preserve"> _xlfn.XLOOKUP(B116, ventas[nombre_cliente], ventas[genero_cliente])</f>
        <v>Hombre</v>
      </c>
      <c r="J116" s="31" t="str">
        <f t="shared" si="1"/>
        <v>Premium</v>
      </c>
    </row>
    <row r="117" spans="2:10" x14ac:dyDescent="0.3">
      <c r="B117" s="23" t="s">
        <v>294</v>
      </c>
      <c r="C117" s="62">
        <v>29</v>
      </c>
      <c r="D117" s="68">
        <v>2327300</v>
      </c>
      <c r="E117" s="68">
        <v>465460</v>
      </c>
      <c r="F117" s="68">
        <v>51700</v>
      </c>
      <c r="G117">
        <v>11</v>
      </c>
      <c r="H117">
        <v>5</v>
      </c>
      <c r="I117" s="21" t="str">
        <f xml:space="preserve"> _xlfn.XLOOKUP(B117, ventas[nombre_cliente], ventas[genero_cliente])</f>
        <v>Hombre</v>
      </c>
      <c r="J117" s="32" t="str">
        <f t="shared" si="1"/>
        <v>Premium</v>
      </c>
    </row>
    <row r="118" spans="2:10" x14ac:dyDescent="0.3">
      <c r="B118" s="23" t="s">
        <v>284</v>
      </c>
      <c r="C118" s="62">
        <v>32</v>
      </c>
      <c r="D118" s="68">
        <v>3300000</v>
      </c>
      <c r="E118" s="68">
        <v>1650000</v>
      </c>
      <c r="F118" s="68">
        <v>0</v>
      </c>
      <c r="G118">
        <v>5</v>
      </c>
      <c r="H118">
        <v>2</v>
      </c>
      <c r="I118" s="20" t="str">
        <f xml:space="preserve"> _xlfn.XLOOKUP(B118, ventas[nombre_cliente], ventas[genero_cliente])</f>
        <v>Mujer</v>
      </c>
      <c r="J118" s="31" t="str">
        <f t="shared" si="1"/>
        <v>Premium</v>
      </c>
    </row>
    <row r="119" spans="2:10" x14ac:dyDescent="0.3">
      <c r="B119" s="23" t="s">
        <v>126</v>
      </c>
      <c r="C119" s="62">
        <v>55</v>
      </c>
      <c r="D119" s="68">
        <v>6070000</v>
      </c>
      <c r="E119" s="68">
        <v>867142.85714285716</v>
      </c>
      <c r="F119" s="68">
        <v>475000</v>
      </c>
      <c r="G119">
        <v>14</v>
      </c>
      <c r="H119">
        <v>7</v>
      </c>
      <c r="I119" s="21" t="str">
        <f xml:space="preserve"> _xlfn.XLOOKUP(B119, ventas[nombre_cliente], ventas[genero_cliente])</f>
        <v>Mujer</v>
      </c>
      <c r="J119" s="32" t="str">
        <f t="shared" si="1"/>
        <v>Premium</v>
      </c>
    </row>
    <row r="120" spans="2:10" x14ac:dyDescent="0.3">
      <c r="B120" s="23" t="s">
        <v>454</v>
      </c>
      <c r="C120" s="62">
        <v>29</v>
      </c>
      <c r="D120" s="68">
        <v>3365000</v>
      </c>
      <c r="E120" s="68">
        <v>1121666.6666666667</v>
      </c>
      <c r="F120" s="68">
        <v>135000</v>
      </c>
      <c r="G120">
        <v>8</v>
      </c>
      <c r="H120">
        <v>3</v>
      </c>
      <c r="I120" s="20" t="str">
        <f xml:space="preserve"> _xlfn.XLOOKUP(B120, ventas[nombre_cliente], ventas[genero_cliente])</f>
        <v>Hombre</v>
      </c>
      <c r="J120" s="31" t="str">
        <f t="shared" si="1"/>
        <v>Premium</v>
      </c>
    </row>
    <row r="121" spans="2:10" x14ac:dyDescent="0.3">
      <c r="B121" s="23" t="s">
        <v>574</v>
      </c>
      <c r="C121" s="62">
        <v>38</v>
      </c>
      <c r="D121" s="68">
        <v>810000</v>
      </c>
      <c r="E121" s="68">
        <v>405000</v>
      </c>
      <c r="F121" s="68">
        <v>0</v>
      </c>
      <c r="G121">
        <v>3</v>
      </c>
      <c r="H121">
        <v>2</v>
      </c>
      <c r="I121" s="21" t="str">
        <f xml:space="preserve"> _xlfn.XLOOKUP(B121, ventas[nombre_cliente], ventas[genero_cliente])</f>
        <v>Hombre</v>
      </c>
      <c r="J121" s="32" t="str">
        <f t="shared" si="1"/>
        <v>Frecuente</v>
      </c>
    </row>
    <row r="122" spans="2:10" x14ac:dyDescent="0.3">
      <c r="B122" s="23" t="s">
        <v>324</v>
      </c>
      <c r="C122" s="62">
        <v>60</v>
      </c>
      <c r="D122" s="68">
        <v>3650000</v>
      </c>
      <c r="E122" s="68">
        <v>1825000</v>
      </c>
      <c r="F122" s="68">
        <v>0</v>
      </c>
      <c r="G122">
        <v>5</v>
      </c>
      <c r="H122">
        <v>2</v>
      </c>
      <c r="I122" s="20" t="str">
        <f xml:space="preserve"> _xlfn.XLOOKUP(B122, ventas[nombre_cliente], ventas[genero_cliente])</f>
        <v>Mujer</v>
      </c>
      <c r="J122" s="31" t="str">
        <f t="shared" si="1"/>
        <v>Premium</v>
      </c>
    </row>
    <row r="123" spans="2:10" x14ac:dyDescent="0.3">
      <c r="B123" s="23" t="s">
        <v>271</v>
      </c>
      <c r="C123" s="62">
        <v>37</v>
      </c>
      <c r="D123" s="68">
        <v>8430000</v>
      </c>
      <c r="E123" s="68">
        <v>2107500</v>
      </c>
      <c r="F123" s="68">
        <v>570000</v>
      </c>
      <c r="G123">
        <v>12</v>
      </c>
      <c r="H123">
        <v>4</v>
      </c>
      <c r="I123" s="21" t="str">
        <f xml:space="preserve"> _xlfn.XLOOKUP(B123, ventas[nombre_cliente], ventas[genero_cliente])</f>
        <v>Mujer</v>
      </c>
      <c r="J123" s="32" t="str">
        <f t="shared" si="1"/>
        <v>Premium</v>
      </c>
    </row>
    <row r="124" spans="2:10" x14ac:dyDescent="0.3">
      <c r="B124" s="23" t="s">
        <v>187</v>
      </c>
      <c r="C124" s="62">
        <v>39</v>
      </c>
      <c r="D124" s="68">
        <v>4905250</v>
      </c>
      <c r="E124" s="68">
        <v>613156.25</v>
      </c>
      <c r="F124" s="68">
        <v>9750</v>
      </c>
      <c r="G124">
        <v>17</v>
      </c>
      <c r="H124">
        <v>8</v>
      </c>
      <c r="I124" s="20" t="str">
        <f xml:space="preserve"> _xlfn.XLOOKUP(B124, ventas[nombre_cliente], ventas[genero_cliente])</f>
        <v>Mujer</v>
      </c>
      <c r="J124" s="31" t="str">
        <f t="shared" si="1"/>
        <v>Premium</v>
      </c>
    </row>
    <row r="125" spans="2:10" x14ac:dyDescent="0.3">
      <c r="B125" s="23" t="s">
        <v>430</v>
      </c>
      <c r="C125" s="62">
        <v>45</v>
      </c>
      <c r="D125" s="68">
        <v>1205000</v>
      </c>
      <c r="E125" s="68">
        <v>602500</v>
      </c>
      <c r="F125" s="68">
        <v>45000</v>
      </c>
      <c r="G125">
        <v>2</v>
      </c>
      <c r="H125">
        <v>2</v>
      </c>
      <c r="I125" s="21" t="str">
        <f xml:space="preserve"> _xlfn.XLOOKUP(B125, ventas[nombre_cliente], ventas[genero_cliente])</f>
        <v>Hombre</v>
      </c>
      <c r="J125" s="32" t="str">
        <f t="shared" si="1"/>
        <v>Frecuente</v>
      </c>
    </row>
    <row r="126" spans="2:10" x14ac:dyDescent="0.3">
      <c r="B126" s="23" t="s">
        <v>364</v>
      </c>
      <c r="C126" s="62">
        <v>51</v>
      </c>
      <c r="D126" s="68">
        <v>24000</v>
      </c>
      <c r="E126" s="68">
        <v>24000</v>
      </c>
      <c r="F126" s="68">
        <v>0</v>
      </c>
      <c r="G126">
        <v>2</v>
      </c>
      <c r="H126">
        <v>1</v>
      </c>
      <c r="I126" s="20" t="str">
        <f xml:space="preserve"> _xlfn.XLOOKUP(B126, ventas[nombre_cliente], ventas[genero_cliente])</f>
        <v>Mujer</v>
      </c>
      <c r="J126" s="31" t="str">
        <f t="shared" si="1"/>
        <v>Nuevo</v>
      </c>
    </row>
    <row r="127" spans="2:10" x14ac:dyDescent="0.3">
      <c r="B127" s="23" t="s">
        <v>474</v>
      </c>
      <c r="C127" s="62">
        <v>42</v>
      </c>
      <c r="D127" s="68">
        <v>715000</v>
      </c>
      <c r="E127" s="68">
        <v>357500</v>
      </c>
      <c r="F127" s="68">
        <v>0</v>
      </c>
      <c r="G127">
        <v>2</v>
      </c>
      <c r="H127">
        <v>2</v>
      </c>
      <c r="I127" s="21" t="str">
        <f xml:space="preserve"> _xlfn.XLOOKUP(B127, ventas[nombre_cliente], ventas[genero_cliente])</f>
        <v>Mujer</v>
      </c>
      <c r="J127" s="32" t="str">
        <f t="shared" si="1"/>
        <v>Frecuente</v>
      </c>
    </row>
    <row r="128" spans="2:10" x14ac:dyDescent="0.3">
      <c r="B128" s="23" t="s">
        <v>105</v>
      </c>
      <c r="C128" s="62">
        <v>37</v>
      </c>
      <c r="D128" s="68">
        <v>2115600</v>
      </c>
      <c r="E128" s="68">
        <v>528900</v>
      </c>
      <c r="F128" s="68">
        <v>82400</v>
      </c>
      <c r="G128">
        <v>8</v>
      </c>
      <c r="H128">
        <v>4</v>
      </c>
      <c r="I128" s="20" t="str">
        <f xml:space="preserve"> _xlfn.XLOOKUP(B128, ventas[nombre_cliente], ventas[genero_cliente])</f>
        <v>Mujer</v>
      </c>
      <c r="J128" s="31" t="str">
        <f t="shared" si="1"/>
        <v>Premium</v>
      </c>
    </row>
    <row r="129" spans="2:10" x14ac:dyDescent="0.3">
      <c r="B129" s="23" t="s">
        <v>562</v>
      </c>
      <c r="C129" s="62">
        <v>43</v>
      </c>
      <c r="D129" s="68">
        <v>105000</v>
      </c>
      <c r="E129" s="68">
        <v>105000</v>
      </c>
      <c r="F129" s="68">
        <v>0</v>
      </c>
      <c r="G129">
        <v>3</v>
      </c>
      <c r="H129">
        <v>1</v>
      </c>
      <c r="I129" s="21" t="str">
        <f xml:space="preserve"> _xlfn.XLOOKUP(B129, ventas[nombre_cliente], ventas[genero_cliente])</f>
        <v>Hombre</v>
      </c>
      <c r="J129" s="32" t="str">
        <f t="shared" si="1"/>
        <v>Nuevo</v>
      </c>
    </row>
    <row r="130" spans="2:10" x14ac:dyDescent="0.3">
      <c r="B130" s="23" t="s">
        <v>169</v>
      </c>
      <c r="C130" s="62">
        <v>40</v>
      </c>
      <c r="D130" s="68">
        <v>2386500</v>
      </c>
      <c r="E130" s="68">
        <v>596625</v>
      </c>
      <c r="F130" s="68">
        <v>98500</v>
      </c>
      <c r="G130">
        <v>7</v>
      </c>
      <c r="H130">
        <v>4</v>
      </c>
      <c r="I130" s="20" t="str">
        <f xml:space="preserve"> _xlfn.XLOOKUP(B130, ventas[nombre_cliente], ventas[genero_cliente])</f>
        <v>Hombre</v>
      </c>
      <c r="J130" s="31" t="str">
        <f t="shared" si="1"/>
        <v>Premium</v>
      </c>
    </row>
    <row r="131" spans="2:10" x14ac:dyDescent="0.3">
      <c r="B131" s="23" t="s">
        <v>528</v>
      </c>
      <c r="C131" s="62">
        <v>32</v>
      </c>
      <c r="D131" s="68">
        <v>960000</v>
      </c>
      <c r="E131" s="68">
        <v>240000</v>
      </c>
      <c r="F131" s="68">
        <v>5000</v>
      </c>
      <c r="G131">
        <v>8</v>
      </c>
      <c r="H131">
        <v>4</v>
      </c>
      <c r="I131" s="21" t="str">
        <f xml:space="preserve"> _xlfn.XLOOKUP(B131, ventas[nombre_cliente], ventas[genero_cliente])</f>
        <v>Hombre</v>
      </c>
      <c r="J131" s="32" t="str">
        <f t="shared" si="1"/>
        <v>Frecuente</v>
      </c>
    </row>
    <row r="132" spans="2:10" x14ac:dyDescent="0.3">
      <c r="B132" s="23" t="s">
        <v>70</v>
      </c>
      <c r="C132" s="62">
        <v>37</v>
      </c>
      <c r="D132" s="68">
        <v>8492750</v>
      </c>
      <c r="E132" s="68">
        <v>1213250</v>
      </c>
      <c r="F132" s="68">
        <v>287250</v>
      </c>
      <c r="G132">
        <v>16</v>
      </c>
      <c r="H132">
        <v>7</v>
      </c>
      <c r="I132" s="20" t="str">
        <f xml:space="preserve"> _xlfn.XLOOKUP(B132, ventas[nombre_cliente], ventas[genero_cliente])</f>
        <v>Hombre</v>
      </c>
      <c r="J132" s="31" t="str">
        <f t="shared" si="1"/>
        <v>Premium</v>
      </c>
    </row>
    <row r="133" spans="2:10" x14ac:dyDescent="0.3">
      <c r="B133" s="23" t="s">
        <v>110</v>
      </c>
      <c r="C133" s="62">
        <v>47</v>
      </c>
      <c r="D133" s="68">
        <v>5187500</v>
      </c>
      <c r="E133" s="68">
        <v>1296875</v>
      </c>
      <c r="F133" s="68">
        <v>162500</v>
      </c>
      <c r="G133">
        <v>8</v>
      </c>
      <c r="H133">
        <v>4</v>
      </c>
      <c r="I133" s="21" t="str">
        <f xml:space="preserve"> _xlfn.XLOOKUP(B133, ventas[nombre_cliente], ventas[genero_cliente])</f>
        <v>Mujer</v>
      </c>
      <c r="J133" s="32" t="str">
        <f t="shared" si="1"/>
        <v>Premium</v>
      </c>
    </row>
    <row r="134" spans="2:10" x14ac:dyDescent="0.3">
      <c r="B134" s="23" t="s">
        <v>40</v>
      </c>
      <c r="C134" s="62">
        <v>35</v>
      </c>
      <c r="D134" s="68">
        <v>38500</v>
      </c>
      <c r="E134" s="68">
        <v>19250</v>
      </c>
      <c r="F134" s="68">
        <v>1500</v>
      </c>
      <c r="G134">
        <v>2</v>
      </c>
      <c r="H134">
        <v>2</v>
      </c>
      <c r="I134" s="20" t="str">
        <f xml:space="preserve"> _xlfn.XLOOKUP(B134, ventas[nombre_cliente], ventas[genero_cliente])</f>
        <v>Mujer</v>
      </c>
      <c r="J134" s="31" t="str">
        <f t="shared" si="1"/>
        <v>Nuevo</v>
      </c>
    </row>
    <row r="135" spans="2:10" x14ac:dyDescent="0.3">
      <c r="B135" s="23" t="s">
        <v>458</v>
      </c>
      <c r="C135" s="62">
        <v>45</v>
      </c>
      <c r="D135" s="68">
        <v>1057500</v>
      </c>
      <c r="E135" s="68">
        <v>528750</v>
      </c>
      <c r="F135" s="68">
        <v>92500</v>
      </c>
      <c r="G135">
        <v>2</v>
      </c>
      <c r="H135">
        <v>2</v>
      </c>
      <c r="I135" s="21" t="str">
        <f xml:space="preserve"> _xlfn.XLOOKUP(B135, ventas[nombre_cliente], ventas[genero_cliente])</f>
        <v>Mujer</v>
      </c>
      <c r="J135" s="32" t="str">
        <f t="shared" si="1"/>
        <v>Frecuente</v>
      </c>
    </row>
    <row r="136" spans="2:10" x14ac:dyDescent="0.3">
      <c r="B136" s="23" t="s">
        <v>310</v>
      </c>
      <c r="C136" s="62">
        <v>38</v>
      </c>
      <c r="D136" s="68">
        <v>4334000</v>
      </c>
      <c r="E136" s="68">
        <v>1083500</v>
      </c>
      <c r="F136" s="68">
        <v>76000</v>
      </c>
      <c r="G136">
        <v>8</v>
      </c>
      <c r="H136">
        <v>4</v>
      </c>
      <c r="I136" s="20" t="str">
        <f xml:space="preserve"> _xlfn.XLOOKUP(B136, ventas[nombre_cliente], ventas[genero_cliente])</f>
        <v>Mujer</v>
      </c>
      <c r="J136" s="31" t="str">
        <f t="shared" si="1"/>
        <v>Premium</v>
      </c>
    </row>
    <row r="137" spans="2:10" x14ac:dyDescent="0.3">
      <c r="B137" s="23" t="s">
        <v>592</v>
      </c>
      <c r="C137" s="62">
        <v>33</v>
      </c>
      <c r="D137" s="68">
        <v>700000</v>
      </c>
      <c r="E137" s="68">
        <v>700000</v>
      </c>
      <c r="F137" s="68">
        <v>0</v>
      </c>
      <c r="G137">
        <v>1</v>
      </c>
      <c r="H137">
        <v>1</v>
      </c>
      <c r="I137" s="21" t="str">
        <f xml:space="preserve"> _xlfn.XLOOKUP(B137, ventas[nombre_cliente], ventas[genero_cliente])</f>
        <v>Mujer</v>
      </c>
      <c r="J137" s="32" t="str">
        <f t="shared" si="1"/>
        <v>Frecuente</v>
      </c>
    </row>
    <row r="138" spans="2:10" x14ac:dyDescent="0.3">
      <c r="B138" s="23" t="s">
        <v>197</v>
      </c>
      <c r="C138" s="62">
        <v>41</v>
      </c>
      <c r="D138" s="68">
        <v>4275000</v>
      </c>
      <c r="E138" s="68">
        <v>1425000</v>
      </c>
      <c r="F138" s="68">
        <v>105000</v>
      </c>
      <c r="G138">
        <v>8</v>
      </c>
      <c r="H138">
        <v>3</v>
      </c>
      <c r="I138" s="20" t="str">
        <f xml:space="preserve"> _xlfn.XLOOKUP(B138, ventas[nombre_cliente], ventas[genero_cliente])</f>
        <v>Hombre</v>
      </c>
      <c r="J138" s="31" t="str">
        <f t="shared" si="1"/>
        <v>Premium</v>
      </c>
    </row>
    <row r="139" spans="2:10" x14ac:dyDescent="0.3">
      <c r="B139" s="23" t="s">
        <v>103</v>
      </c>
      <c r="C139" s="62">
        <v>38</v>
      </c>
      <c r="D139" s="68">
        <v>3800000</v>
      </c>
      <c r="E139" s="68">
        <v>1266666.6666666667</v>
      </c>
      <c r="F139" s="68">
        <v>0</v>
      </c>
      <c r="G139">
        <v>6</v>
      </c>
      <c r="H139">
        <v>3</v>
      </c>
      <c r="I139" s="21" t="str">
        <f xml:space="preserve"> _xlfn.XLOOKUP(B139, ventas[nombre_cliente], ventas[genero_cliente])</f>
        <v>Hombre</v>
      </c>
      <c r="J139" s="32" t="str">
        <f t="shared" si="1"/>
        <v>Premium</v>
      </c>
    </row>
    <row r="140" spans="2:10" x14ac:dyDescent="0.3">
      <c r="B140" s="23" t="s">
        <v>366</v>
      </c>
      <c r="C140" s="62">
        <v>24</v>
      </c>
      <c r="D140" s="68">
        <v>3790800</v>
      </c>
      <c r="E140" s="68">
        <v>1263600</v>
      </c>
      <c r="F140" s="68">
        <v>121200</v>
      </c>
      <c r="G140">
        <v>6</v>
      </c>
      <c r="H140">
        <v>3</v>
      </c>
      <c r="I140" s="20" t="str">
        <f xml:space="preserve"> _xlfn.XLOOKUP(B140, ventas[nombre_cliente], ventas[genero_cliente])</f>
        <v>Mujer</v>
      </c>
      <c r="J140" s="31" t="str">
        <f t="shared" si="1"/>
        <v>Premium</v>
      </c>
    </row>
    <row r="141" spans="2:10" x14ac:dyDescent="0.3">
      <c r="B141" s="23" t="s">
        <v>316</v>
      </c>
      <c r="C141" s="62">
        <v>49</v>
      </c>
      <c r="D141" s="68">
        <v>764250</v>
      </c>
      <c r="E141" s="68">
        <v>191062.5</v>
      </c>
      <c r="F141" s="68">
        <v>5750</v>
      </c>
      <c r="G141">
        <v>5</v>
      </c>
      <c r="H141">
        <v>4</v>
      </c>
      <c r="I141" s="21" t="str">
        <f xml:space="preserve"> _xlfn.XLOOKUP(B141, ventas[nombre_cliente], ventas[genero_cliente])</f>
        <v>Mujer</v>
      </c>
      <c r="J141" s="32" t="str">
        <f t="shared" si="1"/>
        <v>Frecuente</v>
      </c>
    </row>
    <row r="142" spans="2:10" x14ac:dyDescent="0.3">
      <c r="B142" s="23" t="s">
        <v>502</v>
      </c>
      <c r="C142" s="62">
        <v>64</v>
      </c>
      <c r="D142" s="68">
        <v>3607500</v>
      </c>
      <c r="E142" s="68">
        <v>1202500</v>
      </c>
      <c r="F142" s="68">
        <v>187500</v>
      </c>
      <c r="G142">
        <v>9</v>
      </c>
      <c r="H142">
        <v>3</v>
      </c>
      <c r="I142" s="20" t="str">
        <f xml:space="preserve"> _xlfn.XLOOKUP(B142, ventas[nombre_cliente], ventas[genero_cliente])</f>
        <v>Mujer</v>
      </c>
      <c r="J142" s="31" t="str">
        <f t="shared" si="1"/>
        <v>Premium</v>
      </c>
    </row>
    <row r="143" spans="2:10" x14ac:dyDescent="0.3">
      <c r="B143" s="23" t="s">
        <v>450</v>
      </c>
      <c r="C143" s="62">
        <v>70</v>
      </c>
      <c r="D143" s="68">
        <v>3861500</v>
      </c>
      <c r="E143" s="68">
        <v>965375</v>
      </c>
      <c r="F143" s="68">
        <v>163500</v>
      </c>
      <c r="G143">
        <v>10</v>
      </c>
      <c r="H143">
        <v>4</v>
      </c>
      <c r="I143" s="21" t="str">
        <f xml:space="preserve"> _xlfn.XLOOKUP(B143, ventas[nombre_cliente], ventas[genero_cliente])</f>
        <v>Hombre</v>
      </c>
      <c r="J143" s="32" t="str">
        <f t="shared" si="1"/>
        <v>Premium</v>
      </c>
    </row>
    <row r="144" spans="2:10" x14ac:dyDescent="0.3">
      <c r="B144" s="23" t="s">
        <v>255</v>
      </c>
      <c r="C144" s="62">
        <v>30</v>
      </c>
      <c r="D144" s="68">
        <v>79200</v>
      </c>
      <c r="E144" s="68">
        <v>39600</v>
      </c>
      <c r="F144" s="68">
        <v>6800</v>
      </c>
      <c r="G144">
        <v>5</v>
      </c>
      <c r="H144">
        <v>2</v>
      </c>
      <c r="I144" s="20" t="str">
        <f xml:space="preserve"> _xlfn.XLOOKUP(B144, ventas[nombre_cliente], ventas[genero_cliente])</f>
        <v>Hombre</v>
      </c>
      <c r="J144" s="31" t="str">
        <f t="shared" si="1"/>
        <v>Nuevo</v>
      </c>
    </row>
    <row r="145" spans="2:10" x14ac:dyDescent="0.3">
      <c r="B145" s="23" t="s">
        <v>298</v>
      </c>
      <c r="C145" s="62">
        <v>28</v>
      </c>
      <c r="D145" s="68">
        <v>3215000</v>
      </c>
      <c r="E145" s="68">
        <v>1071666.6666666667</v>
      </c>
      <c r="F145" s="68">
        <v>345000</v>
      </c>
      <c r="G145">
        <v>8</v>
      </c>
      <c r="H145">
        <v>3</v>
      </c>
      <c r="I145" s="21" t="str">
        <f xml:space="preserve"> _xlfn.XLOOKUP(B145, ventas[nombre_cliente], ventas[genero_cliente])</f>
        <v>Mujer</v>
      </c>
      <c r="J145" s="32" t="str">
        <f t="shared" si="1"/>
        <v>Premium</v>
      </c>
    </row>
    <row r="146" spans="2:10" x14ac:dyDescent="0.3">
      <c r="B146" s="23" t="s">
        <v>67</v>
      </c>
      <c r="C146" s="62">
        <v>27</v>
      </c>
      <c r="D146" s="68">
        <v>3847500</v>
      </c>
      <c r="E146" s="68">
        <v>769500</v>
      </c>
      <c r="F146" s="68">
        <v>77500</v>
      </c>
      <c r="G146">
        <v>10</v>
      </c>
      <c r="H146">
        <v>5</v>
      </c>
      <c r="I146" s="20" t="str">
        <f xml:space="preserve"> _xlfn.XLOOKUP(B146, ventas[nombre_cliente], ventas[genero_cliente])</f>
        <v>Mujer</v>
      </c>
      <c r="J146" s="31" t="str">
        <f t="shared" si="1"/>
        <v>Premium</v>
      </c>
    </row>
    <row r="147" spans="2:10" x14ac:dyDescent="0.3">
      <c r="B147" s="23" t="s">
        <v>524</v>
      </c>
      <c r="C147" s="62">
        <v>39</v>
      </c>
      <c r="D147" s="68">
        <v>3561000</v>
      </c>
      <c r="E147" s="68">
        <v>712200</v>
      </c>
      <c r="F147" s="68">
        <v>69000</v>
      </c>
      <c r="G147">
        <v>10</v>
      </c>
      <c r="H147">
        <v>5</v>
      </c>
      <c r="I147" s="21" t="str">
        <f xml:space="preserve"> _xlfn.XLOOKUP(B147, ventas[nombre_cliente], ventas[genero_cliente])</f>
        <v>Mujer</v>
      </c>
      <c r="J147" s="32" t="str">
        <f t="shared" si="1"/>
        <v>Premium</v>
      </c>
    </row>
    <row r="148" spans="2:10" x14ac:dyDescent="0.3">
      <c r="B148" s="23" t="s">
        <v>416</v>
      </c>
      <c r="C148" s="62">
        <v>56</v>
      </c>
      <c r="D148" s="68">
        <v>2870900</v>
      </c>
      <c r="E148" s="68">
        <v>574180</v>
      </c>
      <c r="F148" s="68">
        <v>51100</v>
      </c>
      <c r="G148">
        <v>7</v>
      </c>
      <c r="H148">
        <v>5</v>
      </c>
      <c r="I148" s="20" t="str">
        <f xml:space="preserve"> _xlfn.XLOOKUP(B148, ventas[nombre_cliente], ventas[genero_cliente])</f>
        <v>Hombre</v>
      </c>
      <c r="J148" s="31" t="str">
        <f t="shared" si="1"/>
        <v>Premium</v>
      </c>
    </row>
    <row r="149" spans="2:10" x14ac:dyDescent="0.3">
      <c r="B149" s="23" t="s">
        <v>380</v>
      </c>
      <c r="C149" s="62">
        <v>41</v>
      </c>
      <c r="D149" s="68">
        <v>6098900</v>
      </c>
      <c r="E149" s="68">
        <v>871271.42857142852</v>
      </c>
      <c r="F149" s="68">
        <v>178100</v>
      </c>
      <c r="G149">
        <v>15</v>
      </c>
      <c r="H149">
        <v>7</v>
      </c>
      <c r="I149" s="21" t="str">
        <f xml:space="preserve"> _xlfn.XLOOKUP(B149, ventas[nombre_cliente], ventas[genero_cliente])</f>
        <v>Mujer</v>
      </c>
      <c r="J149" s="32" t="str">
        <f t="shared" si="1"/>
        <v>Premium</v>
      </c>
    </row>
    <row r="150" spans="2:10" x14ac:dyDescent="0.3">
      <c r="B150" s="23" t="s">
        <v>410</v>
      </c>
      <c r="C150" s="62">
        <v>40</v>
      </c>
      <c r="D150" s="68">
        <v>2291900</v>
      </c>
      <c r="E150" s="68">
        <v>458380</v>
      </c>
      <c r="F150" s="68">
        <v>5100</v>
      </c>
      <c r="G150">
        <v>12</v>
      </c>
      <c r="H150">
        <v>5</v>
      </c>
      <c r="I150" s="20" t="str">
        <f xml:space="preserve"> _xlfn.XLOOKUP(B150, ventas[nombre_cliente], ventas[genero_cliente])</f>
        <v>Hombre</v>
      </c>
      <c r="J150" s="31" t="str">
        <f t="shared" si="1"/>
        <v>Premium</v>
      </c>
    </row>
    <row r="151" spans="2:10" x14ac:dyDescent="0.3">
      <c r="B151" s="23" t="s">
        <v>227</v>
      </c>
      <c r="C151" s="62">
        <v>38</v>
      </c>
      <c r="D151" s="68">
        <v>61750</v>
      </c>
      <c r="E151" s="68">
        <v>30875</v>
      </c>
      <c r="F151" s="68">
        <v>3250</v>
      </c>
      <c r="G151">
        <v>3</v>
      </c>
      <c r="H151">
        <v>2</v>
      </c>
      <c r="I151" s="21" t="str">
        <f xml:space="preserve"> _xlfn.XLOOKUP(B151, ventas[nombre_cliente], ventas[genero_cliente])</f>
        <v>Mujer</v>
      </c>
      <c r="J151" s="32" t="str">
        <f t="shared" si="1"/>
        <v>Nuevo</v>
      </c>
    </row>
    <row r="152" spans="2:10" x14ac:dyDescent="0.3">
      <c r="B152" s="23" t="s">
        <v>588</v>
      </c>
      <c r="C152" s="62">
        <v>44</v>
      </c>
      <c r="D152" s="68">
        <v>24000</v>
      </c>
      <c r="E152" s="68">
        <v>24000</v>
      </c>
      <c r="F152" s="68">
        <v>0</v>
      </c>
      <c r="G152">
        <v>2</v>
      </c>
      <c r="H152">
        <v>1</v>
      </c>
      <c r="I152" s="20" t="str">
        <f xml:space="preserve"> _xlfn.XLOOKUP(B152, ventas[nombre_cliente], ventas[genero_cliente])</f>
        <v>Mujer</v>
      </c>
      <c r="J152" s="31" t="str">
        <f t="shared" si="1"/>
        <v>Nuevo</v>
      </c>
    </row>
    <row r="153" spans="2:10" x14ac:dyDescent="0.3">
      <c r="B153" s="23" t="s">
        <v>514</v>
      </c>
      <c r="C153" s="62">
        <v>44</v>
      </c>
      <c r="D153" s="68">
        <v>162250</v>
      </c>
      <c r="E153" s="68">
        <v>81125</v>
      </c>
      <c r="F153" s="68">
        <v>2750</v>
      </c>
      <c r="G153">
        <v>3</v>
      </c>
      <c r="H153">
        <v>2</v>
      </c>
      <c r="I153" s="21" t="str">
        <f xml:space="preserve"> _xlfn.XLOOKUP(B153, ventas[nombre_cliente], ventas[genero_cliente])</f>
        <v>Mujer</v>
      </c>
      <c r="J153" s="32" t="str">
        <f t="shared" si="1"/>
        <v>Nuevo</v>
      </c>
    </row>
    <row r="154" spans="2:10" x14ac:dyDescent="0.3">
      <c r="B154" s="23" t="s">
        <v>44</v>
      </c>
      <c r="C154" s="62">
        <v>44</v>
      </c>
      <c r="D154" s="68">
        <v>7037500</v>
      </c>
      <c r="E154" s="68">
        <v>1407500</v>
      </c>
      <c r="F154" s="68">
        <v>362500</v>
      </c>
      <c r="G154">
        <v>11</v>
      </c>
      <c r="H154">
        <v>5</v>
      </c>
      <c r="I154" s="20" t="str">
        <f xml:space="preserve"> _xlfn.XLOOKUP(B154, ventas[nombre_cliente], ventas[genero_cliente])</f>
        <v>Mujer</v>
      </c>
      <c r="J154" s="31" t="str">
        <f t="shared" si="1"/>
        <v>Premium</v>
      </c>
    </row>
    <row r="155" spans="2:10" x14ac:dyDescent="0.3">
      <c r="B155" s="23" t="s">
        <v>456</v>
      </c>
      <c r="C155" s="62">
        <v>18</v>
      </c>
      <c r="D155" s="68">
        <v>148500</v>
      </c>
      <c r="E155" s="68">
        <v>148500</v>
      </c>
      <c r="F155" s="68">
        <v>16500</v>
      </c>
      <c r="G155">
        <v>3</v>
      </c>
      <c r="H155">
        <v>1</v>
      </c>
      <c r="I155" s="21" t="str">
        <f xml:space="preserve"> _xlfn.XLOOKUP(B155, ventas[nombre_cliente], ventas[genero_cliente])</f>
        <v>Mujer</v>
      </c>
      <c r="J155" s="32" t="str">
        <f t="shared" si="1"/>
        <v>Nuevo</v>
      </c>
    </row>
    <row r="156" spans="2:10" x14ac:dyDescent="0.3">
      <c r="B156" s="23" t="s">
        <v>278</v>
      </c>
      <c r="C156" s="62">
        <v>53</v>
      </c>
      <c r="D156" s="68">
        <v>2001800</v>
      </c>
      <c r="E156" s="68">
        <v>333633.33333333331</v>
      </c>
      <c r="F156" s="68">
        <v>40200</v>
      </c>
      <c r="G156">
        <v>12</v>
      </c>
      <c r="H156">
        <v>6</v>
      </c>
      <c r="I156" s="20" t="str">
        <f xml:space="preserve"> _xlfn.XLOOKUP(B156, ventas[nombre_cliente], ventas[genero_cliente])</f>
        <v>Hombre</v>
      </c>
      <c r="J156" s="31" t="str">
        <f t="shared" si="1"/>
        <v>Premium</v>
      </c>
    </row>
    <row r="157" spans="2:10" x14ac:dyDescent="0.3">
      <c r="B157" s="23" t="s">
        <v>181</v>
      </c>
      <c r="C157" s="62">
        <v>34</v>
      </c>
      <c r="D157" s="68">
        <v>3540000</v>
      </c>
      <c r="E157" s="68">
        <v>885000</v>
      </c>
      <c r="F157" s="68">
        <v>35000</v>
      </c>
      <c r="G157">
        <v>6</v>
      </c>
      <c r="H157">
        <v>4</v>
      </c>
      <c r="I157" s="21" t="str">
        <f xml:space="preserve"> _xlfn.XLOOKUP(B157, ventas[nombre_cliente], ventas[genero_cliente])</f>
        <v>Hombre</v>
      </c>
      <c r="J157" s="32" t="str">
        <f t="shared" si="1"/>
        <v>Premium</v>
      </c>
    </row>
    <row r="158" spans="2:10" x14ac:dyDescent="0.3">
      <c r="B158" s="23" t="s">
        <v>276</v>
      </c>
      <c r="C158" s="62">
        <v>30</v>
      </c>
      <c r="D158" s="68">
        <v>737500</v>
      </c>
      <c r="E158" s="68">
        <v>368750</v>
      </c>
      <c r="F158" s="68">
        <v>37500</v>
      </c>
      <c r="G158">
        <v>2</v>
      </c>
      <c r="H158">
        <v>2</v>
      </c>
      <c r="I158" s="20" t="str">
        <f xml:space="preserve"> _xlfn.XLOOKUP(B158, ventas[nombre_cliente], ventas[genero_cliente])</f>
        <v>Hombre</v>
      </c>
      <c r="J158" s="31" t="str">
        <f t="shared" si="1"/>
        <v>Frecuente</v>
      </c>
    </row>
    <row r="159" spans="2:10" x14ac:dyDescent="0.3">
      <c r="B159" s="23" t="s">
        <v>223</v>
      </c>
      <c r="C159" s="62">
        <v>32</v>
      </c>
      <c r="D159" s="68">
        <v>3120000</v>
      </c>
      <c r="E159" s="68">
        <v>624000</v>
      </c>
      <c r="F159" s="68">
        <v>5000</v>
      </c>
      <c r="G159">
        <v>8</v>
      </c>
      <c r="H159">
        <v>5</v>
      </c>
      <c r="I159" s="21" t="str">
        <f xml:space="preserve"> _xlfn.XLOOKUP(B159, ventas[nombre_cliente], ventas[genero_cliente])</f>
        <v>Mujer</v>
      </c>
      <c r="J159" s="32" t="str">
        <f t="shared" si="1"/>
        <v>Premium</v>
      </c>
    </row>
    <row r="160" spans="2:10" x14ac:dyDescent="0.3">
      <c r="B160" s="23" t="s">
        <v>322</v>
      </c>
      <c r="C160" s="62">
        <v>29</v>
      </c>
      <c r="D160" s="68">
        <v>4159000</v>
      </c>
      <c r="E160" s="68">
        <v>1039750</v>
      </c>
      <c r="F160" s="68">
        <v>351000</v>
      </c>
      <c r="G160">
        <v>9</v>
      </c>
      <c r="H160">
        <v>4</v>
      </c>
      <c r="I160" s="20" t="str">
        <f xml:space="preserve"> _xlfn.XLOOKUP(B160, ventas[nombre_cliente], ventas[genero_cliente])</f>
        <v>Mujer</v>
      </c>
      <c r="J160" s="31" t="str">
        <f t="shared" si="1"/>
        <v>Premium</v>
      </c>
    </row>
    <row r="161" spans="2:10" x14ac:dyDescent="0.3">
      <c r="B161" s="23" t="s">
        <v>161</v>
      </c>
      <c r="C161" s="62">
        <v>40</v>
      </c>
      <c r="D161" s="68">
        <v>231600</v>
      </c>
      <c r="E161" s="68">
        <v>77200</v>
      </c>
      <c r="F161" s="68">
        <v>2400</v>
      </c>
      <c r="G161">
        <v>8</v>
      </c>
      <c r="H161">
        <v>3</v>
      </c>
      <c r="I161" s="21" t="str">
        <f xml:space="preserve"> _xlfn.XLOOKUP(B161, ventas[nombre_cliente], ventas[genero_cliente])</f>
        <v>Mujer</v>
      </c>
      <c r="J161" s="32" t="str">
        <f t="shared" si="1"/>
        <v>Nuevo</v>
      </c>
    </row>
    <row r="162" spans="2:10" x14ac:dyDescent="0.3">
      <c r="B162" s="23" t="s">
        <v>165</v>
      </c>
      <c r="C162" s="62">
        <v>43</v>
      </c>
      <c r="D162" s="68">
        <v>6438500</v>
      </c>
      <c r="E162" s="68">
        <v>1073083.3333333333</v>
      </c>
      <c r="F162" s="68">
        <v>272500</v>
      </c>
      <c r="G162">
        <v>15</v>
      </c>
      <c r="H162">
        <v>6</v>
      </c>
      <c r="I162" s="20" t="str">
        <f xml:space="preserve"> _xlfn.XLOOKUP(B162, ventas[nombre_cliente], ventas[genero_cliente])</f>
        <v>Hombre</v>
      </c>
      <c r="J162" s="31" t="str">
        <f t="shared" si="1"/>
        <v>Premium</v>
      </c>
    </row>
    <row r="163" spans="2:10" x14ac:dyDescent="0.3">
      <c r="B163" s="23" t="s">
        <v>138</v>
      </c>
      <c r="C163" s="62">
        <v>20</v>
      </c>
      <c r="D163" s="68">
        <v>3940000</v>
      </c>
      <c r="E163" s="68">
        <v>1313333.3333333333</v>
      </c>
      <c r="F163" s="68">
        <v>210000</v>
      </c>
      <c r="G163">
        <v>7</v>
      </c>
      <c r="H163">
        <v>3</v>
      </c>
      <c r="I163" s="21" t="str">
        <f xml:space="preserve"> _xlfn.XLOOKUP(B163, ventas[nombre_cliente], ventas[genero_cliente])</f>
        <v>Hombre</v>
      </c>
      <c r="J163" s="32" t="str">
        <f t="shared" si="1"/>
        <v>Premium</v>
      </c>
    </row>
    <row r="164" spans="2:10" x14ac:dyDescent="0.3">
      <c r="B164" s="23" t="s">
        <v>124</v>
      </c>
      <c r="C164" s="62">
        <v>51</v>
      </c>
      <c r="D164" s="68">
        <v>3850000</v>
      </c>
      <c r="E164" s="68">
        <v>1925000</v>
      </c>
      <c r="F164" s="68">
        <v>0</v>
      </c>
      <c r="G164">
        <v>5</v>
      </c>
      <c r="H164">
        <v>2</v>
      </c>
      <c r="I164" s="20" t="str">
        <f xml:space="preserve"> _xlfn.XLOOKUP(B164, ventas[nombre_cliente], ventas[genero_cliente])</f>
        <v>Hombre</v>
      </c>
      <c r="J164" s="31" t="str">
        <f t="shared" ref="J164:J227" si="2" xml:space="preserve"> IF( D164 &gt;= Premium, "Premium", IF( D164 &gt;= Frecuente, "Frecuente", "Nuevo" ))</f>
        <v>Premium</v>
      </c>
    </row>
    <row r="165" spans="2:10" x14ac:dyDescent="0.3">
      <c r="B165" s="23" t="s">
        <v>494</v>
      </c>
      <c r="C165" s="62">
        <v>20</v>
      </c>
      <c r="D165" s="68">
        <v>6144000</v>
      </c>
      <c r="E165" s="68">
        <v>1024000</v>
      </c>
      <c r="F165" s="68">
        <v>287000</v>
      </c>
      <c r="G165">
        <v>16</v>
      </c>
      <c r="H165">
        <v>6</v>
      </c>
      <c r="I165" s="21" t="str">
        <f xml:space="preserve"> _xlfn.XLOOKUP(B165, ventas[nombre_cliente], ventas[genero_cliente])</f>
        <v>Hombre</v>
      </c>
      <c r="J165" s="32" t="str">
        <f t="shared" si="2"/>
        <v>Premium</v>
      </c>
    </row>
    <row r="166" spans="2:10" x14ac:dyDescent="0.3">
      <c r="B166" s="23" t="s">
        <v>442</v>
      </c>
      <c r="C166" s="62">
        <v>32</v>
      </c>
      <c r="D166" s="68">
        <v>2130000</v>
      </c>
      <c r="E166" s="68">
        <v>710000</v>
      </c>
      <c r="F166" s="68">
        <v>0</v>
      </c>
      <c r="G166">
        <v>5</v>
      </c>
      <c r="H166">
        <v>3</v>
      </c>
      <c r="I166" s="20" t="str">
        <f xml:space="preserve"> _xlfn.XLOOKUP(B166, ventas[nombre_cliente], ventas[genero_cliente])</f>
        <v>Hombre</v>
      </c>
      <c r="J166" s="31" t="str">
        <f t="shared" si="2"/>
        <v>Premium</v>
      </c>
    </row>
    <row r="167" spans="2:10" x14ac:dyDescent="0.3">
      <c r="B167" s="23" t="s">
        <v>65</v>
      </c>
      <c r="C167" s="62">
        <v>35</v>
      </c>
      <c r="D167" s="68">
        <v>4310000</v>
      </c>
      <c r="E167" s="68">
        <v>1436666.6666666667</v>
      </c>
      <c r="F167" s="68">
        <v>140000</v>
      </c>
      <c r="G167">
        <v>6</v>
      </c>
      <c r="H167">
        <v>3</v>
      </c>
      <c r="I167" s="21" t="str">
        <f xml:space="preserve"> _xlfn.XLOOKUP(B167, ventas[nombre_cliente], ventas[genero_cliente])</f>
        <v>Mujer</v>
      </c>
      <c r="J167" s="32" t="str">
        <f t="shared" si="2"/>
        <v>Premium</v>
      </c>
    </row>
    <row r="168" spans="2:10" x14ac:dyDescent="0.3">
      <c r="B168" s="23" t="s">
        <v>340</v>
      </c>
      <c r="C168" s="62">
        <v>37</v>
      </c>
      <c r="D168" s="68">
        <v>235000</v>
      </c>
      <c r="E168" s="68">
        <v>78333.333333333328</v>
      </c>
      <c r="F168" s="68">
        <v>0</v>
      </c>
      <c r="G168">
        <v>7</v>
      </c>
      <c r="H168">
        <v>3</v>
      </c>
      <c r="I168" s="20" t="str">
        <f xml:space="preserve"> _xlfn.XLOOKUP(B168, ventas[nombre_cliente], ventas[genero_cliente])</f>
        <v>Hombre</v>
      </c>
      <c r="J168" s="31" t="str">
        <f t="shared" si="2"/>
        <v>Nuevo</v>
      </c>
    </row>
    <row r="169" spans="2:10" x14ac:dyDescent="0.3">
      <c r="B169" s="23" t="s">
        <v>422</v>
      </c>
      <c r="C169" s="62">
        <v>34</v>
      </c>
      <c r="D169" s="68">
        <v>7964000</v>
      </c>
      <c r="E169" s="68">
        <v>1137714.2857142857</v>
      </c>
      <c r="F169" s="68">
        <v>336000</v>
      </c>
      <c r="G169">
        <v>16</v>
      </c>
      <c r="H169">
        <v>7</v>
      </c>
      <c r="I169" s="21" t="str">
        <f xml:space="preserve"> _xlfn.XLOOKUP(B169, ventas[nombre_cliente], ventas[genero_cliente])</f>
        <v>Mujer</v>
      </c>
      <c r="J169" s="32" t="str">
        <f t="shared" si="2"/>
        <v>Premium</v>
      </c>
    </row>
    <row r="170" spans="2:10" x14ac:dyDescent="0.3">
      <c r="B170" s="23" t="s">
        <v>478</v>
      </c>
      <c r="C170" s="62">
        <v>34</v>
      </c>
      <c r="D170" s="68">
        <v>2513250</v>
      </c>
      <c r="E170" s="68">
        <v>418875</v>
      </c>
      <c r="F170" s="68">
        <v>131750</v>
      </c>
      <c r="G170">
        <v>11</v>
      </c>
      <c r="H170">
        <v>6</v>
      </c>
      <c r="I170" s="20" t="str">
        <f xml:space="preserve"> _xlfn.XLOOKUP(B170, ventas[nombre_cliente], ventas[genero_cliente])</f>
        <v>Hombre</v>
      </c>
      <c r="J170" s="31" t="str">
        <f t="shared" si="2"/>
        <v>Premium</v>
      </c>
    </row>
    <row r="171" spans="2:10" x14ac:dyDescent="0.3">
      <c r="B171" s="23" t="s">
        <v>548</v>
      </c>
      <c r="C171" s="62">
        <v>30</v>
      </c>
      <c r="D171" s="68">
        <v>130000</v>
      </c>
      <c r="E171" s="68">
        <v>65000</v>
      </c>
      <c r="F171" s="68">
        <v>0</v>
      </c>
      <c r="G171">
        <v>4</v>
      </c>
      <c r="H171">
        <v>2</v>
      </c>
      <c r="I171" s="21" t="str">
        <f xml:space="preserve"> _xlfn.XLOOKUP(B171, ventas[nombre_cliente], ventas[genero_cliente])</f>
        <v>Hombre</v>
      </c>
      <c r="J171" s="32" t="str">
        <f t="shared" si="2"/>
        <v>Nuevo</v>
      </c>
    </row>
    <row r="172" spans="2:10" x14ac:dyDescent="0.3">
      <c r="B172" s="23" t="s">
        <v>63</v>
      </c>
      <c r="C172" s="62">
        <v>18</v>
      </c>
      <c r="D172" s="68">
        <v>5179800</v>
      </c>
      <c r="E172" s="68">
        <v>739971.42857142852</v>
      </c>
      <c r="F172" s="68">
        <v>267200</v>
      </c>
      <c r="G172">
        <v>14</v>
      </c>
      <c r="H172">
        <v>7</v>
      </c>
      <c r="I172" s="20" t="str">
        <f xml:space="preserve"> _xlfn.XLOOKUP(B172, ventas[nombre_cliente], ventas[genero_cliente])</f>
        <v>Hombre</v>
      </c>
      <c r="J172" s="31" t="str">
        <f t="shared" si="2"/>
        <v>Premium</v>
      </c>
    </row>
    <row r="173" spans="2:10" x14ac:dyDescent="0.3">
      <c r="B173" s="23" t="s">
        <v>94</v>
      </c>
      <c r="C173" s="62">
        <v>38</v>
      </c>
      <c r="D173" s="68">
        <v>3850500</v>
      </c>
      <c r="E173" s="68">
        <v>427833.33333333331</v>
      </c>
      <c r="F173" s="68">
        <v>49500</v>
      </c>
      <c r="G173">
        <v>15</v>
      </c>
      <c r="H173">
        <v>9</v>
      </c>
      <c r="I173" s="21" t="str">
        <f xml:space="preserve"> _xlfn.XLOOKUP(B173, ventas[nombre_cliente], ventas[genero_cliente])</f>
        <v>Mujer</v>
      </c>
      <c r="J173" s="32" t="str">
        <f t="shared" si="2"/>
        <v>Premium</v>
      </c>
    </row>
    <row r="174" spans="2:10" x14ac:dyDescent="0.3">
      <c r="B174" s="23" t="s">
        <v>554</v>
      </c>
      <c r="C174" s="62">
        <v>23</v>
      </c>
      <c r="D174" s="68">
        <v>35000</v>
      </c>
      <c r="E174" s="68">
        <v>35000</v>
      </c>
      <c r="F174" s="68">
        <v>0</v>
      </c>
      <c r="G174">
        <v>1</v>
      </c>
      <c r="H174">
        <v>1</v>
      </c>
      <c r="I174" s="20" t="str">
        <f xml:space="preserve"> _xlfn.XLOOKUP(B174, ventas[nombre_cliente], ventas[genero_cliente])</f>
        <v>Mujer</v>
      </c>
      <c r="J174" s="31" t="str">
        <f t="shared" si="2"/>
        <v>Nuevo</v>
      </c>
    </row>
    <row r="175" spans="2:10" x14ac:dyDescent="0.3">
      <c r="B175" s="23" t="s">
        <v>390</v>
      </c>
      <c r="C175" s="62">
        <v>43</v>
      </c>
      <c r="D175" s="68">
        <v>3276250</v>
      </c>
      <c r="E175" s="68">
        <v>819062.5</v>
      </c>
      <c r="F175" s="68">
        <v>3750</v>
      </c>
      <c r="G175">
        <v>10</v>
      </c>
      <c r="H175">
        <v>4</v>
      </c>
      <c r="I175" s="21" t="str">
        <f xml:space="preserve"> _xlfn.XLOOKUP(B175, ventas[nombre_cliente], ventas[genero_cliente])</f>
        <v>Mujer</v>
      </c>
      <c r="J175" s="32" t="str">
        <f t="shared" si="2"/>
        <v>Premium</v>
      </c>
    </row>
    <row r="176" spans="2:10" x14ac:dyDescent="0.3">
      <c r="B176" s="23" t="s">
        <v>191</v>
      </c>
      <c r="C176" s="62">
        <v>28</v>
      </c>
      <c r="D176" s="68">
        <v>5158500</v>
      </c>
      <c r="E176" s="68">
        <v>1289625</v>
      </c>
      <c r="F176" s="68">
        <v>356500</v>
      </c>
      <c r="G176">
        <v>9</v>
      </c>
      <c r="H176">
        <v>4</v>
      </c>
      <c r="I176" s="20" t="str">
        <f xml:space="preserve"> _xlfn.XLOOKUP(B176, ventas[nombre_cliente], ventas[genero_cliente])</f>
        <v>Hombre</v>
      </c>
      <c r="J176" s="31" t="str">
        <f t="shared" si="2"/>
        <v>Premium</v>
      </c>
    </row>
    <row r="177" spans="2:10" x14ac:dyDescent="0.3">
      <c r="B177" s="23" t="s">
        <v>72</v>
      </c>
      <c r="C177" s="62">
        <v>32</v>
      </c>
      <c r="D177" s="68">
        <v>6372500</v>
      </c>
      <c r="E177" s="68">
        <v>1062083.3333333333</v>
      </c>
      <c r="F177" s="68">
        <v>137500</v>
      </c>
      <c r="G177">
        <v>13</v>
      </c>
      <c r="H177">
        <v>6</v>
      </c>
      <c r="I177" s="21" t="str">
        <f xml:space="preserve"> _xlfn.XLOOKUP(B177, ventas[nombre_cliente], ventas[genero_cliente])</f>
        <v>Mujer</v>
      </c>
      <c r="J177" s="32" t="str">
        <f t="shared" si="2"/>
        <v>Premium</v>
      </c>
    </row>
    <row r="178" spans="2:10" x14ac:dyDescent="0.3">
      <c r="B178" s="23" t="s">
        <v>518</v>
      </c>
      <c r="C178" s="62">
        <v>37</v>
      </c>
      <c r="D178" s="68">
        <v>1327150</v>
      </c>
      <c r="E178" s="68">
        <v>442383.33333333331</v>
      </c>
      <c r="F178" s="68">
        <v>69850</v>
      </c>
      <c r="G178">
        <v>5</v>
      </c>
      <c r="H178">
        <v>3</v>
      </c>
      <c r="I178" s="20" t="str">
        <f xml:space="preserve"> _xlfn.XLOOKUP(B178, ventas[nombre_cliente], ventas[genero_cliente])</f>
        <v>Hombre</v>
      </c>
      <c r="J178" s="31" t="str">
        <f t="shared" si="2"/>
        <v>Frecuente</v>
      </c>
    </row>
    <row r="179" spans="2:10" x14ac:dyDescent="0.3">
      <c r="B179" s="23" t="s">
        <v>354</v>
      </c>
      <c r="C179" s="62">
        <v>23</v>
      </c>
      <c r="D179" s="68">
        <v>3268800</v>
      </c>
      <c r="E179" s="68">
        <v>408600</v>
      </c>
      <c r="F179" s="68">
        <v>182200</v>
      </c>
      <c r="G179">
        <v>14</v>
      </c>
      <c r="H179">
        <v>8</v>
      </c>
      <c r="I179" s="21" t="str">
        <f xml:space="preserve"> _xlfn.XLOOKUP(B179, ventas[nombre_cliente], ventas[genero_cliente])</f>
        <v>Mujer</v>
      </c>
      <c r="J179" s="32" t="str">
        <f t="shared" si="2"/>
        <v>Premium</v>
      </c>
    </row>
    <row r="180" spans="2:10" x14ac:dyDescent="0.3">
      <c r="B180" s="23" t="s">
        <v>119</v>
      </c>
      <c r="C180" s="62">
        <v>33</v>
      </c>
      <c r="D180" s="68">
        <v>2017500</v>
      </c>
      <c r="E180" s="68">
        <v>1008750</v>
      </c>
      <c r="F180" s="68">
        <v>32500</v>
      </c>
      <c r="G180">
        <v>3</v>
      </c>
      <c r="H180">
        <v>2</v>
      </c>
      <c r="I180" s="20" t="str">
        <f xml:space="preserve"> _xlfn.XLOOKUP(B180, ventas[nombre_cliente], ventas[genero_cliente])</f>
        <v>Hombre</v>
      </c>
      <c r="J180" s="31" t="str">
        <f t="shared" si="2"/>
        <v>Premium</v>
      </c>
    </row>
    <row r="181" spans="2:10" x14ac:dyDescent="0.3">
      <c r="B181" s="23" t="s">
        <v>146</v>
      </c>
      <c r="C181" s="62">
        <v>65</v>
      </c>
      <c r="D181" s="68">
        <v>1899000</v>
      </c>
      <c r="E181" s="68">
        <v>237375</v>
      </c>
      <c r="F181" s="68">
        <v>63000</v>
      </c>
      <c r="G181">
        <v>14</v>
      </c>
      <c r="H181">
        <v>8</v>
      </c>
      <c r="I181" s="21" t="str">
        <f xml:space="preserve"> _xlfn.XLOOKUP(B181, ventas[nombre_cliente], ventas[genero_cliente])</f>
        <v>Mujer</v>
      </c>
      <c r="J181" s="32" t="str">
        <f t="shared" si="2"/>
        <v>Frecuente</v>
      </c>
    </row>
    <row r="182" spans="2:10" x14ac:dyDescent="0.3">
      <c r="B182" s="23" t="s">
        <v>522</v>
      </c>
      <c r="C182" s="62">
        <v>35</v>
      </c>
      <c r="D182" s="68">
        <v>920300</v>
      </c>
      <c r="E182" s="68">
        <v>184060</v>
      </c>
      <c r="F182" s="68">
        <v>48700</v>
      </c>
      <c r="G182">
        <v>8</v>
      </c>
      <c r="H182">
        <v>5</v>
      </c>
      <c r="I182" s="20" t="str">
        <f xml:space="preserve"> _xlfn.XLOOKUP(B182, ventas[nombre_cliente], ventas[genero_cliente])</f>
        <v>Mujer</v>
      </c>
      <c r="J182" s="31" t="str">
        <f t="shared" si="2"/>
        <v>Frecuente</v>
      </c>
    </row>
    <row r="183" spans="2:10" x14ac:dyDescent="0.3">
      <c r="B183" s="23" t="s">
        <v>604</v>
      </c>
      <c r="C183" s="62">
        <v>50</v>
      </c>
      <c r="D183" s="68">
        <v>1440000</v>
      </c>
      <c r="E183" s="68">
        <v>1440000</v>
      </c>
      <c r="F183" s="68">
        <v>160000</v>
      </c>
      <c r="G183">
        <v>2</v>
      </c>
      <c r="H183">
        <v>1</v>
      </c>
      <c r="I183" s="21" t="str">
        <f xml:space="preserve"> _xlfn.XLOOKUP(B183, ventas[nombre_cliente], ventas[genero_cliente])</f>
        <v>Mujer</v>
      </c>
      <c r="J183" s="32" t="str">
        <f t="shared" si="2"/>
        <v>Frecuente</v>
      </c>
    </row>
    <row r="184" spans="2:10" x14ac:dyDescent="0.3">
      <c r="B184" s="23" t="s">
        <v>314</v>
      </c>
      <c r="C184" s="62">
        <v>42</v>
      </c>
      <c r="D184" s="68">
        <v>2642550</v>
      </c>
      <c r="E184" s="68">
        <v>440425</v>
      </c>
      <c r="F184" s="68">
        <v>74450</v>
      </c>
      <c r="G184">
        <v>13</v>
      </c>
      <c r="H184">
        <v>6</v>
      </c>
      <c r="I184" s="20" t="str">
        <f xml:space="preserve"> _xlfn.XLOOKUP(B184, ventas[nombre_cliente], ventas[genero_cliente])</f>
        <v>Mujer</v>
      </c>
      <c r="J184" s="31" t="str">
        <f t="shared" si="2"/>
        <v>Premium</v>
      </c>
    </row>
    <row r="185" spans="2:10" x14ac:dyDescent="0.3">
      <c r="B185" s="23" t="s">
        <v>386</v>
      </c>
      <c r="C185" s="62">
        <v>19</v>
      </c>
      <c r="D185" s="68">
        <v>1995000</v>
      </c>
      <c r="E185" s="68">
        <v>997500</v>
      </c>
      <c r="F185" s="68">
        <v>0</v>
      </c>
      <c r="G185">
        <v>6</v>
      </c>
      <c r="H185">
        <v>2</v>
      </c>
      <c r="I185" s="21" t="str">
        <f xml:space="preserve"> _xlfn.XLOOKUP(B185, ventas[nombre_cliente], ventas[genero_cliente])</f>
        <v>Hombre</v>
      </c>
      <c r="J185" s="32" t="str">
        <f t="shared" si="2"/>
        <v>Frecuente</v>
      </c>
    </row>
    <row r="186" spans="2:10" x14ac:dyDescent="0.3">
      <c r="B186" s="23" t="s">
        <v>526</v>
      </c>
      <c r="C186" s="62">
        <v>31</v>
      </c>
      <c r="D186" s="68">
        <v>1920000</v>
      </c>
      <c r="E186" s="68">
        <v>960000</v>
      </c>
      <c r="F186" s="68">
        <v>105000</v>
      </c>
      <c r="G186">
        <v>6</v>
      </c>
      <c r="H186">
        <v>2</v>
      </c>
      <c r="I186" s="20" t="str">
        <f xml:space="preserve"> _xlfn.XLOOKUP(B186, ventas[nombre_cliente], ventas[genero_cliente])</f>
        <v>Hombre</v>
      </c>
      <c r="J186" s="31" t="str">
        <f t="shared" si="2"/>
        <v>Frecuente</v>
      </c>
    </row>
    <row r="187" spans="2:10" x14ac:dyDescent="0.3">
      <c r="B187" s="23" t="s">
        <v>134</v>
      </c>
      <c r="C187" s="62">
        <v>23</v>
      </c>
      <c r="D187" s="68">
        <v>5504800</v>
      </c>
      <c r="E187" s="68">
        <v>550480</v>
      </c>
      <c r="F187" s="68">
        <v>152200</v>
      </c>
      <c r="G187">
        <v>18</v>
      </c>
      <c r="H187">
        <v>10</v>
      </c>
      <c r="I187" s="21" t="str">
        <f xml:space="preserve"> _xlfn.XLOOKUP(B187, ventas[nombre_cliente], ventas[genero_cliente])</f>
        <v>Mujer</v>
      </c>
      <c r="J187" s="32" t="str">
        <f t="shared" si="2"/>
        <v>Premium</v>
      </c>
    </row>
    <row r="188" spans="2:10" x14ac:dyDescent="0.3">
      <c r="B188" s="23" t="s">
        <v>602</v>
      </c>
      <c r="C188" s="62">
        <v>42</v>
      </c>
      <c r="D188" s="68">
        <v>2092500</v>
      </c>
      <c r="E188" s="68">
        <v>1046250</v>
      </c>
      <c r="F188" s="68">
        <v>157500</v>
      </c>
      <c r="G188">
        <v>5</v>
      </c>
      <c r="H188">
        <v>2</v>
      </c>
      <c r="I188" s="20" t="str">
        <f xml:space="preserve"> _xlfn.XLOOKUP(B188, ventas[nombre_cliente], ventas[genero_cliente])</f>
        <v>Hombre</v>
      </c>
      <c r="J188" s="31" t="str">
        <f t="shared" si="2"/>
        <v>Premium</v>
      </c>
    </row>
    <row r="189" spans="2:10" x14ac:dyDescent="0.3">
      <c r="B189" s="23" t="s">
        <v>498</v>
      </c>
      <c r="C189" s="62">
        <v>37</v>
      </c>
      <c r="D189" s="68">
        <v>1265000</v>
      </c>
      <c r="E189" s="68">
        <v>421666.66666666669</v>
      </c>
      <c r="F189" s="68">
        <v>0</v>
      </c>
      <c r="G189">
        <v>3</v>
      </c>
      <c r="H189">
        <v>3</v>
      </c>
      <c r="I189" s="21" t="str">
        <f xml:space="preserve"> _xlfn.XLOOKUP(B189, ventas[nombre_cliente], ventas[genero_cliente])</f>
        <v>Hombre</v>
      </c>
      <c r="J189" s="32" t="str">
        <f t="shared" si="2"/>
        <v>Frecuente</v>
      </c>
    </row>
    <row r="190" spans="2:10" x14ac:dyDescent="0.3">
      <c r="B190" s="23" t="s">
        <v>280</v>
      </c>
      <c r="C190" s="62">
        <v>35</v>
      </c>
      <c r="D190" s="68">
        <v>9745000</v>
      </c>
      <c r="E190" s="68">
        <v>1624166.6666666667</v>
      </c>
      <c r="F190" s="68">
        <v>105000</v>
      </c>
      <c r="G190">
        <v>14</v>
      </c>
      <c r="H190">
        <v>6</v>
      </c>
      <c r="I190" s="20" t="str">
        <f xml:space="preserve"> _xlfn.XLOOKUP(B190, ventas[nombre_cliente], ventas[genero_cliente])</f>
        <v>Hombre</v>
      </c>
      <c r="J190" s="31" t="str">
        <f t="shared" si="2"/>
        <v>Premium</v>
      </c>
    </row>
    <row r="191" spans="2:10" x14ac:dyDescent="0.3">
      <c r="B191" s="23" t="s">
        <v>153</v>
      </c>
      <c r="C191" s="62">
        <v>46</v>
      </c>
      <c r="D191" s="68">
        <v>4864500</v>
      </c>
      <c r="E191" s="68">
        <v>810750</v>
      </c>
      <c r="F191" s="68">
        <v>145500</v>
      </c>
      <c r="G191">
        <v>12</v>
      </c>
      <c r="H191">
        <v>6</v>
      </c>
      <c r="I191" s="21" t="str">
        <f xml:space="preserve"> _xlfn.XLOOKUP(B191, ventas[nombre_cliente], ventas[genero_cliente])</f>
        <v>Mujer</v>
      </c>
      <c r="J191" s="32" t="str">
        <f t="shared" si="2"/>
        <v>Premium</v>
      </c>
    </row>
    <row r="192" spans="2:10" x14ac:dyDescent="0.3">
      <c r="B192" s="23" t="s">
        <v>136</v>
      </c>
      <c r="C192" s="62">
        <v>50</v>
      </c>
      <c r="D192" s="68">
        <v>3645000</v>
      </c>
      <c r="E192" s="68">
        <v>1215000</v>
      </c>
      <c r="F192" s="68">
        <v>270000</v>
      </c>
      <c r="G192">
        <v>6</v>
      </c>
      <c r="H192">
        <v>3</v>
      </c>
      <c r="I192" s="20" t="str">
        <f xml:space="preserve"> _xlfn.XLOOKUP(B192, ventas[nombre_cliente], ventas[genero_cliente])</f>
        <v>Hombre</v>
      </c>
      <c r="J192" s="31" t="str">
        <f t="shared" si="2"/>
        <v>Premium</v>
      </c>
    </row>
    <row r="193" spans="2:10" x14ac:dyDescent="0.3">
      <c r="B193" s="23" t="s">
        <v>217</v>
      </c>
      <c r="C193" s="62">
        <v>33</v>
      </c>
      <c r="D193" s="68">
        <v>3803250</v>
      </c>
      <c r="E193" s="68">
        <v>1267750</v>
      </c>
      <c r="F193" s="68">
        <v>81750</v>
      </c>
      <c r="G193">
        <v>6</v>
      </c>
      <c r="H193">
        <v>3</v>
      </c>
      <c r="I193" s="21" t="str">
        <f xml:space="preserve"> _xlfn.XLOOKUP(B193, ventas[nombre_cliente], ventas[genero_cliente])</f>
        <v>Mujer</v>
      </c>
      <c r="J193" s="32" t="str">
        <f t="shared" si="2"/>
        <v>Premium</v>
      </c>
    </row>
    <row r="194" spans="2:10" x14ac:dyDescent="0.3">
      <c r="B194" s="23" t="s">
        <v>358</v>
      </c>
      <c r="C194" s="62">
        <v>29</v>
      </c>
      <c r="D194" s="68">
        <v>184500</v>
      </c>
      <c r="E194" s="68">
        <v>61500</v>
      </c>
      <c r="F194" s="68">
        <v>5500</v>
      </c>
      <c r="G194">
        <v>6</v>
      </c>
      <c r="H194">
        <v>3</v>
      </c>
      <c r="I194" s="20" t="str">
        <f xml:space="preserve"> _xlfn.XLOOKUP(B194, ventas[nombre_cliente], ventas[genero_cliente])</f>
        <v>Mujer</v>
      </c>
      <c r="J194" s="31" t="str">
        <f t="shared" si="2"/>
        <v>Nuevo</v>
      </c>
    </row>
    <row r="195" spans="2:10" x14ac:dyDescent="0.3">
      <c r="B195" s="23" t="s">
        <v>142</v>
      </c>
      <c r="C195" s="62">
        <v>30</v>
      </c>
      <c r="D195" s="68">
        <v>735100</v>
      </c>
      <c r="E195" s="68">
        <v>245033.33333333334</v>
      </c>
      <c r="F195" s="68">
        <v>3900</v>
      </c>
      <c r="G195">
        <v>4</v>
      </c>
      <c r="H195">
        <v>3</v>
      </c>
      <c r="I195" s="21" t="str">
        <f xml:space="preserve"> _xlfn.XLOOKUP(B195, ventas[nombre_cliente], ventas[genero_cliente])</f>
        <v>Mujer</v>
      </c>
      <c r="J195" s="32" t="str">
        <f t="shared" si="2"/>
        <v>Frecuente</v>
      </c>
    </row>
    <row r="196" spans="2:10" x14ac:dyDescent="0.3">
      <c r="B196" s="23" t="s">
        <v>368</v>
      </c>
      <c r="C196" s="62">
        <v>31</v>
      </c>
      <c r="D196" s="68">
        <v>2070550</v>
      </c>
      <c r="E196" s="68">
        <v>517637.5</v>
      </c>
      <c r="F196" s="68">
        <v>216450</v>
      </c>
      <c r="G196">
        <v>9</v>
      </c>
      <c r="H196">
        <v>4</v>
      </c>
      <c r="I196" s="20" t="str">
        <f xml:space="preserve"> _xlfn.XLOOKUP(B196, ventas[nombre_cliente], ventas[genero_cliente])</f>
        <v>Mujer</v>
      </c>
      <c r="J196" s="31" t="str">
        <f t="shared" si="2"/>
        <v>Premium</v>
      </c>
    </row>
    <row r="197" spans="2:10" x14ac:dyDescent="0.3">
      <c r="B197" s="23" t="s">
        <v>82</v>
      </c>
      <c r="C197" s="62">
        <v>18</v>
      </c>
      <c r="D197" s="68">
        <v>108000</v>
      </c>
      <c r="E197" s="68">
        <v>54000</v>
      </c>
      <c r="F197" s="68">
        <v>12000</v>
      </c>
      <c r="G197">
        <v>4</v>
      </c>
      <c r="H197">
        <v>2</v>
      </c>
      <c r="I197" s="21" t="str">
        <f xml:space="preserve"> _xlfn.XLOOKUP(B197, ventas[nombre_cliente], ventas[genero_cliente])</f>
        <v>Hombre</v>
      </c>
      <c r="J197" s="32" t="str">
        <f t="shared" si="2"/>
        <v>Nuevo</v>
      </c>
    </row>
    <row r="198" spans="2:10" x14ac:dyDescent="0.3">
      <c r="B198" s="23" t="s">
        <v>464</v>
      </c>
      <c r="C198" s="62">
        <v>41</v>
      </c>
      <c r="D198" s="68">
        <v>2578000</v>
      </c>
      <c r="E198" s="68">
        <v>644500</v>
      </c>
      <c r="F198" s="68">
        <v>12000</v>
      </c>
      <c r="G198">
        <v>9</v>
      </c>
      <c r="H198">
        <v>4</v>
      </c>
      <c r="I198" s="20" t="str">
        <f xml:space="preserve"> _xlfn.XLOOKUP(B198, ventas[nombre_cliente], ventas[genero_cliente])</f>
        <v>Hombre</v>
      </c>
      <c r="J198" s="31" t="str">
        <f t="shared" si="2"/>
        <v>Premium</v>
      </c>
    </row>
    <row r="199" spans="2:10" x14ac:dyDescent="0.3">
      <c r="B199" s="23" t="s">
        <v>243</v>
      </c>
      <c r="C199" s="62">
        <v>41</v>
      </c>
      <c r="D199" s="68">
        <v>1524500</v>
      </c>
      <c r="E199" s="68">
        <v>304900</v>
      </c>
      <c r="F199" s="68">
        <v>5500</v>
      </c>
      <c r="G199">
        <v>8</v>
      </c>
      <c r="H199">
        <v>5</v>
      </c>
      <c r="I199" s="21" t="str">
        <f xml:space="preserve"> _xlfn.XLOOKUP(B199, ventas[nombre_cliente], ventas[genero_cliente])</f>
        <v>Hombre</v>
      </c>
      <c r="J199" s="32" t="str">
        <f t="shared" si="2"/>
        <v>Frecuente</v>
      </c>
    </row>
    <row r="200" spans="2:10" x14ac:dyDescent="0.3">
      <c r="B200" s="23" t="s">
        <v>550</v>
      </c>
      <c r="C200" s="62">
        <v>26</v>
      </c>
      <c r="D200" s="68">
        <v>159500</v>
      </c>
      <c r="E200" s="68">
        <v>79750</v>
      </c>
      <c r="F200" s="68">
        <v>5500</v>
      </c>
      <c r="G200">
        <v>3</v>
      </c>
      <c r="H200">
        <v>2</v>
      </c>
      <c r="I200" s="20" t="str">
        <f xml:space="preserve"> _xlfn.XLOOKUP(B200, ventas[nombre_cliente], ventas[genero_cliente])</f>
        <v>Hombre</v>
      </c>
      <c r="J200" s="31" t="str">
        <f t="shared" si="2"/>
        <v>Nuevo</v>
      </c>
    </row>
    <row r="201" spans="2:10" x14ac:dyDescent="0.3">
      <c r="B201" s="23" t="s">
        <v>570</v>
      </c>
      <c r="C201" s="62">
        <v>38</v>
      </c>
      <c r="D201" s="68">
        <v>1127500</v>
      </c>
      <c r="E201" s="68">
        <v>563750</v>
      </c>
      <c r="F201" s="68">
        <v>22500</v>
      </c>
      <c r="G201">
        <v>2</v>
      </c>
      <c r="H201">
        <v>2</v>
      </c>
      <c r="I201" s="21" t="str">
        <f xml:space="preserve"> _xlfn.XLOOKUP(B201, ventas[nombre_cliente], ventas[genero_cliente])</f>
        <v>Mujer</v>
      </c>
      <c r="J201" s="32" t="str">
        <f t="shared" si="2"/>
        <v>Frecuente</v>
      </c>
    </row>
    <row r="202" spans="2:10" x14ac:dyDescent="0.3">
      <c r="B202" s="23" t="s">
        <v>432</v>
      </c>
      <c r="C202" s="62">
        <v>22</v>
      </c>
      <c r="D202" s="68">
        <v>842500</v>
      </c>
      <c r="E202" s="68">
        <v>210625</v>
      </c>
      <c r="F202" s="68">
        <v>2500</v>
      </c>
      <c r="G202">
        <v>6</v>
      </c>
      <c r="H202">
        <v>4</v>
      </c>
      <c r="I202" s="20" t="str">
        <f xml:space="preserve"> _xlfn.XLOOKUP(B202, ventas[nombre_cliente], ventas[genero_cliente])</f>
        <v>Hombre</v>
      </c>
      <c r="J202" s="31" t="str">
        <f t="shared" si="2"/>
        <v>Frecuente</v>
      </c>
    </row>
    <row r="203" spans="2:10" x14ac:dyDescent="0.3">
      <c r="B203" s="23" t="s">
        <v>352</v>
      </c>
      <c r="C203" s="62">
        <v>18</v>
      </c>
      <c r="D203" s="68">
        <v>2031400</v>
      </c>
      <c r="E203" s="68">
        <v>677133.33333333337</v>
      </c>
      <c r="F203" s="68">
        <v>600</v>
      </c>
      <c r="G203">
        <v>6</v>
      </c>
      <c r="H203">
        <v>3</v>
      </c>
      <c r="I203" s="21" t="str">
        <f xml:space="preserve"> _xlfn.XLOOKUP(B203, ventas[nombre_cliente], ventas[genero_cliente])</f>
        <v>Hombre</v>
      </c>
      <c r="J203" s="32" t="str">
        <f t="shared" si="2"/>
        <v>Premium</v>
      </c>
    </row>
    <row r="204" spans="2:10" x14ac:dyDescent="0.3">
      <c r="B204" s="23" t="s">
        <v>263</v>
      </c>
      <c r="C204" s="62">
        <v>56</v>
      </c>
      <c r="D204" s="68">
        <v>3307500</v>
      </c>
      <c r="E204" s="68">
        <v>826875</v>
      </c>
      <c r="F204" s="68">
        <v>167500</v>
      </c>
      <c r="G204">
        <v>9</v>
      </c>
      <c r="H204">
        <v>4</v>
      </c>
      <c r="I204" s="20" t="str">
        <f xml:space="preserve"> _xlfn.XLOOKUP(B204, ventas[nombre_cliente], ventas[genero_cliente])</f>
        <v>Hombre</v>
      </c>
      <c r="J204" s="31" t="str">
        <f t="shared" si="2"/>
        <v>Premium</v>
      </c>
    </row>
    <row r="205" spans="2:10" x14ac:dyDescent="0.3">
      <c r="B205" s="23" t="s">
        <v>378</v>
      </c>
      <c r="C205" s="62">
        <v>43</v>
      </c>
      <c r="D205" s="68">
        <v>2400000</v>
      </c>
      <c r="E205" s="68">
        <v>2400000</v>
      </c>
      <c r="F205" s="68">
        <v>0</v>
      </c>
      <c r="G205">
        <v>3</v>
      </c>
      <c r="H205">
        <v>1</v>
      </c>
      <c r="I205" s="21" t="str">
        <f xml:space="preserve"> _xlfn.XLOOKUP(B205, ventas[nombre_cliente], ventas[genero_cliente])</f>
        <v>Mujer</v>
      </c>
      <c r="J205" s="32" t="str">
        <f t="shared" si="2"/>
        <v>Premium</v>
      </c>
    </row>
    <row r="206" spans="2:10" x14ac:dyDescent="0.3">
      <c r="B206" s="23" t="s">
        <v>418</v>
      </c>
      <c r="C206" s="62">
        <v>51</v>
      </c>
      <c r="D206" s="68">
        <v>2145000</v>
      </c>
      <c r="E206" s="68">
        <v>715000</v>
      </c>
      <c r="F206" s="68">
        <v>155000</v>
      </c>
      <c r="G206">
        <v>4</v>
      </c>
      <c r="H206">
        <v>3</v>
      </c>
      <c r="I206" s="20" t="str">
        <f xml:space="preserve"> _xlfn.XLOOKUP(B206, ventas[nombre_cliente], ventas[genero_cliente])</f>
        <v>Hombre</v>
      </c>
      <c r="J206" s="31" t="str">
        <f t="shared" si="2"/>
        <v>Premium</v>
      </c>
    </row>
    <row r="207" spans="2:10" x14ac:dyDescent="0.3">
      <c r="B207" s="23" t="s">
        <v>580</v>
      </c>
      <c r="C207" s="62">
        <v>20</v>
      </c>
      <c r="D207" s="68">
        <v>118750</v>
      </c>
      <c r="E207" s="68">
        <v>59375</v>
      </c>
      <c r="F207" s="68">
        <v>6250</v>
      </c>
      <c r="G207">
        <v>5</v>
      </c>
      <c r="H207">
        <v>2</v>
      </c>
      <c r="I207" s="21" t="str">
        <f xml:space="preserve"> _xlfn.XLOOKUP(B207, ventas[nombre_cliente], ventas[genero_cliente])</f>
        <v>Mujer</v>
      </c>
      <c r="J207" s="32" t="str">
        <f t="shared" si="2"/>
        <v>Nuevo</v>
      </c>
    </row>
    <row r="208" spans="2:10" x14ac:dyDescent="0.3">
      <c r="B208" s="23" t="s">
        <v>596</v>
      </c>
      <c r="C208" s="62">
        <v>40</v>
      </c>
      <c r="D208" s="68">
        <v>46600</v>
      </c>
      <c r="E208" s="68">
        <v>23300</v>
      </c>
      <c r="F208" s="68">
        <v>2400</v>
      </c>
      <c r="G208">
        <v>3</v>
      </c>
      <c r="H208">
        <v>2</v>
      </c>
      <c r="I208" s="20" t="str">
        <f xml:space="preserve"> _xlfn.XLOOKUP(B208, ventas[nombre_cliente], ventas[genero_cliente])</f>
        <v>Hombre</v>
      </c>
      <c r="J208" s="31" t="str">
        <f t="shared" si="2"/>
        <v>Nuevo</v>
      </c>
    </row>
    <row r="209" spans="2:10" x14ac:dyDescent="0.3">
      <c r="B209" s="23" t="s">
        <v>468</v>
      </c>
      <c r="C209" s="62">
        <v>39</v>
      </c>
      <c r="D209" s="68">
        <v>9055000</v>
      </c>
      <c r="E209" s="68">
        <v>1293571.4285714286</v>
      </c>
      <c r="F209" s="68">
        <v>355000</v>
      </c>
      <c r="G209">
        <v>17</v>
      </c>
      <c r="H209">
        <v>7</v>
      </c>
      <c r="I209" s="21" t="str">
        <f xml:space="preserve"> _xlfn.XLOOKUP(B209, ventas[nombre_cliente], ventas[genero_cliente])</f>
        <v>Hombre</v>
      </c>
      <c r="J209" s="32" t="str">
        <f t="shared" si="2"/>
        <v>Premium</v>
      </c>
    </row>
    <row r="210" spans="2:10" x14ac:dyDescent="0.3">
      <c r="B210" s="23" t="s">
        <v>586</v>
      </c>
      <c r="C210" s="62">
        <v>23</v>
      </c>
      <c r="D210" s="68">
        <v>855000</v>
      </c>
      <c r="E210" s="68">
        <v>855000</v>
      </c>
      <c r="F210" s="68">
        <v>45000</v>
      </c>
      <c r="G210">
        <v>2</v>
      </c>
      <c r="H210">
        <v>1</v>
      </c>
      <c r="I210" s="20" t="str">
        <f xml:space="preserve"> _xlfn.XLOOKUP(B210, ventas[nombre_cliente], ventas[genero_cliente])</f>
        <v>Hombre</v>
      </c>
      <c r="J210" s="31" t="str">
        <f t="shared" si="2"/>
        <v>Frecuente</v>
      </c>
    </row>
    <row r="211" spans="2:10" x14ac:dyDescent="0.3">
      <c r="B211" s="23" t="s">
        <v>86</v>
      </c>
      <c r="C211" s="62">
        <v>28</v>
      </c>
      <c r="D211" s="68">
        <v>1928750</v>
      </c>
      <c r="E211" s="68">
        <v>642916.66666666663</v>
      </c>
      <c r="F211" s="68">
        <v>211250</v>
      </c>
      <c r="G211">
        <v>5</v>
      </c>
      <c r="H211">
        <v>3</v>
      </c>
      <c r="I211" s="21" t="str">
        <f xml:space="preserve"> _xlfn.XLOOKUP(B211, ventas[nombre_cliente], ventas[genero_cliente])</f>
        <v>Hombre</v>
      </c>
      <c r="J211" s="32" t="str">
        <f t="shared" si="2"/>
        <v>Frecuente</v>
      </c>
    </row>
    <row r="212" spans="2:10" x14ac:dyDescent="0.3">
      <c r="B212" s="23" t="s">
        <v>490</v>
      </c>
      <c r="C212" s="62">
        <v>21</v>
      </c>
      <c r="D212" s="68">
        <v>5180000</v>
      </c>
      <c r="E212" s="68">
        <v>1295000</v>
      </c>
      <c r="F212" s="68">
        <v>305000</v>
      </c>
      <c r="G212">
        <v>8</v>
      </c>
      <c r="H212">
        <v>4</v>
      </c>
      <c r="I212" s="20" t="str">
        <f xml:space="preserve"> _xlfn.XLOOKUP(B212, ventas[nombre_cliente], ventas[genero_cliente])</f>
        <v>Hombre</v>
      </c>
      <c r="J212" s="31" t="str">
        <f t="shared" si="2"/>
        <v>Premium</v>
      </c>
    </row>
    <row r="213" spans="2:10" x14ac:dyDescent="0.3">
      <c r="B213" s="23" t="s">
        <v>35</v>
      </c>
      <c r="C213" s="62">
        <v>47</v>
      </c>
      <c r="D213" s="68">
        <v>4747500</v>
      </c>
      <c r="E213" s="68">
        <v>949500</v>
      </c>
      <c r="F213" s="68">
        <v>97500</v>
      </c>
      <c r="G213">
        <v>12</v>
      </c>
      <c r="H213">
        <v>5</v>
      </c>
      <c r="I213" s="21" t="str">
        <f xml:space="preserve"> _xlfn.XLOOKUP(B213, ventas[nombre_cliente], ventas[genero_cliente])</f>
        <v>Hombre</v>
      </c>
      <c r="J213" s="32" t="str">
        <f t="shared" si="2"/>
        <v>Premium</v>
      </c>
    </row>
    <row r="214" spans="2:10" x14ac:dyDescent="0.3">
      <c r="B214" s="23" t="s">
        <v>130</v>
      </c>
      <c r="C214" s="62">
        <v>40</v>
      </c>
      <c r="D214" s="68">
        <v>1483300</v>
      </c>
      <c r="E214" s="68">
        <v>211900</v>
      </c>
      <c r="F214" s="68">
        <v>68700</v>
      </c>
      <c r="G214">
        <v>10</v>
      </c>
      <c r="H214">
        <v>7</v>
      </c>
      <c r="I214" s="20" t="str">
        <f xml:space="preserve"> _xlfn.XLOOKUP(B214, ventas[nombre_cliente], ventas[genero_cliente])</f>
        <v>Hombre</v>
      </c>
      <c r="J214" s="31" t="str">
        <f t="shared" si="2"/>
        <v>Frecuente</v>
      </c>
    </row>
    <row r="215" spans="2:10" x14ac:dyDescent="0.3">
      <c r="B215" s="23" t="s">
        <v>590</v>
      </c>
      <c r="C215" s="62">
        <v>49</v>
      </c>
      <c r="D215" s="68">
        <v>2250000</v>
      </c>
      <c r="E215" s="68">
        <v>2250000</v>
      </c>
      <c r="F215" s="68">
        <v>0</v>
      </c>
      <c r="G215">
        <v>3</v>
      </c>
      <c r="H215">
        <v>1</v>
      </c>
      <c r="I215" s="21" t="str">
        <f xml:space="preserve"> _xlfn.XLOOKUP(B215, ventas[nombre_cliente], ventas[genero_cliente])</f>
        <v>Mujer</v>
      </c>
      <c r="J215" s="32" t="str">
        <f t="shared" si="2"/>
        <v>Premium</v>
      </c>
    </row>
    <row r="216" spans="2:10" x14ac:dyDescent="0.3">
      <c r="B216" s="23" t="s">
        <v>510</v>
      </c>
      <c r="C216" s="62">
        <v>18</v>
      </c>
      <c r="D216" s="68">
        <v>835000</v>
      </c>
      <c r="E216" s="68">
        <v>417500</v>
      </c>
      <c r="F216" s="68">
        <v>40000</v>
      </c>
      <c r="G216">
        <v>4</v>
      </c>
      <c r="H216">
        <v>2</v>
      </c>
      <c r="I216" s="20" t="str">
        <f xml:space="preserve"> _xlfn.XLOOKUP(B216, ventas[nombre_cliente], ventas[genero_cliente])</f>
        <v>Mujer</v>
      </c>
      <c r="J216" s="31" t="str">
        <f t="shared" si="2"/>
        <v>Frecuente</v>
      </c>
    </row>
    <row r="217" spans="2:10" x14ac:dyDescent="0.3">
      <c r="B217" s="23" t="s">
        <v>558</v>
      </c>
      <c r="C217" s="62">
        <v>39</v>
      </c>
      <c r="D217" s="68">
        <v>35000</v>
      </c>
      <c r="E217" s="68">
        <v>35000</v>
      </c>
      <c r="F217" s="68">
        <v>0</v>
      </c>
      <c r="G217">
        <v>1</v>
      </c>
      <c r="H217">
        <v>1</v>
      </c>
      <c r="I217" s="21" t="str">
        <f xml:space="preserve"> _xlfn.XLOOKUP(B217, ventas[nombre_cliente], ventas[genero_cliente])</f>
        <v>Hombre</v>
      </c>
      <c r="J217" s="32" t="str">
        <f t="shared" si="2"/>
        <v>Nuevo</v>
      </c>
    </row>
    <row r="218" spans="2:10" x14ac:dyDescent="0.3">
      <c r="B218" s="23" t="s">
        <v>209</v>
      </c>
      <c r="C218" s="62">
        <v>28</v>
      </c>
      <c r="D218" s="68">
        <v>6805000</v>
      </c>
      <c r="E218" s="68">
        <v>972142.85714285716</v>
      </c>
      <c r="F218" s="68">
        <v>410000</v>
      </c>
      <c r="G218">
        <v>15</v>
      </c>
      <c r="H218">
        <v>7</v>
      </c>
      <c r="I218" s="20" t="str">
        <f xml:space="preserve"> _xlfn.XLOOKUP(B218, ventas[nombre_cliente], ventas[genero_cliente])</f>
        <v>Mujer</v>
      </c>
      <c r="J218" s="31" t="str">
        <f t="shared" si="2"/>
        <v>Premium</v>
      </c>
    </row>
    <row r="219" spans="2:10" x14ac:dyDescent="0.3">
      <c r="B219" s="23" t="s">
        <v>408</v>
      </c>
      <c r="C219" s="62">
        <v>39</v>
      </c>
      <c r="D219" s="68">
        <v>3837400</v>
      </c>
      <c r="E219" s="68">
        <v>767480</v>
      </c>
      <c r="F219" s="68">
        <v>163600</v>
      </c>
      <c r="G219">
        <v>9</v>
      </c>
      <c r="H219">
        <v>5</v>
      </c>
      <c r="I219" s="21" t="str">
        <f xml:space="preserve"> _xlfn.XLOOKUP(B219, ventas[nombre_cliente], ventas[genero_cliente])</f>
        <v>Hombre</v>
      </c>
      <c r="J219" s="32" t="str">
        <f t="shared" si="2"/>
        <v>Premium</v>
      </c>
    </row>
    <row r="220" spans="2:10" x14ac:dyDescent="0.3">
      <c r="B220" s="23" t="s">
        <v>428</v>
      </c>
      <c r="C220" s="62">
        <v>37</v>
      </c>
      <c r="D220" s="68">
        <v>49500</v>
      </c>
      <c r="E220" s="68">
        <v>49500</v>
      </c>
      <c r="F220" s="68">
        <v>5500</v>
      </c>
      <c r="G220">
        <v>1</v>
      </c>
      <c r="H220">
        <v>1</v>
      </c>
      <c r="I220" s="20" t="str">
        <f xml:space="preserve"> _xlfn.XLOOKUP(B220, ventas[nombre_cliente], ventas[genero_cliente])</f>
        <v>Mujer</v>
      </c>
      <c r="J220" s="31" t="str">
        <f t="shared" si="2"/>
        <v>Nuevo</v>
      </c>
    </row>
    <row r="221" spans="2:10" x14ac:dyDescent="0.3">
      <c r="B221" s="23" t="s">
        <v>486</v>
      </c>
      <c r="C221" s="62">
        <v>48</v>
      </c>
      <c r="D221" s="68">
        <v>3761750</v>
      </c>
      <c r="E221" s="68">
        <v>940437.5</v>
      </c>
      <c r="F221" s="68">
        <v>78250</v>
      </c>
      <c r="G221">
        <v>9</v>
      </c>
      <c r="H221">
        <v>4</v>
      </c>
      <c r="I221" s="21" t="str">
        <f xml:space="preserve"> _xlfn.XLOOKUP(B221, ventas[nombre_cliente], ventas[genero_cliente])</f>
        <v>Hombre</v>
      </c>
      <c r="J221" s="32" t="str">
        <f t="shared" si="2"/>
        <v>Premium</v>
      </c>
    </row>
    <row r="222" spans="2:10" x14ac:dyDescent="0.3">
      <c r="B222" s="23" t="s">
        <v>512</v>
      </c>
      <c r="C222" s="62">
        <v>30</v>
      </c>
      <c r="D222" s="68">
        <v>80000</v>
      </c>
      <c r="E222" s="68">
        <v>40000</v>
      </c>
      <c r="F222" s="68">
        <v>0</v>
      </c>
      <c r="G222">
        <v>4</v>
      </c>
      <c r="H222">
        <v>2</v>
      </c>
      <c r="I222" s="20" t="str">
        <f xml:space="preserve"> _xlfn.XLOOKUP(B222, ventas[nombre_cliente], ventas[genero_cliente])</f>
        <v>Hombre</v>
      </c>
      <c r="J222" s="31" t="str">
        <f t="shared" si="2"/>
        <v>Nuevo</v>
      </c>
    </row>
    <row r="223" spans="2:10" x14ac:dyDescent="0.3">
      <c r="B223" s="23" t="s">
        <v>17</v>
      </c>
      <c r="C223" s="62">
        <v>50</v>
      </c>
      <c r="D223" s="68">
        <v>4215000</v>
      </c>
      <c r="E223" s="68">
        <v>843000</v>
      </c>
      <c r="F223" s="68">
        <v>135000</v>
      </c>
      <c r="G223">
        <v>14</v>
      </c>
      <c r="H223">
        <v>5</v>
      </c>
      <c r="I223" s="21" t="str">
        <f xml:space="preserve"> _xlfn.XLOOKUP(B223, ventas[nombre_cliente], ventas[genero_cliente])</f>
        <v>Hombre</v>
      </c>
      <c r="J223" s="32" t="str">
        <f t="shared" si="2"/>
        <v>Premium</v>
      </c>
    </row>
    <row r="224" spans="2:10" x14ac:dyDescent="0.3">
      <c r="B224" s="23" t="s">
        <v>538</v>
      </c>
      <c r="C224" s="62">
        <v>47</v>
      </c>
      <c r="D224" s="68">
        <v>2096250</v>
      </c>
      <c r="E224" s="68">
        <v>524062.5</v>
      </c>
      <c r="F224" s="68">
        <v>228750</v>
      </c>
      <c r="G224">
        <v>6</v>
      </c>
      <c r="H224">
        <v>4</v>
      </c>
      <c r="I224" s="20" t="str">
        <f xml:space="preserve"> _xlfn.XLOOKUP(B224, ventas[nombre_cliente], ventas[genero_cliente])</f>
        <v>Mujer</v>
      </c>
      <c r="J224" s="31" t="str">
        <f t="shared" si="2"/>
        <v>Premium</v>
      </c>
    </row>
    <row r="225" spans="2:10" x14ac:dyDescent="0.3">
      <c r="B225" s="23" t="s">
        <v>148</v>
      </c>
      <c r="C225" s="62">
        <v>38</v>
      </c>
      <c r="D225" s="68">
        <v>2375250</v>
      </c>
      <c r="E225" s="68">
        <v>593812.5</v>
      </c>
      <c r="F225" s="68">
        <v>750</v>
      </c>
      <c r="G225">
        <v>10</v>
      </c>
      <c r="H225">
        <v>4</v>
      </c>
      <c r="I225" s="21" t="str">
        <f xml:space="preserve"> _xlfn.XLOOKUP(B225, ventas[nombre_cliente], ventas[genero_cliente])</f>
        <v>Hombre</v>
      </c>
      <c r="J225" s="32" t="str">
        <f t="shared" si="2"/>
        <v>Premium</v>
      </c>
    </row>
    <row r="226" spans="2:10" x14ac:dyDescent="0.3">
      <c r="B226" s="23" t="s">
        <v>584</v>
      </c>
      <c r="C226" s="62">
        <v>29</v>
      </c>
      <c r="D226" s="68">
        <v>2250000</v>
      </c>
      <c r="E226" s="68">
        <v>2250000</v>
      </c>
      <c r="F226" s="68">
        <v>0</v>
      </c>
      <c r="G226">
        <v>3</v>
      </c>
      <c r="H226">
        <v>1</v>
      </c>
      <c r="I226" s="20" t="str">
        <f xml:space="preserve"> _xlfn.XLOOKUP(B226, ventas[nombre_cliente], ventas[genero_cliente])</f>
        <v>Mujer</v>
      </c>
      <c r="J226" s="31" t="str">
        <f t="shared" si="2"/>
        <v>Premium</v>
      </c>
    </row>
    <row r="227" spans="2:10" x14ac:dyDescent="0.3">
      <c r="B227" s="23" t="s">
        <v>213</v>
      </c>
      <c r="C227" s="62">
        <v>31</v>
      </c>
      <c r="D227" s="68">
        <v>6982500</v>
      </c>
      <c r="E227" s="68">
        <v>1745625</v>
      </c>
      <c r="F227" s="68">
        <v>367500</v>
      </c>
      <c r="G227">
        <v>10</v>
      </c>
      <c r="H227">
        <v>4</v>
      </c>
      <c r="I227" s="21" t="str">
        <f xml:space="preserve"> _xlfn.XLOOKUP(B227, ventas[nombre_cliente], ventas[genero_cliente])</f>
        <v>Hombre</v>
      </c>
      <c r="J227" s="32" t="str">
        <f t="shared" si="2"/>
        <v>Premium</v>
      </c>
    </row>
    <row r="228" spans="2:10" x14ac:dyDescent="0.3">
      <c r="B228" s="23" t="s">
        <v>552</v>
      </c>
      <c r="C228" s="62">
        <v>45</v>
      </c>
      <c r="D228" s="68">
        <v>1340000</v>
      </c>
      <c r="E228" s="68">
        <v>670000</v>
      </c>
      <c r="F228" s="68">
        <v>110000</v>
      </c>
      <c r="G228">
        <v>2</v>
      </c>
      <c r="H228">
        <v>2</v>
      </c>
      <c r="I228" s="20" t="str">
        <f xml:space="preserve"> _xlfn.XLOOKUP(B228, ventas[nombre_cliente], ventas[genero_cliente])</f>
        <v>Mujer</v>
      </c>
      <c r="J228" s="31" t="str">
        <f t="shared" ref="J228:J291" si="3" xml:space="preserve"> IF( D228 &gt;= Premium, "Premium", IF( D228 &gt;= Frecuente, "Frecuente", "Nuevo" ))</f>
        <v>Frecuente</v>
      </c>
    </row>
    <row r="229" spans="2:10" x14ac:dyDescent="0.3">
      <c r="B229" s="23" t="s">
        <v>163</v>
      </c>
      <c r="C229" s="62">
        <v>59</v>
      </c>
      <c r="D229" s="68">
        <v>3983500</v>
      </c>
      <c r="E229" s="68">
        <v>995875</v>
      </c>
      <c r="F229" s="68">
        <v>322500</v>
      </c>
      <c r="G229">
        <v>11</v>
      </c>
      <c r="H229">
        <v>4</v>
      </c>
      <c r="I229" s="21" t="str">
        <f xml:space="preserve"> _xlfn.XLOOKUP(B229, ventas[nombre_cliente], ventas[genero_cliente])</f>
        <v>Mujer</v>
      </c>
      <c r="J229" s="32" t="str">
        <f t="shared" si="3"/>
        <v>Premium</v>
      </c>
    </row>
    <row r="230" spans="2:10" x14ac:dyDescent="0.3">
      <c r="B230" s="23" t="s">
        <v>426</v>
      </c>
      <c r="C230" s="62">
        <v>31</v>
      </c>
      <c r="D230" s="68">
        <v>2363500</v>
      </c>
      <c r="E230" s="68">
        <v>590875</v>
      </c>
      <c r="F230" s="68">
        <v>121500</v>
      </c>
      <c r="G230">
        <v>7</v>
      </c>
      <c r="H230">
        <v>4</v>
      </c>
      <c r="I230" s="20" t="str">
        <f xml:space="preserve"> _xlfn.XLOOKUP(B230, ventas[nombre_cliente], ventas[genero_cliente])</f>
        <v>Mujer</v>
      </c>
      <c r="J230" s="31" t="str">
        <f t="shared" si="3"/>
        <v>Premium</v>
      </c>
    </row>
    <row r="231" spans="2:10" x14ac:dyDescent="0.3">
      <c r="B231" s="23" t="s">
        <v>466</v>
      </c>
      <c r="C231" s="62">
        <v>75</v>
      </c>
      <c r="D231" s="68">
        <v>9400000</v>
      </c>
      <c r="E231" s="68">
        <v>1880000</v>
      </c>
      <c r="F231" s="68">
        <v>0</v>
      </c>
      <c r="G231">
        <v>13</v>
      </c>
      <c r="H231">
        <v>5</v>
      </c>
      <c r="I231" s="21" t="str">
        <f xml:space="preserve"> _xlfn.XLOOKUP(B231, ventas[nombre_cliente], ventas[genero_cliente])</f>
        <v>Hombre</v>
      </c>
      <c r="J231" s="32" t="str">
        <f t="shared" si="3"/>
        <v>Premium</v>
      </c>
    </row>
    <row r="232" spans="2:10" x14ac:dyDescent="0.3">
      <c r="B232" s="23" t="s">
        <v>452</v>
      </c>
      <c r="C232" s="62">
        <v>42</v>
      </c>
      <c r="D232" s="68">
        <v>1568250</v>
      </c>
      <c r="E232" s="68">
        <v>313650</v>
      </c>
      <c r="F232" s="68">
        <v>6750</v>
      </c>
      <c r="G232">
        <v>10</v>
      </c>
      <c r="H232">
        <v>5</v>
      </c>
      <c r="I232" s="20" t="str">
        <f xml:space="preserve"> _xlfn.XLOOKUP(B232, ventas[nombre_cliente], ventas[genero_cliente])</f>
        <v>Hombre</v>
      </c>
      <c r="J232" s="31" t="str">
        <f t="shared" si="3"/>
        <v>Frecuente</v>
      </c>
    </row>
    <row r="233" spans="2:10" x14ac:dyDescent="0.3">
      <c r="B233" s="23" t="s">
        <v>438</v>
      </c>
      <c r="C233" s="62">
        <v>35</v>
      </c>
      <c r="D233" s="68">
        <v>3747000</v>
      </c>
      <c r="E233" s="68">
        <v>936750</v>
      </c>
      <c r="F233" s="68">
        <v>158000</v>
      </c>
      <c r="G233">
        <v>7</v>
      </c>
      <c r="H233">
        <v>4</v>
      </c>
      <c r="I233" s="21" t="str">
        <f xml:space="preserve"> _xlfn.XLOOKUP(B233, ventas[nombre_cliente], ventas[genero_cliente])</f>
        <v>Hombre</v>
      </c>
      <c r="J233" s="32" t="str">
        <f t="shared" si="3"/>
        <v>Premium</v>
      </c>
    </row>
    <row r="234" spans="2:10" x14ac:dyDescent="0.3">
      <c r="B234" s="23" t="s">
        <v>542</v>
      </c>
      <c r="C234" s="62">
        <v>27</v>
      </c>
      <c r="D234" s="68">
        <v>3724500</v>
      </c>
      <c r="E234" s="68">
        <v>1241500</v>
      </c>
      <c r="F234" s="68">
        <v>280500</v>
      </c>
      <c r="G234">
        <v>8</v>
      </c>
      <c r="H234">
        <v>3</v>
      </c>
      <c r="I234" s="20" t="str">
        <f xml:space="preserve"> _xlfn.XLOOKUP(B234, ventas[nombre_cliente], ventas[genero_cliente])</f>
        <v>Mujer</v>
      </c>
      <c r="J234" s="31" t="str">
        <f t="shared" si="3"/>
        <v>Premium</v>
      </c>
    </row>
    <row r="235" spans="2:10" x14ac:dyDescent="0.3">
      <c r="B235" s="23" t="s">
        <v>414</v>
      </c>
      <c r="C235" s="62">
        <v>47</v>
      </c>
      <c r="D235" s="68">
        <v>2943000</v>
      </c>
      <c r="E235" s="68">
        <v>588600</v>
      </c>
      <c r="F235" s="68">
        <v>206000</v>
      </c>
      <c r="G235">
        <v>10</v>
      </c>
      <c r="H235">
        <v>5</v>
      </c>
      <c r="I235" s="21" t="str">
        <f xml:space="preserve"> _xlfn.XLOOKUP(B235, ventas[nombre_cliente], ventas[genero_cliente])</f>
        <v>Hombre</v>
      </c>
      <c r="J235" s="32" t="str">
        <f t="shared" si="3"/>
        <v>Premium</v>
      </c>
    </row>
    <row r="236" spans="2:10" x14ac:dyDescent="0.3">
      <c r="B236" s="23" t="s">
        <v>508</v>
      </c>
      <c r="C236" s="62">
        <v>50</v>
      </c>
      <c r="D236" s="68">
        <v>765000</v>
      </c>
      <c r="E236" s="68">
        <v>382500</v>
      </c>
      <c r="F236" s="68">
        <v>0</v>
      </c>
      <c r="G236">
        <v>2</v>
      </c>
      <c r="H236">
        <v>2</v>
      </c>
      <c r="I236" s="20" t="str">
        <f xml:space="preserve"> _xlfn.XLOOKUP(B236, ventas[nombre_cliente], ventas[genero_cliente])</f>
        <v>Mujer</v>
      </c>
      <c r="J236" s="31" t="str">
        <f t="shared" si="3"/>
        <v>Frecuente</v>
      </c>
    </row>
    <row r="237" spans="2:10" x14ac:dyDescent="0.3">
      <c r="B237" s="23" t="s">
        <v>60</v>
      </c>
      <c r="C237" s="62">
        <v>56</v>
      </c>
      <c r="D237" s="68">
        <v>1446050</v>
      </c>
      <c r="E237" s="68">
        <v>289210</v>
      </c>
      <c r="F237" s="68">
        <v>5950</v>
      </c>
      <c r="G237">
        <v>11</v>
      </c>
      <c r="H237">
        <v>5</v>
      </c>
      <c r="I237" s="21" t="str">
        <f xml:space="preserve"> _xlfn.XLOOKUP(B237, ventas[nombre_cliente], ventas[genero_cliente])</f>
        <v>Mujer</v>
      </c>
      <c r="J237" s="32" t="str">
        <f t="shared" si="3"/>
        <v>Frecuente</v>
      </c>
    </row>
    <row r="238" spans="2:10" x14ac:dyDescent="0.3">
      <c r="B238" s="23" t="s">
        <v>207</v>
      </c>
      <c r="C238" s="62">
        <v>45</v>
      </c>
      <c r="D238" s="68">
        <v>1954000</v>
      </c>
      <c r="E238" s="68">
        <v>390800</v>
      </c>
      <c r="F238" s="68">
        <v>213000</v>
      </c>
      <c r="G238">
        <v>9</v>
      </c>
      <c r="H238">
        <v>5</v>
      </c>
      <c r="I238" s="20" t="str">
        <f xml:space="preserve"> _xlfn.XLOOKUP(B238, ventas[nombre_cliente], ventas[genero_cliente])</f>
        <v>Mujer</v>
      </c>
      <c r="J238" s="31" t="str">
        <f t="shared" si="3"/>
        <v>Frecuente</v>
      </c>
    </row>
    <row r="239" spans="2:10" x14ac:dyDescent="0.3">
      <c r="B239" s="23" t="s">
        <v>560</v>
      </c>
      <c r="C239" s="62">
        <v>40</v>
      </c>
      <c r="D239" s="68">
        <v>2280000</v>
      </c>
      <c r="E239" s="68">
        <v>2280000</v>
      </c>
      <c r="F239" s="68">
        <v>120000</v>
      </c>
      <c r="G239">
        <v>3</v>
      </c>
      <c r="H239">
        <v>1</v>
      </c>
      <c r="I239" s="21" t="str">
        <f xml:space="preserve"> _xlfn.XLOOKUP(B239, ventas[nombre_cliente], ventas[genero_cliente])</f>
        <v>Hombre</v>
      </c>
      <c r="J239" s="32" t="str">
        <f t="shared" si="3"/>
        <v>Premium</v>
      </c>
    </row>
    <row r="240" spans="2:10" x14ac:dyDescent="0.3">
      <c r="B240" s="23" t="s">
        <v>157</v>
      </c>
      <c r="C240" s="62">
        <v>47</v>
      </c>
      <c r="D240" s="68">
        <v>3709500</v>
      </c>
      <c r="E240" s="68">
        <v>927375</v>
      </c>
      <c r="F240" s="68">
        <v>5500</v>
      </c>
      <c r="G240">
        <v>8</v>
      </c>
      <c r="H240">
        <v>4</v>
      </c>
      <c r="I240" s="20" t="str">
        <f xml:space="preserve"> _xlfn.XLOOKUP(B240, ventas[nombre_cliente], ventas[genero_cliente])</f>
        <v>Mujer</v>
      </c>
      <c r="J240" s="31" t="str">
        <f t="shared" si="3"/>
        <v>Premium</v>
      </c>
    </row>
    <row r="241" spans="2:10" x14ac:dyDescent="0.3">
      <c r="B241" s="23" t="s">
        <v>99</v>
      </c>
      <c r="C241" s="62">
        <v>49</v>
      </c>
      <c r="D241" s="68">
        <v>3402000</v>
      </c>
      <c r="E241" s="68">
        <v>850500</v>
      </c>
      <c r="F241" s="68">
        <v>65000</v>
      </c>
      <c r="G241">
        <v>7</v>
      </c>
      <c r="H241">
        <v>4</v>
      </c>
      <c r="I241" s="21" t="str">
        <f xml:space="preserve"> _xlfn.XLOOKUP(B241, ventas[nombre_cliente], ventas[genero_cliente])</f>
        <v>Mujer</v>
      </c>
      <c r="J241" s="32" t="str">
        <f t="shared" si="3"/>
        <v>Premium</v>
      </c>
    </row>
    <row r="242" spans="2:10" x14ac:dyDescent="0.3">
      <c r="B242" s="23" t="s">
        <v>211</v>
      </c>
      <c r="C242" s="62">
        <v>21</v>
      </c>
      <c r="D242" s="68">
        <v>7020000</v>
      </c>
      <c r="E242" s="68">
        <v>1404000</v>
      </c>
      <c r="F242" s="68">
        <v>280000</v>
      </c>
      <c r="G242">
        <v>10</v>
      </c>
      <c r="H242">
        <v>5</v>
      </c>
      <c r="I242" s="20" t="str">
        <f xml:space="preserve"> _xlfn.XLOOKUP(B242, ventas[nombre_cliente], ventas[genero_cliente])</f>
        <v>Hombre</v>
      </c>
      <c r="J242" s="31" t="str">
        <f t="shared" si="3"/>
        <v>Premium</v>
      </c>
    </row>
    <row r="243" spans="2:10" x14ac:dyDescent="0.3">
      <c r="B243" s="23" t="s">
        <v>241</v>
      </c>
      <c r="C243" s="62">
        <v>18</v>
      </c>
      <c r="D243" s="68">
        <v>2892000</v>
      </c>
      <c r="E243" s="68">
        <v>578400</v>
      </c>
      <c r="F243" s="68">
        <v>223000</v>
      </c>
      <c r="G243">
        <v>12</v>
      </c>
      <c r="H243">
        <v>5</v>
      </c>
      <c r="I243" s="21" t="str">
        <f xml:space="preserve"> _xlfn.XLOOKUP(B243, ventas[nombre_cliente], ventas[genero_cliente])</f>
        <v>Hombre</v>
      </c>
      <c r="J243" s="32" t="str">
        <f t="shared" si="3"/>
        <v>Premium</v>
      </c>
    </row>
    <row r="244" spans="2:10" x14ac:dyDescent="0.3">
      <c r="B244" s="23" t="s">
        <v>58</v>
      </c>
      <c r="C244" s="62">
        <v>47</v>
      </c>
      <c r="D244" s="68">
        <v>2552750</v>
      </c>
      <c r="E244" s="68">
        <v>425458.33333333331</v>
      </c>
      <c r="F244" s="68">
        <v>102250</v>
      </c>
      <c r="G244">
        <v>13</v>
      </c>
      <c r="H244">
        <v>6</v>
      </c>
      <c r="I244" s="20" t="str">
        <f xml:space="preserve"> _xlfn.XLOOKUP(B244, ventas[nombre_cliente], ventas[genero_cliente])</f>
        <v>Mujer</v>
      </c>
      <c r="J244" s="31" t="str">
        <f t="shared" si="3"/>
        <v>Premium</v>
      </c>
    </row>
    <row r="245" spans="2:10" x14ac:dyDescent="0.3">
      <c r="B245" s="23" t="s">
        <v>90</v>
      </c>
      <c r="C245" s="62">
        <v>40</v>
      </c>
      <c r="D245" s="68">
        <v>3459250</v>
      </c>
      <c r="E245" s="68">
        <v>864812.5</v>
      </c>
      <c r="F245" s="68">
        <v>205750</v>
      </c>
      <c r="G245">
        <v>6</v>
      </c>
      <c r="H245">
        <v>4</v>
      </c>
      <c r="I245" s="21" t="str">
        <f xml:space="preserve"> _xlfn.XLOOKUP(B245, ventas[nombre_cliente], ventas[genero_cliente])</f>
        <v>Hombre</v>
      </c>
      <c r="J245" s="32" t="str">
        <f t="shared" si="3"/>
        <v>Premium</v>
      </c>
    </row>
    <row r="246" spans="2:10" x14ac:dyDescent="0.3">
      <c r="B246" s="23" t="s">
        <v>296</v>
      </c>
      <c r="C246" s="62">
        <v>42</v>
      </c>
      <c r="D246" s="68">
        <v>291900</v>
      </c>
      <c r="E246" s="68">
        <v>58380</v>
      </c>
      <c r="F246" s="68">
        <v>14100</v>
      </c>
      <c r="G246">
        <v>14</v>
      </c>
      <c r="H246">
        <v>5</v>
      </c>
      <c r="I246" s="20" t="str">
        <f xml:space="preserve"> _xlfn.XLOOKUP(B246, ventas[nombre_cliente], ventas[genero_cliente])</f>
        <v>Mujer</v>
      </c>
      <c r="J246" s="31" t="str">
        <f t="shared" si="3"/>
        <v>Nuevo</v>
      </c>
    </row>
    <row r="247" spans="2:10" x14ac:dyDescent="0.3">
      <c r="B247" s="23" t="s">
        <v>328</v>
      </c>
      <c r="C247" s="62">
        <v>44</v>
      </c>
      <c r="D247" s="68">
        <v>2529000</v>
      </c>
      <c r="E247" s="68">
        <v>843000</v>
      </c>
      <c r="F247" s="68">
        <v>11000</v>
      </c>
      <c r="G247">
        <v>7</v>
      </c>
      <c r="H247">
        <v>3</v>
      </c>
      <c r="I247" s="21" t="str">
        <f xml:space="preserve"> _xlfn.XLOOKUP(B247, ventas[nombre_cliente], ventas[genero_cliente])</f>
        <v>Mujer</v>
      </c>
      <c r="J247" s="32" t="str">
        <f t="shared" si="3"/>
        <v>Premium</v>
      </c>
    </row>
    <row r="248" spans="2:10" x14ac:dyDescent="0.3">
      <c r="B248" s="23" t="s">
        <v>121</v>
      </c>
      <c r="C248" s="62">
        <v>20</v>
      </c>
      <c r="D248" s="68">
        <v>1979750</v>
      </c>
      <c r="E248" s="68">
        <v>494937.5</v>
      </c>
      <c r="F248" s="68">
        <v>140250</v>
      </c>
      <c r="G248">
        <v>6</v>
      </c>
      <c r="H248">
        <v>4</v>
      </c>
      <c r="I248" s="20" t="str">
        <f xml:space="preserve"> _xlfn.XLOOKUP(B248, ventas[nombre_cliente], ventas[genero_cliente])</f>
        <v>Hombre</v>
      </c>
      <c r="J248" s="31" t="str">
        <f t="shared" si="3"/>
        <v>Frecuente</v>
      </c>
    </row>
    <row r="249" spans="2:10" x14ac:dyDescent="0.3">
      <c r="B249" s="23" t="s">
        <v>342</v>
      </c>
      <c r="C249" s="62">
        <v>18</v>
      </c>
      <c r="D249" s="68">
        <v>1008500</v>
      </c>
      <c r="E249" s="68">
        <v>336166.66666666669</v>
      </c>
      <c r="F249" s="68">
        <v>106500</v>
      </c>
      <c r="G249">
        <v>7</v>
      </c>
      <c r="H249">
        <v>3</v>
      </c>
      <c r="I249" s="21" t="str">
        <f xml:space="preserve"> _xlfn.XLOOKUP(B249, ventas[nombre_cliente], ventas[genero_cliente])</f>
        <v>Hombre</v>
      </c>
      <c r="J249" s="32" t="str">
        <f t="shared" si="3"/>
        <v>Frecuente</v>
      </c>
    </row>
    <row r="250" spans="2:10" x14ac:dyDescent="0.3">
      <c r="B250" s="23" t="s">
        <v>47</v>
      </c>
      <c r="C250" s="62">
        <v>45</v>
      </c>
      <c r="D250" s="68">
        <v>7576800</v>
      </c>
      <c r="E250" s="68">
        <v>1082400</v>
      </c>
      <c r="F250" s="68">
        <v>321200</v>
      </c>
      <c r="G250">
        <v>15</v>
      </c>
      <c r="H250">
        <v>7</v>
      </c>
      <c r="I250" s="20" t="str">
        <f xml:space="preserve"> _xlfn.XLOOKUP(B250, ventas[nombre_cliente], ventas[genero_cliente])</f>
        <v>Mujer</v>
      </c>
      <c r="J250" s="31" t="str">
        <f t="shared" si="3"/>
        <v>Premium</v>
      </c>
    </row>
    <row r="251" spans="2:10" x14ac:dyDescent="0.3">
      <c r="B251" s="23" t="s">
        <v>290</v>
      </c>
      <c r="C251" s="62">
        <v>60</v>
      </c>
      <c r="D251" s="68">
        <v>3545000</v>
      </c>
      <c r="E251" s="68">
        <v>1772500</v>
      </c>
      <c r="F251" s="68">
        <v>305000</v>
      </c>
      <c r="G251">
        <v>5</v>
      </c>
      <c r="H251">
        <v>2</v>
      </c>
      <c r="I251" s="21" t="str">
        <f xml:space="preserve"> _xlfn.XLOOKUP(B251, ventas[nombre_cliente], ventas[genero_cliente])</f>
        <v>Mujer</v>
      </c>
      <c r="J251" s="32" t="str">
        <f t="shared" si="3"/>
        <v>Premium</v>
      </c>
    </row>
    <row r="252" spans="2:10" x14ac:dyDescent="0.3">
      <c r="B252" s="23" t="s">
        <v>546</v>
      </c>
      <c r="C252" s="62">
        <v>37</v>
      </c>
      <c r="D252" s="68">
        <v>1514500</v>
      </c>
      <c r="E252" s="68">
        <v>504833.33333333331</v>
      </c>
      <c r="F252" s="68">
        <v>165500</v>
      </c>
      <c r="G252">
        <v>4</v>
      </c>
      <c r="H252">
        <v>3</v>
      </c>
      <c r="I252" s="20" t="str">
        <f xml:space="preserve"> _xlfn.XLOOKUP(B252, ventas[nombre_cliente], ventas[genero_cliente])</f>
        <v>Mujer</v>
      </c>
      <c r="J252" s="31" t="str">
        <f t="shared" si="3"/>
        <v>Frecuente</v>
      </c>
    </row>
    <row r="253" spans="2:10" x14ac:dyDescent="0.3">
      <c r="B253" s="23" t="s">
        <v>448</v>
      </c>
      <c r="C253" s="62">
        <v>18</v>
      </c>
      <c r="D253" s="68">
        <v>3240000</v>
      </c>
      <c r="E253" s="68">
        <v>1080000</v>
      </c>
      <c r="F253" s="68">
        <v>90000</v>
      </c>
      <c r="G253">
        <v>7</v>
      </c>
      <c r="H253">
        <v>3</v>
      </c>
      <c r="I253" s="21" t="str">
        <f xml:space="preserve"> _xlfn.XLOOKUP(B253, ventas[nombre_cliente], ventas[genero_cliente])</f>
        <v>Hombre</v>
      </c>
      <c r="J253" s="32" t="str">
        <f t="shared" si="3"/>
        <v>Premium</v>
      </c>
    </row>
    <row r="254" spans="2:10" x14ac:dyDescent="0.3">
      <c r="B254" s="23" t="s">
        <v>412</v>
      </c>
      <c r="C254" s="62">
        <v>18</v>
      </c>
      <c r="D254" s="68">
        <v>1570750</v>
      </c>
      <c r="E254" s="68">
        <v>314150</v>
      </c>
      <c r="F254" s="68">
        <v>12250</v>
      </c>
      <c r="G254">
        <v>9</v>
      </c>
      <c r="H254">
        <v>5</v>
      </c>
      <c r="I254" s="20" t="str">
        <f xml:space="preserve"> _xlfn.XLOOKUP(B254, ventas[nombre_cliente], ventas[genero_cliente])</f>
        <v>Mujer</v>
      </c>
      <c r="J254" s="31" t="str">
        <f t="shared" si="3"/>
        <v>Frecuente</v>
      </c>
    </row>
    <row r="255" spans="2:10" x14ac:dyDescent="0.3">
      <c r="B255" s="23" t="s">
        <v>440</v>
      </c>
      <c r="C255" s="62">
        <v>44</v>
      </c>
      <c r="D255" s="68">
        <v>1528250</v>
      </c>
      <c r="E255" s="68">
        <v>509416.66666666669</v>
      </c>
      <c r="F255" s="68">
        <v>162750</v>
      </c>
      <c r="G255">
        <v>6</v>
      </c>
      <c r="H255">
        <v>3</v>
      </c>
      <c r="I255" s="21" t="str">
        <f xml:space="preserve"> _xlfn.XLOOKUP(B255, ventas[nombre_cliente], ventas[genero_cliente])</f>
        <v>Mujer</v>
      </c>
      <c r="J255" s="32" t="str">
        <f t="shared" si="3"/>
        <v>Frecuente</v>
      </c>
    </row>
    <row r="256" spans="2:10" x14ac:dyDescent="0.3">
      <c r="B256" s="23" t="s">
        <v>302</v>
      </c>
      <c r="C256" s="62">
        <v>25</v>
      </c>
      <c r="D256" s="68">
        <v>1241250</v>
      </c>
      <c r="E256" s="68">
        <v>620625</v>
      </c>
      <c r="F256" s="68">
        <v>133750</v>
      </c>
      <c r="G256">
        <v>5</v>
      </c>
      <c r="H256">
        <v>2</v>
      </c>
      <c r="I256" s="20" t="str">
        <f xml:space="preserve"> _xlfn.XLOOKUP(B256, ventas[nombre_cliente], ventas[genero_cliente])</f>
        <v>Mujer</v>
      </c>
      <c r="J256" s="31" t="str">
        <f t="shared" si="3"/>
        <v>Frecuente</v>
      </c>
    </row>
    <row r="257" spans="2:10" x14ac:dyDescent="0.3">
      <c r="B257" s="23" t="s">
        <v>382</v>
      </c>
      <c r="C257" s="62">
        <v>38</v>
      </c>
      <c r="D257" s="68">
        <v>7185000</v>
      </c>
      <c r="E257" s="68">
        <v>1026428.5714285715</v>
      </c>
      <c r="F257" s="68">
        <v>65000</v>
      </c>
      <c r="G257">
        <v>14</v>
      </c>
      <c r="H257">
        <v>7</v>
      </c>
      <c r="I257" s="21" t="str">
        <f xml:space="preserve"> _xlfn.XLOOKUP(B257, ventas[nombre_cliente], ventas[genero_cliente])</f>
        <v>Mujer</v>
      </c>
      <c r="J257" s="32" t="str">
        <f t="shared" si="3"/>
        <v>Premium</v>
      </c>
    </row>
    <row r="258" spans="2:10" x14ac:dyDescent="0.3">
      <c r="B258" s="23" t="s">
        <v>472</v>
      </c>
      <c r="C258" s="62">
        <v>34</v>
      </c>
      <c r="D258" s="68">
        <v>2768250</v>
      </c>
      <c r="E258" s="68">
        <v>692062.5</v>
      </c>
      <c r="F258" s="68">
        <v>66750</v>
      </c>
      <c r="G258">
        <v>5</v>
      </c>
      <c r="H258">
        <v>4</v>
      </c>
      <c r="I258" s="20" t="str">
        <f xml:space="preserve"> _xlfn.XLOOKUP(B258, ventas[nombre_cliente], ventas[genero_cliente])</f>
        <v>Mujer</v>
      </c>
      <c r="J258" s="31" t="str">
        <f t="shared" si="3"/>
        <v>Premium</v>
      </c>
    </row>
    <row r="259" spans="2:10" x14ac:dyDescent="0.3">
      <c r="B259" s="23" t="s">
        <v>80</v>
      </c>
      <c r="C259" s="62">
        <v>22</v>
      </c>
      <c r="D259" s="68">
        <v>831750</v>
      </c>
      <c r="E259" s="68">
        <v>415875</v>
      </c>
      <c r="F259" s="68">
        <v>83250</v>
      </c>
      <c r="G259">
        <v>4</v>
      </c>
      <c r="H259">
        <v>2</v>
      </c>
      <c r="I259" s="21" t="str">
        <f xml:space="preserve"> _xlfn.XLOOKUP(B259, ventas[nombre_cliente], ventas[genero_cliente])</f>
        <v>Hombre</v>
      </c>
      <c r="J259" s="32" t="str">
        <f t="shared" si="3"/>
        <v>Frecuente</v>
      </c>
    </row>
    <row r="260" spans="2:10" x14ac:dyDescent="0.3">
      <c r="B260" s="23" t="s">
        <v>600</v>
      </c>
      <c r="C260" s="62">
        <v>63</v>
      </c>
      <c r="D260" s="68">
        <v>760000</v>
      </c>
      <c r="E260" s="68">
        <v>760000</v>
      </c>
      <c r="F260" s="68">
        <v>40000</v>
      </c>
      <c r="G260">
        <v>1</v>
      </c>
      <c r="H260">
        <v>1</v>
      </c>
      <c r="I260" s="20" t="str">
        <f xml:space="preserve"> _xlfn.XLOOKUP(B260, ventas[nombre_cliente], ventas[genero_cliente])</f>
        <v>Mujer</v>
      </c>
      <c r="J260" s="31" t="str">
        <f t="shared" si="3"/>
        <v>Frecuente</v>
      </c>
    </row>
    <row r="261" spans="2:10" x14ac:dyDescent="0.3">
      <c r="B261" s="23" t="s">
        <v>568</v>
      </c>
      <c r="C261" s="62">
        <v>25</v>
      </c>
      <c r="D261" s="68">
        <v>1372800</v>
      </c>
      <c r="E261" s="68">
        <v>686400</v>
      </c>
      <c r="F261" s="68">
        <v>1200</v>
      </c>
      <c r="G261">
        <v>5</v>
      </c>
      <c r="H261">
        <v>2</v>
      </c>
      <c r="I261" s="21" t="str">
        <f xml:space="preserve"> _xlfn.XLOOKUP(B261, ventas[nombre_cliente], ventas[genero_cliente])</f>
        <v>Mujer</v>
      </c>
      <c r="J261" s="32" t="str">
        <f t="shared" si="3"/>
        <v>Frecuente</v>
      </c>
    </row>
    <row r="262" spans="2:10" x14ac:dyDescent="0.3">
      <c r="B262" s="23" t="s">
        <v>572</v>
      </c>
      <c r="C262" s="62">
        <v>41</v>
      </c>
      <c r="D262" s="68">
        <v>1477500</v>
      </c>
      <c r="E262" s="68">
        <v>369375</v>
      </c>
      <c r="F262" s="68">
        <v>161500</v>
      </c>
      <c r="G262">
        <v>9</v>
      </c>
      <c r="H262">
        <v>4</v>
      </c>
      <c r="I262" s="20" t="str">
        <f xml:space="preserve"> _xlfn.XLOOKUP(B262, ventas[nombre_cliente], ventas[genero_cliente])</f>
        <v>Hombre</v>
      </c>
      <c r="J262" s="31" t="str">
        <f t="shared" si="3"/>
        <v>Frecuente</v>
      </c>
    </row>
    <row r="263" spans="2:10" x14ac:dyDescent="0.3">
      <c r="B263" s="23" t="s">
        <v>312</v>
      </c>
      <c r="C263" s="62">
        <v>44</v>
      </c>
      <c r="D263" s="68">
        <v>1504500</v>
      </c>
      <c r="E263" s="68">
        <v>376125</v>
      </c>
      <c r="F263" s="68">
        <v>80500</v>
      </c>
      <c r="G263">
        <v>10</v>
      </c>
      <c r="H263">
        <v>4</v>
      </c>
      <c r="I263" s="21" t="str">
        <f xml:space="preserve"> _xlfn.XLOOKUP(B263, ventas[nombre_cliente], ventas[genero_cliente])</f>
        <v>Hombre</v>
      </c>
      <c r="J263" s="32" t="str">
        <f t="shared" si="3"/>
        <v>Frecuente</v>
      </c>
    </row>
    <row r="264" spans="2:10" x14ac:dyDescent="0.3">
      <c r="B264" s="23" t="s">
        <v>350</v>
      </c>
      <c r="C264" s="62">
        <v>18</v>
      </c>
      <c r="D264" s="68">
        <v>2259000</v>
      </c>
      <c r="E264" s="68">
        <v>564750</v>
      </c>
      <c r="F264" s="68">
        <v>81000</v>
      </c>
      <c r="G264">
        <v>7</v>
      </c>
      <c r="H264">
        <v>4</v>
      </c>
      <c r="I264" s="20" t="str">
        <f xml:space="preserve"> _xlfn.XLOOKUP(B264, ventas[nombre_cliente], ventas[genero_cliente])</f>
        <v>Mujer</v>
      </c>
      <c r="J264" s="31" t="str">
        <f t="shared" si="3"/>
        <v>Premium</v>
      </c>
    </row>
    <row r="265" spans="2:10" x14ac:dyDescent="0.3">
      <c r="B265" s="23" t="s">
        <v>159</v>
      </c>
      <c r="C265" s="62">
        <v>54</v>
      </c>
      <c r="D265" s="68">
        <v>6063500</v>
      </c>
      <c r="E265" s="68">
        <v>1212700</v>
      </c>
      <c r="F265" s="68">
        <v>161500</v>
      </c>
      <c r="G265">
        <v>11</v>
      </c>
      <c r="H265">
        <v>5</v>
      </c>
      <c r="I265" s="21" t="str">
        <f xml:space="preserve"> _xlfn.XLOOKUP(B265, ventas[nombre_cliente], ventas[genero_cliente])</f>
        <v>Hombre</v>
      </c>
      <c r="J265" s="32" t="str">
        <f t="shared" si="3"/>
        <v>Premium</v>
      </c>
    </row>
    <row r="266" spans="2:10" x14ac:dyDescent="0.3">
      <c r="B266" s="23" t="s">
        <v>480</v>
      </c>
      <c r="C266" s="62">
        <v>38</v>
      </c>
      <c r="D266" s="68">
        <v>3005000</v>
      </c>
      <c r="E266" s="68">
        <v>1001666.6666666666</v>
      </c>
      <c r="F266" s="68">
        <v>45000</v>
      </c>
      <c r="G266">
        <v>5</v>
      </c>
      <c r="H266">
        <v>3</v>
      </c>
      <c r="I266" s="20" t="str">
        <f xml:space="preserve"> _xlfn.XLOOKUP(B266, ventas[nombre_cliente], ventas[genero_cliente])</f>
        <v>Mujer</v>
      </c>
      <c r="J266" s="31" t="str">
        <f t="shared" si="3"/>
        <v>Premium</v>
      </c>
    </row>
    <row r="267" spans="2:10" x14ac:dyDescent="0.3">
      <c r="B267" s="23" t="s">
        <v>362</v>
      </c>
      <c r="C267" s="62">
        <v>27</v>
      </c>
      <c r="D267" s="68">
        <v>547200</v>
      </c>
      <c r="E267" s="68">
        <v>182400</v>
      </c>
      <c r="F267" s="68">
        <v>8800</v>
      </c>
      <c r="G267">
        <v>6</v>
      </c>
      <c r="H267">
        <v>3</v>
      </c>
      <c r="I267" s="21" t="str">
        <f xml:space="preserve"> _xlfn.XLOOKUP(B267, ventas[nombre_cliente], ventas[genero_cliente])</f>
        <v>Hombre</v>
      </c>
      <c r="J267" s="32" t="str">
        <f t="shared" si="3"/>
        <v>Frecuente</v>
      </c>
    </row>
    <row r="268" spans="2:10" x14ac:dyDescent="0.3">
      <c r="B268" s="23" t="s">
        <v>500</v>
      </c>
      <c r="C268" s="62">
        <v>40</v>
      </c>
      <c r="D268" s="68">
        <v>4942500</v>
      </c>
      <c r="E268" s="68">
        <v>1647500</v>
      </c>
      <c r="F268" s="68">
        <v>207500</v>
      </c>
      <c r="G268">
        <v>8</v>
      </c>
      <c r="H268">
        <v>3</v>
      </c>
      <c r="I268" s="20" t="str">
        <f xml:space="preserve"> _xlfn.XLOOKUP(B268, ventas[nombre_cliente], ventas[genero_cliente])</f>
        <v>Mujer</v>
      </c>
      <c r="J268" s="31" t="str">
        <f t="shared" si="3"/>
        <v>Premium</v>
      </c>
    </row>
    <row r="269" spans="2:10" x14ac:dyDescent="0.3">
      <c r="B269" s="23" t="s">
        <v>199</v>
      </c>
      <c r="C269" s="62">
        <v>18</v>
      </c>
      <c r="D269" s="68">
        <v>276500</v>
      </c>
      <c r="E269" s="68">
        <v>92166.666666666672</v>
      </c>
      <c r="F269" s="68">
        <v>18500</v>
      </c>
      <c r="G269">
        <v>7</v>
      </c>
      <c r="H269">
        <v>3</v>
      </c>
      <c r="I269" s="21" t="str">
        <f xml:space="preserve"> _xlfn.XLOOKUP(B269, ventas[nombre_cliente], ventas[genero_cliente])</f>
        <v>Mujer</v>
      </c>
      <c r="J269" s="32" t="str">
        <f t="shared" si="3"/>
        <v>Nuevo</v>
      </c>
    </row>
    <row r="270" spans="2:10" x14ac:dyDescent="0.3">
      <c r="B270" s="23" t="s">
        <v>330</v>
      </c>
      <c r="C270" s="62">
        <v>35</v>
      </c>
      <c r="D270" s="68">
        <v>1192300</v>
      </c>
      <c r="E270" s="68">
        <v>238460</v>
      </c>
      <c r="F270" s="68">
        <v>29700</v>
      </c>
      <c r="G270">
        <v>8</v>
      </c>
      <c r="H270">
        <v>5</v>
      </c>
      <c r="I270" s="20" t="str">
        <f xml:space="preserve"> _xlfn.XLOOKUP(B270, ventas[nombre_cliente], ventas[genero_cliente])</f>
        <v>Mujer</v>
      </c>
      <c r="J270" s="31" t="str">
        <f t="shared" si="3"/>
        <v>Frecuente</v>
      </c>
    </row>
    <row r="271" spans="2:10" x14ac:dyDescent="0.3">
      <c r="B271" s="23" t="s">
        <v>179</v>
      </c>
      <c r="C271" s="62">
        <v>33</v>
      </c>
      <c r="D271" s="68">
        <v>45600</v>
      </c>
      <c r="E271" s="68">
        <v>22800</v>
      </c>
      <c r="F271" s="68">
        <v>2400</v>
      </c>
      <c r="G271">
        <v>4</v>
      </c>
      <c r="H271">
        <v>2</v>
      </c>
      <c r="I271" s="21" t="str">
        <f xml:space="preserve"> _xlfn.XLOOKUP(B271, ventas[nombre_cliente], ventas[genero_cliente])</f>
        <v>Hombre</v>
      </c>
      <c r="J271" s="32" t="str">
        <f t="shared" si="3"/>
        <v>Nuevo</v>
      </c>
    </row>
    <row r="272" spans="2:10" x14ac:dyDescent="0.3">
      <c r="B272" s="23" t="s">
        <v>189</v>
      </c>
      <c r="C272" s="62">
        <v>42</v>
      </c>
      <c r="D272" s="68">
        <v>5666250</v>
      </c>
      <c r="E272" s="68">
        <v>708281.25</v>
      </c>
      <c r="F272" s="68">
        <v>425750</v>
      </c>
      <c r="G272">
        <v>16</v>
      </c>
      <c r="H272">
        <v>8</v>
      </c>
      <c r="I272" s="20" t="str">
        <f xml:space="preserve"> _xlfn.XLOOKUP(B272, ventas[nombre_cliente], ventas[genero_cliente])</f>
        <v>Mujer</v>
      </c>
      <c r="J272" s="31" t="str">
        <f t="shared" si="3"/>
        <v>Premium</v>
      </c>
    </row>
    <row r="273" spans="2:10" x14ac:dyDescent="0.3">
      <c r="B273" s="23" t="s">
        <v>516</v>
      </c>
      <c r="C273" s="62">
        <v>24</v>
      </c>
      <c r="D273" s="68">
        <v>1040650</v>
      </c>
      <c r="E273" s="68">
        <v>260162.5</v>
      </c>
      <c r="F273" s="68">
        <v>5350</v>
      </c>
      <c r="G273">
        <v>9</v>
      </c>
      <c r="H273">
        <v>4</v>
      </c>
      <c r="I273" s="21" t="str">
        <f xml:space="preserve"> _xlfn.XLOOKUP(B273, ventas[nombre_cliente], ventas[genero_cliente])</f>
        <v>Mujer</v>
      </c>
      <c r="J273" s="32" t="str">
        <f t="shared" si="3"/>
        <v>Frecuente</v>
      </c>
    </row>
    <row r="274" spans="2:10" x14ac:dyDescent="0.3">
      <c r="B274" s="23" t="s">
        <v>117</v>
      </c>
      <c r="C274" s="62">
        <v>26</v>
      </c>
      <c r="D274" s="68">
        <v>3481500</v>
      </c>
      <c r="E274" s="68">
        <v>1160500</v>
      </c>
      <c r="F274" s="68">
        <v>153500</v>
      </c>
      <c r="G274">
        <v>6</v>
      </c>
      <c r="H274">
        <v>3</v>
      </c>
      <c r="I274" s="20" t="str">
        <f xml:space="preserve"> _xlfn.XLOOKUP(B274, ventas[nombre_cliente], ventas[genero_cliente])</f>
        <v>Mujer</v>
      </c>
      <c r="J274" s="31" t="str">
        <f t="shared" si="3"/>
        <v>Premium</v>
      </c>
    </row>
    <row r="275" spans="2:10" x14ac:dyDescent="0.3">
      <c r="B275" s="23" t="s">
        <v>259</v>
      </c>
      <c r="C275" s="62">
        <v>26</v>
      </c>
      <c r="D275" s="68">
        <v>2322500</v>
      </c>
      <c r="E275" s="68">
        <v>774166.66666666663</v>
      </c>
      <c r="F275" s="68">
        <v>127500</v>
      </c>
      <c r="G275">
        <v>4</v>
      </c>
      <c r="H275">
        <v>3</v>
      </c>
      <c r="I275" s="21" t="str">
        <f xml:space="preserve"> _xlfn.XLOOKUP(B275, ventas[nombre_cliente], ventas[genero_cliente])</f>
        <v>Mujer</v>
      </c>
      <c r="J275" s="32" t="str">
        <f t="shared" si="3"/>
        <v>Premium</v>
      </c>
    </row>
    <row r="276" spans="2:10" x14ac:dyDescent="0.3">
      <c r="B276" s="23" t="s">
        <v>185</v>
      </c>
      <c r="C276" s="62">
        <v>40</v>
      </c>
      <c r="D276" s="68">
        <v>1592500</v>
      </c>
      <c r="E276" s="68">
        <v>398125</v>
      </c>
      <c r="F276" s="68">
        <v>2500</v>
      </c>
      <c r="G276">
        <v>7</v>
      </c>
      <c r="H276">
        <v>4</v>
      </c>
      <c r="I276" s="20" t="str">
        <f xml:space="preserve"> _xlfn.XLOOKUP(B276, ventas[nombre_cliente], ventas[genero_cliente])</f>
        <v>Mujer</v>
      </c>
      <c r="J276" s="31" t="str">
        <f t="shared" si="3"/>
        <v>Frecuente</v>
      </c>
    </row>
    <row r="277" spans="2:10" x14ac:dyDescent="0.3">
      <c r="B277" s="23" t="s">
        <v>132</v>
      </c>
      <c r="C277" s="62">
        <v>46</v>
      </c>
      <c r="D277" s="68">
        <v>1439250</v>
      </c>
      <c r="E277" s="68">
        <v>719625</v>
      </c>
      <c r="F277" s="68">
        <v>75750</v>
      </c>
      <c r="G277">
        <v>6</v>
      </c>
      <c r="H277">
        <v>2</v>
      </c>
      <c r="I277" s="21" t="str">
        <f xml:space="preserve"> _xlfn.XLOOKUP(B277, ventas[nombre_cliente], ventas[genero_cliente])</f>
        <v>Mujer</v>
      </c>
      <c r="J277" s="32" t="str">
        <f t="shared" si="3"/>
        <v>Frecuente</v>
      </c>
    </row>
    <row r="278" spans="2:10" x14ac:dyDescent="0.3">
      <c r="B278" s="23" t="s">
        <v>114</v>
      </c>
      <c r="C278" s="62">
        <v>36</v>
      </c>
      <c r="D278" s="68">
        <v>1743600</v>
      </c>
      <c r="E278" s="68">
        <v>435900</v>
      </c>
      <c r="F278" s="68">
        <v>92400</v>
      </c>
      <c r="G278">
        <v>7</v>
      </c>
      <c r="H278">
        <v>4</v>
      </c>
      <c r="I278" s="20" t="str">
        <f xml:space="preserve"> _xlfn.XLOOKUP(B278, ventas[nombre_cliente], ventas[genero_cliente])</f>
        <v>Hombre</v>
      </c>
      <c r="J278" s="31" t="str">
        <f t="shared" si="3"/>
        <v>Frecuente</v>
      </c>
    </row>
    <row r="279" spans="2:10" x14ac:dyDescent="0.3">
      <c r="B279" s="23" t="s">
        <v>205</v>
      </c>
      <c r="C279" s="62">
        <v>34</v>
      </c>
      <c r="D279" s="68">
        <v>4842500</v>
      </c>
      <c r="E279" s="68">
        <v>807083.33333333337</v>
      </c>
      <c r="F279" s="68">
        <v>372500</v>
      </c>
      <c r="G279">
        <v>11</v>
      </c>
      <c r="H279">
        <v>6</v>
      </c>
      <c r="I279" s="21" t="str">
        <f xml:space="preserve"> _xlfn.XLOOKUP(B279, ventas[nombre_cliente], ventas[genero_cliente])</f>
        <v>Hombre</v>
      </c>
      <c r="J279" s="32" t="str">
        <f t="shared" si="3"/>
        <v>Premium</v>
      </c>
    </row>
    <row r="280" spans="2:10" x14ac:dyDescent="0.3">
      <c r="B280" s="23" t="s">
        <v>150</v>
      </c>
      <c r="C280" s="62">
        <v>18</v>
      </c>
      <c r="D280" s="68">
        <v>220000</v>
      </c>
      <c r="E280" s="68">
        <v>110000</v>
      </c>
      <c r="F280" s="68">
        <v>0</v>
      </c>
      <c r="G280">
        <v>4</v>
      </c>
      <c r="H280">
        <v>2</v>
      </c>
      <c r="I280" s="20" t="str">
        <f xml:space="preserve"> _xlfn.XLOOKUP(B280, ventas[nombre_cliente], ventas[genero_cliente])</f>
        <v>Mujer</v>
      </c>
      <c r="J280" s="31" t="str">
        <f t="shared" si="3"/>
        <v>Nuevo</v>
      </c>
    </row>
    <row r="281" spans="2:10" x14ac:dyDescent="0.3">
      <c r="B281" s="23" t="s">
        <v>215</v>
      </c>
      <c r="C281" s="62">
        <v>31</v>
      </c>
      <c r="D281" s="68">
        <v>3229650</v>
      </c>
      <c r="E281" s="68">
        <v>461378.57142857142</v>
      </c>
      <c r="F281" s="68">
        <v>223350</v>
      </c>
      <c r="G281">
        <v>14</v>
      </c>
      <c r="H281">
        <v>7</v>
      </c>
      <c r="I281" s="21" t="str">
        <f xml:space="preserve"> _xlfn.XLOOKUP(B281, ventas[nombre_cliente], ventas[genero_cliente])</f>
        <v>Hombre</v>
      </c>
      <c r="J281" s="32" t="str">
        <f t="shared" si="3"/>
        <v>Premium</v>
      </c>
    </row>
    <row r="282" spans="2:10" x14ac:dyDescent="0.3">
      <c r="B282" s="23" t="s">
        <v>374</v>
      </c>
      <c r="C282" s="62">
        <v>54</v>
      </c>
      <c r="D282" s="68">
        <v>3785000</v>
      </c>
      <c r="E282" s="68">
        <v>1261666.6666666667</v>
      </c>
      <c r="F282" s="68">
        <v>0</v>
      </c>
      <c r="G282">
        <v>7</v>
      </c>
      <c r="H282">
        <v>3</v>
      </c>
      <c r="I282" s="20" t="str">
        <f xml:space="preserve"> _xlfn.XLOOKUP(B282, ventas[nombre_cliente], ventas[genero_cliente])</f>
        <v>Hombre</v>
      </c>
      <c r="J282" s="31" t="str">
        <f t="shared" si="3"/>
        <v>Premium</v>
      </c>
    </row>
    <row r="283" spans="2:10" x14ac:dyDescent="0.3">
      <c r="B283" s="23" t="s">
        <v>370</v>
      </c>
      <c r="C283" s="62">
        <v>28</v>
      </c>
      <c r="D283" s="68">
        <v>2277750</v>
      </c>
      <c r="E283" s="68">
        <v>325392.85714285716</v>
      </c>
      <c r="F283" s="68">
        <v>162250</v>
      </c>
      <c r="G283">
        <v>11</v>
      </c>
      <c r="H283">
        <v>7</v>
      </c>
      <c r="I283" s="21" t="str">
        <f xml:space="preserve"> _xlfn.XLOOKUP(B283, ventas[nombre_cliente], ventas[genero_cliente])</f>
        <v>Mujer</v>
      </c>
      <c r="J283" s="32" t="str">
        <f t="shared" si="3"/>
        <v>Premium</v>
      </c>
    </row>
    <row r="284" spans="2:10" x14ac:dyDescent="0.3">
      <c r="B284" s="23" t="s">
        <v>274</v>
      </c>
      <c r="C284" s="62">
        <v>40</v>
      </c>
      <c r="D284" s="68">
        <v>1549500</v>
      </c>
      <c r="E284" s="68">
        <v>774750</v>
      </c>
      <c r="F284" s="68">
        <v>5500</v>
      </c>
      <c r="G284">
        <v>3</v>
      </c>
      <c r="H284">
        <v>2</v>
      </c>
      <c r="I284" s="20" t="str">
        <f xml:space="preserve"> _xlfn.XLOOKUP(B284, ventas[nombre_cliente], ventas[genero_cliente])</f>
        <v>Mujer</v>
      </c>
      <c r="J284" s="31" t="str">
        <f t="shared" si="3"/>
        <v>Frecuente</v>
      </c>
    </row>
    <row r="285" spans="2:10" x14ac:dyDescent="0.3">
      <c r="B285" s="23" t="s">
        <v>566</v>
      </c>
      <c r="C285" s="62">
        <v>25</v>
      </c>
      <c r="D285" s="68">
        <v>2886500</v>
      </c>
      <c r="E285" s="68">
        <v>962166.66666666663</v>
      </c>
      <c r="F285" s="68">
        <v>83500</v>
      </c>
      <c r="G285">
        <v>6</v>
      </c>
      <c r="H285">
        <v>3</v>
      </c>
      <c r="I285" s="21" t="str">
        <f xml:space="preserve"> _xlfn.XLOOKUP(B285, ventas[nombre_cliente], ventas[genero_cliente])</f>
        <v>Hombre</v>
      </c>
      <c r="J285" s="32" t="str">
        <f t="shared" si="3"/>
        <v>Premium</v>
      </c>
    </row>
    <row r="286" spans="2:10" x14ac:dyDescent="0.3">
      <c r="B286" s="23" t="s">
        <v>78</v>
      </c>
      <c r="C286" s="62">
        <v>30</v>
      </c>
      <c r="D286" s="68">
        <v>4496000</v>
      </c>
      <c r="E286" s="68">
        <v>749333.33333333337</v>
      </c>
      <c r="F286" s="68">
        <v>45000</v>
      </c>
      <c r="G286">
        <v>11</v>
      </c>
      <c r="H286">
        <v>6</v>
      </c>
      <c r="I286" s="20" t="str">
        <f xml:space="preserve"> _xlfn.XLOOKUP(B286, ventas[nombre_cliente], ventas[genero_cliente])</f>
        <v>Mujer</v>
      </c>
      <c r="J286" s="31" t="str">
        <f t="shared" si="3"/>
        <v>Premium</v>
      </c>
    </row>
    <row r="287" spans="2:10" x14ac:dyDescent="0.3">
      <c r="B287" s="23" t="s">
        <v>446</v>
      </c>
      <c r="C287" s="62">
        <v>60</v>
      </c>
      <c r="D287" s="68">
        <v>1930000</v>
      </c>
      <c r="E287" s="68">
        <v>965000</v>
      </c>
      <c r="F287" s="68">
        <v>70000</v>
      </c>
      <c r="G287">
        <v>3</v>
      </c>
      <c r="H287">
        <v>2</v>
      </c>
      <c r="I287" s="21" t="str">
        <f xml:space="preserve"> _xlfn.XLOOKUP(B287, ventas[nombre_cliente], ventas[genero_cliente])</f>
        <v>Hombre</v>
      </c>
      <c r="J287" s="32" t="str">
        <f t="shared" si="3"/>
        <v>Frecuente</v>
      </c>
    </row>
    <row r="288" spans="2:10" x14ac:dyDescent="0.3">
      <c r="B288" s="23" t="s">
        <v>346</v>
      </c>
      <c r="C288" s="62">
        <v>42</v>
      </c>
      <c r="D288" s="68">
        <v>5058500</v>
      </c>
      <c r="E288" s="68">
        <v>1011700</v>
      </c>
      <c r="F288" s="68">
        <v>261500</v>
      </c>
      <c r="G288">
        <v>11</v>
      </c>
      <c r="H288">
        <v>5</v>
      </c>
      <c r="I288" s="20" t="str">
        <f xml:space="preserve"> _xlfn.XLOOKUP(B288, ventas[nombre_cliente], ventas[genero_cliente])</f>
        <v>Mujer</v>
      </c>
      <c r="J288" s="31" t="str">
        <f t="shared" si="3"/>
        <v>Premium</v>
      </c>
    </row>
    <row r="289" spans="2:10" x14ac:dyDescent="0.3">
      <c r="B289" s="23" t="s">
        <v>424</v>
      </c>
      <c r="C289" s="62">
        <v>26</v>
      </c>
      <c r="D289" s="68">
        <v>2869350</v>
      </c>
      <c r="E289" s="68">
        <v>573870</v>
      </c>
      <c r="F289" s="68">
        <v>49650</v>
      </c>
      <c r="G289">
        <v>10</v>
      </c>
      <c r="H289">
        <v>5</v>
      </c>
      <c r="I289" s="21" t="str">
        <f xml:space="preserve"> _xlfn.XLOOKUP(B289, ventas[nombre_cliente], ventas[genero_cliente])</f>
        <v>Mujer</v>
      </c>
      <c r="J289" s="32" t="str">
        <f t="shared" si="3"/>
        <v>Premium</v>
      </c>
    </row>
    <row r="290" spans="2:10" x14ac:dyDescent="0.3">
      <c r="B290" s="23" t="s">
        <v>576</v>
      </c>
      <c r="C290" s="62">
        <v>24</v>
      </c>
      <c r="D290" s="68">
        <v>1755000</v>
      </c>
      <c r="E290" s="68">
        <v>1755000</v>
      </c>
      <c r="F290" s="68">
        <v>195000</v>
      </c>
      <c r="G290">
        <v>3</v>
      </c>
      <c r="H290">
        <v>1</v>
      </c>
      <c r="I290" s="20" t="str">
        <f xml:space="preserve"> _xlfn.XLOOKUP(B290, ventas[nombre_cliente], ventas[genero_cliente])</f>
        <v>Hombre</v>
      </c>
      <c r="J290" s="31" t="str">
        <f t="shared" si="3"/>
        <v>Frecuente</v>
      </c>
    </row>
    <row r="291" spans="2:10" x14ac:dyDescent="0.3">
      <c r="B291" s="23" t="s">
        <v>384</v>
      </c>
      <c r="C291" s="62">
        <v>33</v>
      </c>
      <c r="D291" s="68">
        <v>4207250</v>
      </c>
      <c r="E291" s="68">
        <v>1051812.5</v>
      </c>
      <c r="F291" s="68">
        <v>197750</v>
      </c>
      <c r="G291">
        <v>9</v>
      </c>
      <c r="H291">
        <v>4</v>
      </c>
      <c r="I291" s="21" t="str">
        <f xml:space="preserve"> _xlfn.XLOOKUP(B291, ventas[nombre_cliente], ventas[genero_cliente])</f>
        <v>Hombre</v>
      </c>
      <c r="J291" s="32" t="str">
        <f t="shared" si="3"/>
        <v>Premium</v>
      </c>
    </row>
    <row r="292" spans="2:10" x14ac:dyDescent="0.3">
      <c r="B292" s="23" t="s">
        <v>506</v>
      </c>
      <c r="C292" s="62">
        <v>28</v>
      </c>
      <c r="D292" s="68">
        <v>1921500</v>
      </c>
      <c r="E292" s="68">
        <v>960750</v>
      </c>
      <c r="F292" s="68">
        <v>213500</v>
      </c>
      <c r="G292">
        <v>4</v>
      </c>
      <c r="H292">
        <v>2</v>
      </c>
      <c r="I292" s="20" t="str">
        <f xml:space="preserve"> _xlfn.XLOOKUP(B292, ventas[nombre_cliente], ventas[genero_cliente])</f>
        <v>Hombre</v>
      </c>
      <c r="J292" s="31" t="str">
        <f t="shared" ref="J292:J311" si="4" xml:space="preserve"> IF( D292 &gt;= Premium, "Premium", IF( D292 &gt;= Frecuente, "Frecuente", "Nuevo" ))</f>
        <v>Frecuente</v>
      </c>
    </row>
    <row r="293" spans="2:10" x14ac:dyDescent="0.3">
      <c r="B293" s="23" t="s">
        <v>247</v>
      </c>
      <c r="C293" s="62">
        <v>41</v>
      </c>
      <c r="D293" s="68">
        <v>115000</v>
      </c>
      <c r="E293" s="68">
        <v>57500</v>
      </c>
      <c r="F293" s="68">
        <v>0</v>
      </c>
      <c r="G293">
        <v>5</v>
      </c>
      <c r="H293">
        <v>2</v>
      </c>
      <c r="I293" s="21" t="str">
        <f xml:space="preserve"> _xlfn.XLOOKUP(B293, ventas[nombre_cliente], ventas[genero_cliente])</f>
        <v>Mujer</v>
      </c>
      <c r="J293" s="32" t="str">
        <f t="shared" si="4"/>
        <v>Nuevo</v>
      </c>
    </row>
    <row r="294" spans="2:10" x14ac:dyDescent="0.3">
      <c r="B294" s="23" t="s">
        <v>144</v>
      </c>
      <c r="C294" s="62">
        <v>34</v>
      </c>
      <c r="D294" s="68">
        <v>1819000</v>
      </c>
      <c r="E294" s="68">
        <v>259857.14285714287</v>
      </c>
      <c r="F294" s="68">
        <v>91000</v>
      </c>
      <c r="G294">
        <v>19</v>
      </c>
      <c r="H294">
        <v>7</v>
      </c>
      <c r="I294" s="20" t="str">
        <f xml:space="preserve"> _xlfn.XLOOKUP(B294, ventas[nombre_cliente], ventas[genero_cliente])</f>
        <v>Hombre</v>
      </c>
      <c r="J294" s="31" t="str">
        <f t="shared" si="4"/>
        <v>Frecuente</v>
      </c>
    </row>
    <row r="295" spans="2:10" x14ac:dyDescent="0.3">
      <c r="B295" s="23" t="s">
        <v>476</v>
      </c>
      <c r="C295" s="62">
        <v>21</v>
      </c>
      <c r="D295" s="68">
        <v>865000</v>
      </c>
      <c r="E295" s="68">
        <v>432500</v>
      </c>
      <c r="F295" s="68">
        <v>40000</v>
      </c>
      <c r="G295">
        <v>4</v>
      </c>
      <c r="H295">
        <v>2</v>
      </c>
      <c r="I295" s="21" t="str">
        <f xml:space="preserve"> _xlfn.XLOOKUP(B295, ventas[nombre_cliente], ventas[genero_cliente])</f>
        <v>Mujer</v>
      </c>
      <c r="J295" s="32" t="str">
        <f t="shared" si="4"/>
        <v>Frecuente</v>
      </c>
    </row>
    <row r="296" spans="2:10" x14ac:dyDescent="0.3">
      <c r="B296" s="23" t="s">
        <v>504</v>
      </c>
      <c r="C296" s="62">
        <v>27</v>
      </c>
      <c r="D296" s="68">
        <v>2360000</v>
      </c>
      <c r="E296" s="68">
        <v>786666.66666666663</v>
      </c>
      <c r="F296" s="68">
        <v>0</v>
      </c>
      <c r="G296">
        <v>5</v>
      </c>
      <c r="H296">
        <v>3</v>
      </c>
      <c r="I296" s="20" t="str">
        <f xml:space="preserve"> _xlfn.XLOOKUP(B296, ventas[nombre_cliente], ventas[genero_cliente])</f>
        <v>Hombre</v>
      </c>
      <c r="J296" s="31" t="str">
        <f t="shared" si="4"/>
        <v>Premium</v>
      </c>
    </row>
    <row r="297" spans="2:10" x14ac:dyDescent="0.3">
      <c r="B297" s="23" t="s">
        <v>348</v>
      </c>
      <c r="C297" s="62">
        <v>29</v>
      </c>
      <c r="D297" s="68">
        <v>2976000</v>
      </c>
      <c r="E297" s="68">
        <v>744000</v>
      </c>
      <c r="F297" s="68">
        <v>325000</v>
      </c>
      <c r="G297">
        <v>9</v>
      </c>
      <c r="H297">
        <v>4</v>
      </c>
      <c r="I297" s="21" t="str">
        <f xml:space="preserve"> _xlfn.XLOOKUP(B297, ventas[nombre_cliente], ventas[genero_cliente])</f>
        <v>Hombre</v>
      </c>
      <c r="J297" s="32" t="str">
        <f t="shared" si="4"/>
        <v>Premium</v>
      </c>
    </row>
    <row r="298" spans="2:10" x14ac:dyDescent="0.3">
      <c r="B298" s="23" t="s">
        <v>239</v>
      </c>
      <c r="C298" s="62">
        <v>32</v>
      </c>
      <c r="D298" s="68">
        <v>35000</v>
      </c>
      <c r="E298" s="68">
        <v>35000</v>
      </c>
      <c r="F298" s="68">
        <v>0</v>
      </c>
      <c r="G298">
        <v>1</v>
      </c>
      <c r="H298">
        <v>1</v>
      </c>
      <c r="I298" s="20" t="str">
        <f xml:space="preserve"> _xlfn.XLOOKUP(B298, ventas[nombre_cliente], ventas[genero_cliente])</f>
        <v>Hombre</v>
      </c>
      <c r="J298" s="31" t="str">
        <f t="shared" si="4"/>
        <v>Nuevo</v>
      </c>
    </row>
    <row r="299" spans="2:10" x14ac:dyDescent="0.3">
      <c r="B299" s="23" t="s">
        <v>534</v>
      </c>
      <c r="C299" s="62">
        <v>43</v>
      </c>
      <c r="D299" s="68">
        <v>253500</v>
      </c>
      <c r="E299" s="68">
        <v>126750</v>
      </c>
      <c r="F299" s="68">
        <v>16500</v>
      </c>
      <c r="G299">
        <v>6</v>
      </c>
      <c r="H299">
        <v>2</v>
      </c>
      <c r="I299" s="21" t="str">
        <f xml:space="preserve"> _xlfn.XLOOKUP(B299, ventas[nombre_cliente], ventas[genero_cliente])</f>
        <v>Hombre</v>
      </c>
      <c r="J299" s="32" t="str">
        <f t="shared" si="4"/>
        <v>Nuevo</v>
      </c>
    </row>
    <row r="300" spans="2:10" x14ac:dyDescent="0.3">
      <c r="B300" s="23" t="s">
        <v>261</v>
      </c>
      <c r="C300" s="62">
        <v>41</v>
      </c>
      <c r="D300" s="68">
        <v>4198200</v>
      </c>
      <c r="E300" s="68">
        <v>599742.85714285716</v>
      </c>
      <c r="F300" s="68">
        <v>344800</v>
      </c>
      <c r="G300">
        <v>13</v>
      </c>
      <c r="H300">
        <v>7</v>
      </c>
      <c r="I300" s="20" t="str">
        <f xml:space="preserve"> _xlfn.XLOOKUP(B300, ventas[nombre_cliente], ventas[genero_cliente])</f>
        <v>Mujer</v>
      </c>
      <c r="J300" s="31" t="str">
        <f t="shared" si="4"/>
        <v>Premium</v>
      </c>
    </row>
    <row r="301" spans="2:10" x14ac:dyDescent="0.3">
      <c r="B301" s="23" t="s">
        <v>578</v>
      </c>
      <c r="C301" s="62">
        <v>53</v>
      </c>
      <c r="D301" s="68">
        <v>1990500</v>
      </c>
      <c r="E301" s="68">
        <v>995250</v>
      </c>
      <c r="F301" s="68">
        <v>4500</v>
      </c>
      <c r="G301">
        <v>6</v>
      </c>
      <c r="H301">
        <v>2</v>
      </c>
      <c r="I301" s="21" t="str">
        <f xml:space="preserve"> _xlfn.XLOOKUP(B301, ventas[nombre_cliente], ventas[genero_cliente])</f>
        <v>Hombre</v>
      </c>
      <c r="J301" s="32" t="str">
        <f t="shared" si="4"/>
        <v>Frecuente</v>
      </c>
    </row>
    <row r="302" spans="2:10" x14ac:dyDescent="0.3">
      <c r="B302" s="23" t="s">
        <v>25</v>
      </c>
      <c r="C302" s="62">
        <v>32</v>
      </c>
      <c r="D302" s="68">
        <v>9295000</v>
      </c>
      <c r="E302" s="68">
        <v>1327857.142857143</v>
      </c>
      <c r="F302" s="68">
        <v>205000</v>
      </c>
      <c r="G302">
        <v>17</v>
      </c>
      <c r="H302">
        <v>7</v>
      </c>
      <c r="I302" s="20" t="str">
        <f xml:space="preserve"> _xlfn.XLOOKUP(B302, ventas[nombre_cliente], ventas[genero_cliente])</f>
        <v>Hombre</v>
      </c>
      <c r="J302" s="31" t="str">
        <f t="shared" si="4"/>
        <v>Premium</v>
      </c>
    </row>
    <row r="303" spans="2:10" x14ac:dyDescent="0.3">
      <c r="B303" s="23" t="s">
        <v>482</v>
      </c>
      <c r="C303" s="62">
        <v>40</v>
      </c>
      <c r="D303" s="68">
        <v>2622750</v>
      </c>
      <c r="E303" s="68">
        <v>655687.5</v>
      </c>
      <c r="F303" s="68">
        <v>122250</v>
      </c>
      <c r="G303">
        <v>7</v>
      </c>
      <c r="H303">
        <v>4</v>
      </c>
      <c r="I303" s="21" t="str">
        <f xml:space="preserve"> _xlfn.XLOOKUP(B303, ventas[nombre_cliente], ventas[genero_cliente])</f>
        <v>Mujer</v>
      </c>
      <c r="J303" s="32" t="str">
        <f t="shared" si="4"/>
        <v>Premium</v>
      </c>
    </row>
    <row r="304" spans="2:10" x14ac:dyDescent="0.3">
      <c r="B304" s="23" t="s">
        <v>372</v>
      </c>
      <c r="C304" s="62">
        <v>34</v>
      </c>
      <c r="D304" s="68">
        <v>2082750</v>
      </c>
      <c r="E304" s="68">
        <v>694250</v>
      </c>
      <c r="F304" s="68">
        <v>112250</v>
      </c>
      <c r="G304">
        <v>8</v>
      </c>
      <c r="H304">
        <v>3</v>
      </c>
      <c r="I304" s="20" t="str">
        <f xml:space="preserve"> _xlfn.XLOOKUP(B304, ventas[nombre_cliente], ventas[genero_cliente])</f>
        <v>Hombre</v>
      </c>
      <c r="J304" s="31" t="str">
        <f t="shared" si="4"/>
        <v>Premium</v>
      </c>
    </row>
    <row r="305" spans="2:10" x14ac:dyDescent="0.3">
      <c r="B305" s="23" t="s">
        <v>177</v>
      </c>
      <c r="C305" s="62">
        <v>22</v>
      </c>
      <c r="D305" s="68">
        <v>3676250</v>
      </c>
      <c r="E305" s="68">
        <v>525178.57142857148</v>
      </c>
      <c r="F305" s="68">
        <v>203750</v>
      </c>
      <c r="G305">
        <v>9</v>
      </c>
      <c r="H305">
        <v>7</v>
      </c>
      <c r="I305" s="21" t="str">
        <f xml:space="preserve"> _xlfn.XLOOKUP(B305, ventas[nombre_cliente], ventas[genero_cliente])</f>
        <v>Hombre</v>
      </c>
      <c r="J305" s="32" t="str">
        <f t="shared" si="4"/>
        <v>Premium</v>
      </c>
    </row>
    <row r="306" spans="2:10" x14ac:dyDescent="0.3">
      <c r="B306" s="23" t="s">
        <v>306</v>
      </c>
      <c r="C306" s="62">
        <v>32</v>
      </c>
      <c r="D306" s="68">
        <v>1445000</v>
      </c>
      <c r="E306" s="68">
        <v>481666.66666666669</v>
      </c>
      <c r="F306" s="68">
        <v>65000</v>
      </c>
      <c r="G306">
        <v>4</v>
      </c>
      <c r="H306">
        <v>3</v>
      </c>
      <c r="I306" s="20" t="str">
        <f xml:space="preserve"> _xlfn.XLOOKUP(B306, ventas[nombre_cliente], ventas[genero_cliente])</f>
        <v>Mujer</v>
      </c>
      <c r="J306" s="31" t="str">
        <f t="shared" si="4"/>
        <v>Frecuente</v>
      </c>
    </row>
    <row r="307" spans="2:10" x14ac:dyDescent="0.3">
      <c r="B307" s="23" t="s">
        <v>245</v>
      </c>
      <c r="C307" s="62">
        <v>47</v>
      </c>
      <c r="D307" s="68">
        <v>2477400</v>
      </c>
      <c r="E307" s="68">
        <v>619350</v>
      </c>
      <c r="F307" s="68">
        <v>3600</v>
      </c>
      <c r="G307">
        <v>9</v>
      </c>
      <c r="H307">
        <v>4</v>
      </c>
      <c r="I307" s="21" t="str">
        <f xml:space="preserve"> _xlfn.XLOOKUP(B307, ventas[nombre_cliente], ventas[genero_cliente])</f>
        <v>Hombre</v>
      </c>
      <c r="J307" s="32" t="str">
        <f t="shared" si="4"/>
        <v>Premium</v>
      </c>
    </row>
    <row r="308" spans="2:10" x14ac:dyDescent="0.3">
      <c r="B308" s="23" t="s">
        <v>488</v>
      </c>
      <c r="C308" s="62">
        <v>55</v>
      </c>
      <c r="D308" s="68">
        <v>3035000</v>
      </c>
      <c r="E308" s="68">
        <v>607000</v>
      </c>
      <c r="F308" s="68">
        <v>0</v>
      </c>
      <c r="G308">
        <v>9</v>
      </c>
      <c r="H308">
        <v>5</v>
      </c>
      <c r="I308" s="20" t="str">
        <f xml:space="preserve"> _xlfn.XLOOKUP(B308, ventas[nombre_cliente], ventas[genero_cliente])</f>
        <v>Hombre</v>
      </c>
      <c r="J308" s="31" t="str">
        <f t="shared" si="4"/>
        <v>Premium</v>
      </c>
    </row>
    <row r="309" spans="2:10" x14ac:dyDescent="0.3">
      <c r="B309" s="23" t="s">
        <v>54</v>
      </c>
      <c r="C309" s="62">
        <v>19</v>
      </c>
      <c r="D309" s="68">
        <v>2855000</v>
      </c>
      <c r="E309" s="68">
        <v>713750</v>
      </c>
      <c r="F309" s="68">
        <v>95000</v>
      </c>
      <c r="G309">
        <v>9</v>
      </c>
      <c r="H309">
        <v>4</v>
      </c>
      <c r="I309" s="21" t="str">
        <f xml:space="preserve"> _xlfn.XLOOKUP(B309, ventas[nombre_cliente], ventas[genero_cliente])</f>
        <v>Hombre</v>
      </c>
      <c r="J309" s="32" t="str">
        <f t="shared" si="4"/>
        <v>Premium</v>
      </c>
    </row>
    <row r="310" spans="2:10" x14ac:dyDescent="0.3">
      <c r="B310" s="23" t="s">
        <v>225</v>
      </c>
      <c r="C310" s="62">
        <v>35</v>
      </c>
      <c r="D310" s="68">
        <v>4784500</v>
      </c>
      <c r="E310" s="68">
        <v>1196125</v>
      </c>
      <c r="F310" s="68">
        <v>275500</v>
      </c>
      <c r="G310">
        <v>11</v>
      </c>
      <c r="H310">
        <v>4</v>
      </c>
      <c r="I310" s="20" t="str">
        <f xml:space="preserve"> _xlfn.XLOOKUP(B310, ventas[nombre_cliente], ventas[genero_cliente])</f>
        <v>Mujer</v>
      </c>
      <c r="J310" s="31" t="str">
        <f t="shared" si="4"/>
        <v>Premium</v>
      </c>
    </row>
    <row r="311" spans="2:10" x14ac:dyDescent="0.3">
      <c r="B311" s="23" t="s">
        <v>288</v>
      </c>
      <c r="C311" s="62">
        <v>35</v>
      </c>
      <c r="D311" s="68">
        <v>6339500</v>
      </c>
      <c r="E311" s="68">
        <v>1267900</v>
      </c>
      <c r="F311" s="68">
        <v>472500</v>
      </c>
      <c r="G311">
        <v>12</v>
      </c>
      <c r="H311">
        <v>5</v>
      </c>
      <c r="I311" s="21" t="str">
        <f xml:space="preserve"> _xlfn.XLOOKUP(B311, ventas[nombre_cliente], ventas[genero_cliente])</f>
        <v>Hombre</v>
      </c>
      <c r="J311" s="32" t="str">
        <f t="shared" si="4"/>
        <v>Premium</v>
      </c>
    </row>
    <row r="312" spans="2:10" ht="15" thickBot="1" x14ac:dyDescent="0.35">
      <c r="B312" s="25" t="s">
        <v>620</v>
      </c>
      <c r="C312" s="27">
        <v>36.968627450980392</v>
      </c>
      <c r="D312" s="26">
        <v>735149500</v>
      </c>
      <c r="E312" s="26">
        <v>720734.80392156867</v>
      </c>
      <c r="F312" s="26">
        <v>29343500</v>
      </c>
      <c r="G312" s="27">
        <v>2079</v>
      </c>
      <c r="H312" s="27">
        <v>1020</v>
      </c>
      <c r="I312" s="44"/>
      <c r="J312" s="34"/>
    </row>
    <row r="313" spans="2:10" x14ac:dyDescent="0.3">
      <c r="C313" s="19"/>
      <c r="E313" s="29" t="s">
        <v>626</v>
      </c>
      <c r="F313" s="71">
        <f>GETPIVOTDATA("Total descuentos",$B$35)/GETPIVOTDATA("Compras por cliente",$B$35)</f>
        <v>28768.137254901962</v>
      </c>
      <c r="G313" s="71">
        <f>GETPIVOTDATA("Total de articulos comprados",$B$35)/GETPIVOTDATA("Compras por cliente",$B$35)</f>
        <v>2.0382352941176469</v>
      </c>
      <c r="H313"/>
      <c r="I313"/>
    </row>
    <row r="314" spans="2:10" x14ac:dyDescent="0.3">
      <c r="F314" s="29" t="s">
        <v>688</v>
      </c>
      <c r="G314" s="29" t="s">
        <v>689</v>
      </c>
    </row>
    <row r="318" spans="2:10" x14ac:dyDescent="0.3">
      <c r="B318">
        <f>COUNTA( _xlfn.UNIQUE(listaClientes) )</f>
        <v>276</v>
      </c>
    </row>
  </sheetData>
  <mergeCells count="4">
    <mergeCell ref="B33:J34"/>
    <mergeCell ref="L33:M34"/>
    <mergeCell ref="B19:F20"/>
    <mergeCell ref="O33:S34"/>
  </mergeCell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1F8A-2511-4363-9181-FFB7CECC4F6D}">
  <dimension ref="B18:P93"/>
  <sheetViews>
    <sheetView workbookViewId="0">
      <selection activeCell="J20" sqref="J20"/>
    </sheetView>
  </sheetViews>
  <sheetFormatPr baseColWidth="10" defaultRowHeight="14.4" x14ac:dyDescent="0.3"/>
  <cols>
    <col min="11" max="11" width="16.5546875" bestFit="1" customWidth="1"/>
    <col min="12" max="12" width="11.5546875" bestFit="1" customWidth="1"/>
    <col min="13" max="13" width="12.21875" bestFit="1" customWidth="1"/>
    <col min="14" max="14" width="15.88671875" bestFit="1" customWidth="1"/>
    <col min="15" max="15" width="14.33203125" bestFit="1" customWidth="1"/>
    <col min="16" max="16" width="13.33203125" bestFit="1" customWidth="1"/>
  </cols>
  <sheetData>
    <row r="18" spans="2:16" ht="15" thickBot="1" x14ac:dyDescent="0.35"/>
    <row r="19" spans="2:16" x14ac:dyDescent="0.3">
      <c r="B19" s="76" t="s">
        <v>624</v>
      </c>
      <c r="C19" s="77"/>
      <c r="D19" s="77"/>
      <c r="E19" s="77"/>
      <c r="F19" s="77"/>
      <c r="G19" s="77"/>
      <c r="H19" s="77"/>
      <c r="I19" s="78"/>
    </row>
    <row r="20" spans="2:16" x14ac:dyDescent="0.3">
      <c r="B20" s="79"/>
      <c r="C20" s="80"/>
      <c r="D20" s="80"/>
      <c r="E20" s="80"/>
      <c r="F20" s="80"/>
      <c r="G20" s="80"/>
      <c r="H20" s="80"/>
      <c r="I20" s="81"/>
    </row>
    <row r="21" spans="2:16" x14ac:dyDescent="0.3">
      <c r="B21" s="46" t="s">
        <v>612</v>
      </c>
      <c r="C21" s="47" t="s">
        <v>621</v>
      </c>
      <c r="D21" s="48"/>
      <c r="E21" s="48"/>
      <c r="F21" s="48"/>
      <c r="G21" s="48"/>
      <c r="H21" s="48"/>
      <c r="I21" s="49"/>
    </row>
    <row r="22" spans="2:16" x14ac:dyDescent="0.3">
      <c r="B22" s="50" t="s">
        <v>622</v>
      </c>
      <c r="C22" s="51" t="s">
        <v>24</v>
      </c>
      <c r="D22" s="51" t="s">
        <v>152</v>
      </c>
      <c r="E22" s="51" t="s">
        <v>31</v>
      </c>
      <c r="F22" s="51" t="s">
        <v>53</v>
      </c>
      <c r="G22" s="51" t="s">
        <v>57</v>
      </c>
      <c r="H22" s="51" t="s">
        <v>623</v>
      </c>
      <c r="I22" s="52" t="s">
        <v>643</v>
      </c>
      <c r="K22" s="2" t="s">
        <v>606</v>
      </c>
      <c r="L22" t="s">
        <v>678</v>
      </c>
      <c r="M22" t="s">
        <v>677</v>
      </c>
    </row>
    <row r="23" spans="2:16" x14ac:dyDescent="0.3">
      <c r="B23" s="36">
        <v>1</v>
      </c>
      <c r="C23">
        <v>70000</v>
      </c>
      <c r="D23">
        <v>99000</v>
      </c>
      <c r="E23">
        <v>7480000</v>
      </c>
      <c r="F23">
        <v>1140000</v>
      </c>
      <c r="G23">
        <v>72000</v>
      </c>
      <c r="H23">
        <v>8861000</v>
      </c>
      <c r="I23" s="53" t="str">
        <f xml:space="preserve"> _xlfn.LET( _xlpm.senior, _xlfn.XLOOKUP(B23,ventas[id_empleado], ventas[antiguedad_vendedor]), IF( _xlpm.senior &gt; 5, "Senior", IF( _xlpm.senior &gt;+ 2, "Semi senior", "Junior" ) ))</f>
        <v>Senior</v>
      </c>
      <c r="K23" s="3" t="s">
        <v>674</v>
      </c>
      <c r="L23">
        <v>37</v>
      </c>
      <c r="M23">
        <v>391984900</v>
      </c>
    </row>
    <row r="24" spans="2:16" x14ac:dyDescent="0.3">
      <c r="B24" s="36">
        <v>2</v>
      </c>
      <c r="C24">
        <v>214750</v>
      </c>
      <c r="D24">
        <v>165000</v>
      </c>
      <c r="E24">
        <v>5170000</v>
      </c>
      <c r="F24">
        <v>3360000</v>
      </c>
      <c r="G24">
        <v>36000</v>
      </c>
      <c r="H24">
        <v>8945750</v>
      </c>
      <c r="I24" s="54" t="str">
        <f xml:space="preserve"> _xlfn.LET( _xlpm.senior, _xlfn.XLOOKUP(B24,ventas[id_empleado], ventas[antiguedad_vendedor]), IF( _xlpm.senior &gt; 5, "Senior", IF( _xlpm.senior &gt;+ 2, "Semi senior", "Junior" ) ))</f>
        <v>Junior</v>
      </c>
      <c r="K24" s="3" t="s">
        <v>675</v>
      </c>
      <c r="L24">
        <v>19</v>
      </c>
      <c r="M24">
        <v>188225700</v>
      </c>
    </row>
    <row r="25" spans="2:16" x14ac:dyDescent="0.3">
      <c r="B25" s="36">
        <v>3</v>
      </c>
      <c r="C25">
        <v>79250</v>
      </c>
      <c r="D25">
        <v>110000</v>
      </c>
      <c r="E25">
        <v>4640000</v>
      </c>
      <c r="F25">
        <v>712500</v>
      </c>
      <c r="G25">
        <v>96200</v>
      </c>
      <c r="H25">
        <v>5637950</v>
      </c>
      <c r="I25" s="53" t="str">
        <f xml:space="preserve"> _xlfn.LET( _xlpm.senior, _xlfn.XLOOKUP(B25,ventas[id_empleado], ventas[antiguedad_vendedor]), IF( _xlpm.senior &gt; 5, "Senior", IF( _xlpm.senior &gt;+ 2, "Semi senior", "Junior" ) ))</f>
        <v>Junior</v>
      </c>
      <c r="K25" s="3" t="s">
        <v>676</v>
      </c>
      <c r="L25">
        <v>14</v>
      </c>
      <c r="M25">
        <v>154938900</v>
      </c>
    </row>
    <row r="26" spans="2:16" x14ac:dyDescent="0.3">
      <c r="B26" s="36">
        <v>4</v>
      </c>
      <c r="C26">
        <v>261750</v>
      </c>
      <c r="D26">
        <v>52250</v>
      </c>
      <c r="E26">
        <v>7430000</v>
      </c>
      <c r="F26">
        <v>4260000</v>
      </c>
      <c r="G26">
        <v>322500</v>
      </c>
      <c r="H26">
        <v>12326500</v>
      </c>
      <c r="I26" s="54" t="str">
        <f xml:space="preserve"> _xlfn.LET( _xlpm.senior, _xlfn.XLOOKUP(B26,ventas[id_empleado], ventas[antiguedad_vendedor]), IF( _xlpm.senior &gt; 5, "Senior", IF( _xlpm.senior &gt;+ 2, "Semi senior", "Junior" ) ))</f>
        <v>Semi senior</v>
      </c>
    </row>
    <row r="27" spans="2:16" x14ac:dyDescent="0.3">
      <c r="B27" s="36">
        <v>5</v>
      </c>
      <c r="C27">
        <v>104750</v>
      </c>
      <c r="D27">
        <v>148500</v>
      </c>
      <c r="E27">
        <v>6335000</v>
      </c>
      <c r="F27">
        <v>4792500</v>
      </c>
      <c r="G27">
        <v>75000</v>
      </c>
      <c r="H27">
        <v>11455750</v>
      </c>
      <c r="I27" s="53" t="str">
        <f xml:space="preserve"> _xlfn.LET( _xlpm.senior, _xlfn.XLOOKUP(B27,ventas[id_empleado], ventas[antiguedad_vendedor]), IF( _xlpm.senior &gt; 5, "Senior", IF( _xlpm.senior &gt;+ 2, "Semi senior", "Junior" ) ))</f>
        <v>Junior</v>
      </c>
      <c r="K27" s="2" t="s">
        <v>606</v>
      </c>
      <c r="L27" t="s">
        <v>679</v>
      </c>
      <c r="M27" t="s">
        <v>681</v>
      </c>
      <c r="N27" t="s">
        <v>680</v>
      </c>
      <c r="O27" t="s">
        <v>683</v>
      </c>
      <c r="P27" t="s">
        <v>682</v>
      </c>
    </row>
    <row r="28" spans="2:16" x14ac:dyDescent="0.3">
      <c r="B28" s="36">
        <v>6</v>
      </c>
      <c r="C28">
        <v>150000</v>
      </c>
      <c r="E28">
        <v>3895000</v>
      </c>
      <c r="F28">
        <v>5452500</v>
      </c>
      <c r="G28">
        <v>70200</v>
      </c>
      <c r="H28">
        <v>9567700</v>
      </c>
      <c r="I28" s="54" t="str">
        <f xml:space="preserve"> _xlfn.LET( _xlpm.senior, _xlfn.XLOOKUP(B28,ventas[id_empleado], ventas[antiguedad_vendedor]), IF( _xlpm.senior &gt; 5, "Senior", IF( _xlpm.senior &gt;+ 2, "Semi senior", "Junior" ) ))</f>
        <v>Junior</v>
      </c>
      <c r="K28" s="3" t="s">
        <v>674</v>
      </c>
      <c r="L28">
        <v>5116000</v>
      </c>
      <c r="M28">
        <v>4587000</v>
      </c>
      <c r="N28">
        <v>249992500</v>
      </c>
      <c r="O28">
        <v>129015000</v>
      </c>
      <c r="P28">
        <v>3274400</v>
      </c>
    </row>
    <row r="29" spans="2:16" x14ac:dyDescent="0.3">
      <c r="B29" s="36">
        <v>7</v>
      </c>
      <c r="C29">
        <v>126750</v>
      </c>
      <c r="E29">
        <v>12840000</v>
      </c>
      <c r="F29">
        <v>10777500</v>
      </c>
      <c r="G29">
        <v>36000</v>
      </c>
      <c r="H29">
        <v>23780250</v>
      </c>
      <c r="I29" s="53" t="str">
        <f xml:space="preserve"> _xlfn.LET( _xlpm.senior, _xlfn.XLOOKUP(B29,ventas[id_empleado], ventas[antiguedad_vendedor]), IF( _xlpm.senior &gt; 5, "Senior", IF( _xlpm.senior &gt;+ 2, "Semi senior", "Junior" ) ))</f>
        <v>Senior</v>
      </c>
      <c r="K29" s="3" t="s">
        <v>675</v>
      </c>
      <c r="L29">
        <v>2589250</v>
      </c>
      <c r="M29">
        <v>3104750</v>
      </c>
      <c r="N29">
        <v>112822500</v>
      </c>
      <c r="O29">
        <v>67207500</v>
      </c>
      <c r="P29">
        <v>2501700</v>
      </c>
    </row>
    <row r="30" spans="2:16" x14ac:dyDescent="0.3">
      <c r="B30" s="36">
        <v>8</v>
      </c>
      <c r="C30">
        <v>70000</v>
      </c>
      <c r="E30">
        <v>9600000</v>
      </c>
      <c r="F30">
        <v>6165000</v>
      </c>
      <c r="G30">
        <v>110800</v>
      </c>
      <c r="H30">
        <v>15945800</v>
      </c>
      <c r="I30" s="54" t="str">
        <f xml:space="preserve"> _xlfn.LET( _xlpm.senior, _xlfn.XLOOKUP(B30,ventas[id_empleado], ventas[antiguedad_vendedor]), IF( _xlpm.senior &gt; 5, "Senior", IF( _xlpm.senior &gt;+ 2, "Semi senior", "Junior" ) ))</f>
        <v>Junior</v>
      </c>
      <c r="K30" s="3" t="s">
        <v>676</v>
      </c>
      <c r="L30">
        <v>1790000</v>
      </c>
      <c r="M30">
        <v>1306250</v>
      </c>
      <c r="N30">
        <v>89547500</v>
      </c>
      <c r="O30">
        <v>60825000</v>
      </c>
      <c r="P30">
        <v>1470150</v>
      </c>
    </row>
    <row r="31" spans="2:16" x14ac:dyDescent="0.3">
      <c r="B31" s="36">
        <v>9</v>
      </c>
      <c r="C31">
        <v>287250</v>
      </c>
      <c r="E31">
        <v>5852500</v>
      </c>
      <c r="F31">
        <v>3780000</v>
      </c>
      <c r="G31">
        <v>79200</v>
      </c>
      <c r="H31">
        <v>9998950</v>
      </c>
      <c r="I31" s="53" t="str">
        <f xml:space="preserve"> _xlfn.LET( _xlpm.senior, _xlfn.XLOOKUP(B31,ventas[id_empleado], ventas[antiguedad_vendedor]), IF( _xlpm.senior &gt; 5, "Senior", IF( _xlpm.senior &gt;+ 2, "Semi senior", "Junior" ) ))</f>
        <v>Senior</v>
      </c>
    </row>
    <row r="32" spans="2:16" x14ac:dyDescent="0.3">
      <c r="B32" s="36">
        <v>10</v>
      </c>
      <c r="C32">
        <v>336750</v>
      </c>
      <c r="D32">
        <v>211750</v>
      </c>
      <c r="E32">
        <v>10852500</v>
      </c>
      <c r="F32">
        <v>1282500</v>
      </c>
      <c r="G32">
        <v>59800</v>
      </c>
      <c r="H32">
        <v>12743300</v>
      </c>
      <c r="I32" s="54" t="str">
        <f xml:space="preserve"> _xlfn.LET( _xlpm.senior, _xlfn.XLOOKUP(B32,ventas[id_empleado], ventas[antiguedad_vendedor]), IF( _xlpm.senior &gt; 5, "Senior", IF( _xlpm.senior &gt;+ 2, "Semi senior", "Junior" ) ))</f>
        <v>Senior</v>
      </c>
    </row>
    <row r="33" spans="2:9" x14ac:dyDescent="0.3">
      <c r="B33" s="36">
        <v>11</v>
      </c>
      <c r="C33">
        <v>13500</v>
      </c>
      <c r="D33">
        <v>258500</v>
      </c>
      <c r="E33">
        <v>3330000</v>
      </c>
      <c r="F33">
        <v>450000</v>
      </c>
      <c r="G33">
        <v>72000</v>
      </c>
      <c r="H33">
        <v>4124000</v>
      </c>
      <c r="I33" s="53" t="str">
        <f xml:space="preserve"> _xlfn.LET( _xlpm.senior, _xlfn.XLOOKUP(B33,ventas[id_empleado], ventas[antiguedad_vendedor]), IF( _xlpm.senior &gt; 5, "Senior", IF( _xlpm.senior &gt;+ 2, "Semi senior", "Junior" ) ))</f>
        <v>Junior</v>
      </c>
    </row>
    <row r="34" spans="2:9" x14ac:dyDescent="0.3">
      <c r="B34" s="36">
        <v>12</v>
      </c>
      <c r="C34">
        <v>108000</v>
      </c>
      <c r="D34">
        <v>486750</v>
      </c>
      <c r="E34">
        <v>2660000</v>
      </c>
      <c r="F34">
        <v>7102500</v>
      </c>
      <c r="G34">
        <v>75000</v>
      </c>
      <c r="H34">
        <v>10432250</v>
      </c>
      <c r="I34" s="54" t="str">
        <f xml:space="preserve"> _xlfn.LET( _xlpm.senior, _xlfn.XLOOKUP(B34,ventas[id_empleado], ventas[antiguedad_vendedor]), IF( _xlpm.senior &gt; 5, "Senior", IF( _xlpm.senior &gt;+ 2, "Semi senior", "Junior" ) ))</f>
        <v>Junior</v>
      </c>
    </row>
    <row r="35" spans="2:9" x14ac:dyDescent="0.3">
      <c r="B35" s="36">
        <v>13</v>
      </c>
      <c r="C35">
        <v>117000</v>
      </c>
      <c r="D35">
        <v>55000</v>
      </c>
      <c r="E35">
        <v>7177500</v>
      </c>
      <c r="F35">
        <v>5625000</v>
      </c>
      <c r="G35">
        <v>373800</v>
      </c>
      <c r="H35">
        <v>13348300</v>
      </c>
      <c r="I35" s="53" t="str">
        <f xml:space="preserve"> _xlfn.LET( _xlpm.senior, _xlfn.XLOOKUP(B35,ventas[id_empleado], ventas[antiguedad_vendedor]), IF( _xlpm.senior &gt; 5, "Senior", IF( _xlpm.senior &gt;+ 2, "Semi senior", "Junior" ) ))</f>
        <v>Junior</v>
      </c>
    </row>
    <row r="36" spans="2:9" x14ac:dyDescent="0.3">
      <c r="B36" s="36">
        <v>14</v>
      </c>
      <c r="C36">
        <v>174000</v>
      </c>
      <c r="E36">
        <v>9030000</v>
      </c>
      <c r="F36">
        <v>5640000</v>
      </c>
      <c r="G36">
        <v>95750</v>
      </c>
      <c r="H36">
        <v>14939750</v>
      </c>
      <c r="I36" s="54" t="str">
        <f xml:space="preserve"> _xlfn.LET( _xlpm.senior, _xlfn.XLOOKUP(B36,ventas[id_empleado], ventas[antiguedad_vendedor]), IF( _xlpm.senior &gt; 5, "Senior", IF( _xlpm.senior &gt;+ 2, "Semi senior", "Junior" ) ))</f>
        <v>Junior</v>
      </c>
    </row>
    <row r="37" spans="2:9" x14ac:dyDescent="0.3">
      <c r="B37" s="36">
        <v>15</v>
      </c>
      <c r="C37">
        <v>245000</v>
      </c>
      <c r="E37">
        <v>2580000</v>
      </c>
      <c r="F37">
        <v>4785000</v>
      </c>
      <c r="H37">
        <v>7610000</v>
      </c>
      <c r="I37" s="53" t="str">
        <f xml:space="preserve"> _xlfn.LET( _xlpm.senior, _xlfn.XLOOKUP(B37,ventas[id_empleado], ventas[antiguedad_vendedor]), IF( _xlpm.senior &gt; 5, "Senior", IF( _xlpm.senior &gt;+ 2, "Semi senior", "Junior" ) ))</f>
        <v>Junior</v>
      </c>
    </row>
    <row r="38" spans="2:9" x14ac:dyDescent="0.3">
      <c r="B38" s="36">
        <v>16</v>
      </c>
      <c r="C38">
        <v>109250</v>
      </c>
      <c r="D38">
        <v>154000</v>
      </c>
      <c r="E38">
        <v>1235000</v>
      </c>
      <c r="F38">
        <v>6862500</v>
      </c>
      <c r="G38">
        <v>68400</v>
      </c>
      <c r="H38">
        <v>8429150</v>
      </c>
      <c r="I38" s="54" t="str">
        <f xml:space="preserve"> _xlfn.LET( _xlpm.senior, _xlfn.XLOOKUP(B38,ventas[id_empleado], ventas[antiguedad_vendedor]), IF( _xlpm.senior &gt; 5, "Senior", IF( _xlpm.senior &gt;+ 2, "Semi senior", "Junior" ) ))</f>
        <v>Semi senior</v>
      </c>
    </row>
    <row r="39" spans="2:9" x14ac:dyDescent="0.3">
      <c r="B39" s="36">
        <v>17</v>
      </c>
      <c r="C39">
        <v>194250</v>
      </c>
      <c r="E39">
        <v>12477500</v>
      </c>
      <c r="F39">
        <v>405000</v>
      </c>
      <c r="G39">
        <v>95250</v>
      </c>
      <c r="H39">
        <v>13172000</v>
      </c>
      <c r="I39" s="53" t="str">
        <f xml:space="preserve"> _xlfn.LET( _xlpm.senior, _xlfn.XLOOKUP(B39,ventas[id_empleado], ventas[antiguedad_vendedor]), IF( _xlpm.senior &gt; 5, "Senior", IF( _xlpm.senior &gt;+ 2, "Semi senior", "Junior" ) ))</f>
        <v>Junior</v>
      </c>
    </row>
    <row r="40" spans="2:9" x14ac:dyDescent="0.3">
      <c r="B40" s="36">
        <v>18</v>
      </c>
      <c r="C40">
        <v>46500</v>
      </c>
      <c r="D40">
        <v>217250</v>
      </c>
      <c r="E40">
        <v>8380000</v>
      </c>
      <c r="F40">
        <v>2160000</v>
      </c>
      <c r="G40">
        <v>36000</v>
      </c>
      <c r="H40">
        <v>10839750</v>
      </c>
      <c r="I40" s="54" t="str">
        <f xml:space="preserve"> _xlfn.LET( _xlpm.senior, _xlfn.XLOOKUP(B40,ventas[id_empleado], ventas[antiguedad_vendedor]), IF( _xlpm.senior &gt; 5, "Senior", IF( _xlpm.senior &gt;+ 2, "Semi senior", "Junior" ) ))</f>
        <v>Junior</v>
      </c>
    </row>
    <row r="41" spans="2:9" x14ac:dyDescent="0.3">
      <c r="B41" s="55">
        <v>19</v>
      </c>
      <c r="C41" s="56">
        <v>264250</v>
      </c>
      <c r="D41" s="56">
        <v>385000</v>
      </c>
      <c r="E41" s="56">
        <v>7492500</v>
      </c>
      <c r="F41" s="56">
        <v>2655000</v>
      </c>
      <c r="G41" s="56">
        <v>151650</v>
      </c>
      <c r="H41" s="56">
        <v>10948400</v>
      </c>
      <c r="I41" s="57" t="str">
        <f xml:space="preserve"> _xlfn.LET( _xlpm.senior, _xlfn.XLOOKUP(B41,ventas[id_empleado], ventas[antiguedad_vendedor]), IF( _xlpm.senior &gt; 5, "Senior", IF( _xlpm.senior &gt;+ 2, "Semi senior", "Junior" ) ))</f>
        <v>Semi senior</v>
      </c>
    </row>
    <row r="42" spans="2:9" x14ac:dyDescent="0.3">
      <c r="B42" s="55">
        <v>20</v>
      </c>
      <c r="C42" s="56">
        <v>133000</v>
      </c>
      <c r="D42" s="56"/>
      <c r="E42" s="56">
        <v>8140000</v>
      </c>
      <c r="F42" s="56">
        <v>4485000</v>
      </c>
      <c r="G42" s="56">
        <v>138400</v>
      </c>
      <c r="H42" s="56">
        <v>12896400</v>
      </c>
      <c r="I42" s="58" t="str">
        <f xml:space="preserve"> _xlfn.LET( _xlpm.senior, _xlfn.XLOOKUP(B42,ventas[id_empleado], ventas[antiguedad_vendedor]), IF( _xlpm.senior &gt; 5, "Senior", IF( _xlpm.senior &gt;+ 2, "Semi senior", "Junior" ) ))</f>
        <v>Junior</v>
      </c>
    </row>
    <row r="43" spans="2:9" x14ac:dyDescent="0.3">
      <c r="B43" s="36">
        <v>21</v>
      </c>
      <c r="C43">
        <v>245000</v>
      </c>
      <c r="D43">
        <v>275000</v>
      </c>
      <c r="E43">
        <v>2017500</v>
      </c>
      <c r="F43">
        <v>3750000</v>
      </c>
      <c r="G43">
        <v>57600</v>
      </c>
      <c r="H43">
        <v>6345100</v>
      </c>
      <c r="I43" s="53" t="str">
        <f xml:space="preserve"> _xlfn.LET( _xlpm.senior, _xlfn.XLOOKUP(B43,ventas[id_empleado], ventas[antiguedad_vendedor]), IF( _xlpm.senior &gt; 5, "Senior", IF( _xlpm.senior &gt;+ 2, "Semi senior", "Junior" ) ))</f>
        <v>Semi senior</v>
      </c>
    </row>
    <row r="44" spans="2:9" x14ac:dyDescent="0.3">
      <c r="B44" s="36">
        <v>22</v>
      </c>
      <c r="C44">
        <v>43500</v>
      </c>
      <c r="D44">
        <v>49500</v>
      </c>
      <c r="E44">
        <v>4350000</v>
      </c>
      <c r="F44">
        <v>1800000</v>
      </c>
      <c r="G44">
        <v>55800</v>
      </c>
      <c r="H44">
        <v>6298800</v>
      </c>
      <c r="I44" s="54" t="str">
        <f xml:space="preserve"> _xlfn.LET( _xlpm.senior, _xlfn.XLOOKUP(B44,ventas[id_empleado], ventas[antiguedad_vendedor]), IF( _xlpm.senior &gt; 5, "Senior", IF( _xlpm.senior &gt;+ 2, "Semi senior", "Junior" ) ))</f>
        <v>Junior</v>
      </c>
    </row>
    <row r="45" spans="2:9" x14ac:dyDescent="0.3">
      <c r="B45" s="36">
        <v>23</v>
      </c>
      <c r="C45">
        <v>66500</v>
      </c>
      <c r="D45">
        <v>165000</v>
      </c>
      <c r="E45">
        <v>6100000</v>
      </c>
      <c r="G45">
        <v>66600</v>
      </c>
      <c r="H45">
        <v>6398100</v>
      </c>
      <c r="I45" s="53" t="str">
        <f xml:space="preserve"> _xlfn.LET( _xlpm.senior, _xlfn.XLOOKUP(B45,ventas[id_empleado], ventas[antiguedad_vendedor]), IF( _xlpm.senior &gt; 5, "Senior", IF( _xlpm.senior &gt;+ 2, "Semi senior", "Junior" ) ))</f>
        <v>Junior</v>
      </c>
    </row>
    <row r="46" spans="2:9" x14ac:dyDescent="0.3">
      <c r="B46" s="36">
        <v>24</v>
      </c>
      <c r="C46">
        <v>157000</v>
      </c>
      <c r="E46">
        <v>1845000</v>
      </c>
      <c r="F46">
        <v>3555000</v>
      </c>
      <c r="G46">
        <v>236000</v>
      </c>
      <c r="H46">
        <v>5793000</v>
      </c>
      <c r="I46" s="54" t="str">
        <f xml:space="preserve"> _xlfn.LET( _xlpm.senior, _xlfn.XLOOKUP(B46,ventas[id_empleado], ventas[antiguedad_vendedor]), IF( _xlpm.senior &gt; 5, "Senior", IF( _xlpm.senior &gt;+ 2, "Semi senior", "Junior" ) ))</f>
        <v>Semi senior</v>
      </c>
    </row>
    <row r="47" spans="2:9" x14ac:dyDescent="0.3">
      <c r="B47" s="36">
        <v>25</v>
      </c>
      <c r="C47">
        <v>80000</v>
      </c>
      <c r="D47">
        <v>258500</v>
      </c>
      <c r="E47">
        <v>6370000</v>
      </c>
      <c r="F47">
        <v>6375000</v>
      </c>
      <c r="G47">
        <v>72800</v>
      </c>
      <c r="H47">
        <v>13156300</v>
      </c>
      <c r="I47" s="53" t="str">
        <f xml:space="preserve"> _xlfn.LET( _xlpm.senior, _xlfn.XLOOKUP(B47,ventas[id_empleado], ventas[antiguedad_vendedor]), IF( _xlpm.senior &gt; 5, "Senior", IF( _xlpm.senior &gt;+ 2, "Semi senior", "Junior" ) ))</f>
        <v>Semi senior</v>
      </c>
    </row>
    <row r="48" spans="2:9" x14ac:dyDescent="0.3">
      <c r="B48" s="36">
        <v>26</v>
      </c>
      <c r="D48">
        <v>156750</v>
      </c>
      <c r="E48">
        <v>3260000</v>
      </c>
      <c r="F48">
        <v>1500000</v>
      </c>
      <c r="G48">
        <v>33000</v>
      </c>
      <c r="H48">
        <v>4949750</v>
      </c>
      <c r="I48" s="54" t="str">
        <f xml:space="preserve"> _xlfn.LET( _xlpm.senior, _xlfn.XLOOKUP(B48,ventas[id_empleado], ventas[antiguedad_vendedor]), IF( _xlpm.senior &gt; 5, "Senior", IF( _xlpm.senior &gt;+ 2, "Semi senior", "Junior" ) ))</f>
        <v>Senior</v>
      </c>
    </row>
    <row r="49" spans="2:9" x14ac:dyDescent="0.3">
      <c r="B49" s="36">
        <v>27</v>
      </c>
      <c r="C49">
        <v>33250</v>
      </c>
      <c r="D49">
        <v>305250</v>
      </c>
      <c r="E49">
        <v>10210000</v>
      </c>
      <c r="F49">
        <v>4950000</v>
      </c>
      <c r="G49">
        <v>218800</v>
      </c>
      <c r="H49">
        <v>15717300</v>
      </c>
      <c r="I49" s="53" t="str">
        <f xml:space="preserve"> _xlfn.LET( _xlpm.senior, _xlfn.XLOOKUP(B49,ventas[id_empleado], ventas[antiguedad_vendedor]), IF( _xlpm.senior &gt; 5, "Senior", IF( _xlpm.senior &gt;+ 2, "Semi senior", "Junior" ) ))</f>
        <v>Semi senior</v>
      </c>
    </row>
    <row r="50" spans="2:9" x14ac:dyDescent="0.3">
      <c r="B50" s="36">
        <v>28</v>
      </c>
      <c r="C50">
        <v>192500</v>
      </c>
      <c r="D50">
        <v>203500</v>
      </c>
      <c r="E50">
        <v>3487500</v>
      </c>
      <c r="F50">
        <v>4327500</v>
      </c>
      <c r="G50">
        <v>99000</v>
      </c>
      <c r="H50">
        <v>8310000</v>
      </c>
      <c r="I50" s="54" t="str">
        <f xml:space="preserve"> _xlfn.LET( _xlpm.senior, _xlfn.XLOOKUP(B50,ventas[id_empleado], ventas[antiguedad_vendedor]), IF( _xlpm.senior &gt; 5, "Senior", IF( _xlpm.senior &gt;+ 2, "Semi senior", "Junior" ) ))</f>
        <v>Semi senior</v>
      </c>
    </row>
    <row r="51" spans="2:9" x14ac:dyDescent="0.3">
      <c r="B51" s="36">
        <v>29</v>
      </c>
      <c r="C51">
        <v>98000</v>
      </c>
      <c r="D51">
        <v>165000</v>
      </c>
      <c r="E51">
        <v>4530000</v>
      </c>
      <c r="G51">
        <v>108900</v>
      </c>
      <c r="H51">
        <v>4901900</v>
      </c>
      <c r="I51" s="53" t="str">
        <f xml:space="preserve"> _xlfn.LET( _xlpm.senior, _xlfn.XLOOKUP(B51,ventas[id_empleado], ventas[antiguedad_vendedor]), IF( _xlpm.senior &gt; 5, "Senior", IF( _xlpm.senior &gt;+ 2, "Semi senior", "Junior" ) ))</f>
        <v>Junior</v>
      </c>
    </row>
    <row r="52" spans="2:9" x14ac:dyDescent="0.3">
      <c r="B52" s="36">
        <v>30</v>
      </c>
      <c r="C52">
        <v>15000</v>
      </c>
      <c r="D52">
        <v>462000</v>
      </c>
      <c r="E52">
        <v>14015000</v>
      </c>
      <c r="F52">
        <v>750000</v>
      </c>
      <c r="G52">
        <v>75000</v>
      </c>
      <c r="H52">
        <v>15317000</v>
      </c>
      <c r="I52" s="54" t="str">
        <f xml:space="preserve"> _xlfn.LET( _xlpm.senior, _xlfn.XLOOKUP(B52,ventas[id_empleado], ventas[antiguedad_vendedor]), IF( _xlpm.senior &gt; 5, "Senior", IF( _xlpm.senior &gt;+ 2, "Semi senior", "Junior" ) ))</f>
        <v>Junior</v>
      </c>
    </row>
    <row r="53" spans="2:9" x14ac:dyDescent="0.3">
      <c r="B53" s="36">
        <v>31</v>
      </c>
      <c r="C53">
        <v>231250</v>
      </c>
      <c r="D53">
        <v>165000</v>
      </c>
      <c r="E53">
        <v>7972500</v>
      </c>
      <c r="F53">
        <v>3465000</v>
      </c>
      <c r="H53">
        <v>11833750</v>
      </c>
      <c r="I53" s="53" t="str">
        <f xml:space="preserve"> _xlfn.LET( _xlpm.senior, _xlfn.XLOOKUP(B53,ventas[id_empleado], ventas[antiguedad_vendedor]), IF( _xlpm.senior &gt; 5, "Senior", IF( _xlpm.senior &gt;+ 2, "Semi senior", "Junior" ) ))</f>
        <v>Semi senior</v>
      </c>
    </row>
    <row r="54" spans="2:9" x14ac:dyDescent="0.3">
      <c r="B54" s="36">
        <v>32</v>
      </c>
      <c r="C54">
        <v>33250</v>
      </c>
      <c r="E54">
        <v>1600000</v>
      </c>
      <c r="F54">
        <v>2400000</v>
      </c>
      <c r="G54">
        <v>217000</v>
      </c>
      <c r="H54">
        <v>4250250</v>
      </c>
      <c r="I54" s="54" t="str">
        <f xml:space="preserve"> _xlfn.LET( _xlpm.senior, _xlfn.XLOOKUP(B54,ventas[id_empleado], ventas[antiguedad_vendedor]), IF( _xlpm.senior &gt; 5, "Senior", IF( _xlpm.senior &gt;+ 2, "Semi senior", "Junior" ) ))</f>
        <v>Semi senior</v>
      </c>
    </row>
    <row r="55" spans="2:9" x14ac:dyDescent="0.3">
      <c r="B55" s="36">
        <v>33</v>
      </c>
      <c r="C55">
        <v>48500</v>
      </c>
      <c r="E55">
        <v>6750000</v>
      </c>
      <c r="F55">
        <v>9705000</v>
      </c>
      <c r="G55">
        <v>138700</v>
      </c>
      <c r="H55">
        <v>16642200</v>
      </c>
      <c r="I55" s="53" t="str">
        <f xml:space="preserve"> _xlfn.LET( _xlpm.senior, _xlfn.XLOOKUP(B55,ventas[id_empleado], ventas[antiguedad_vendedor]), IF( _xlpm.senior &gt; 5, "Senior", IF( _xlpm.senior &gt;+ 2, "Semi senior", "Junior" ) ))</f>
        <v>Senior</v>
      </c>
    </row>
    <row r="56" spans="2:9" x14ac:dyDescent="0.3">
      <c r="B56" s="36">
        <v>34</v>
      </c>
      <c r="C56">
        <v>99750</v>
      </c>
      <c r="D56">
        <v>104500</v>
      </c>
      <c r="E56">
        <v>6455000</v>
      </c>
      <c r="F56">
        <v>1500000</v>
      </c>
      <c r="G56">
        <v>22500</v>
      </c>
      <c r="H56">
        <v>8181750</v>
      </c>
      <c r="I56" s="54" t="str">
        <f xml:space="preserve"> _xlfn.LET( _xlpm.senior, _xlfn.XLOOKUP(B56,ventas[id_empleado], ventas[antiguedad_vendedor]), IF( _xlpm.senior &gt; 5, "Senior", IF( _xlpm.senior &gt;+ 2, "Semi senior", "Junior" ) ))</f>
        <v>Junior</v>
      </c>
    </row>
    <row r="57" spans="2:9" x14ac:dyDescent="0.3">
      <c r="B57" s="36">
        <v>35</v>
      </c>
      <c r="C57">
        <v>99750</v>
      </c>
      <c r="E57">
        <v>3910000</v>
      </c>
      <c r="F57">
        <v>1282500</v>
      </c>
      <c r="G57">
        <v>190050</v>
      </c>
      <c r="H57">
        <v>5482300</v>
      </c>
      <c r="I57" s="53" t="str">
        <f xml:space="preserve"> _xlfn.LET( _xlpm.senior, _xlfn.XLOOKUP(B57,ventas[id_empleado], ventas[antiguedad_vendedor]), IF( _xlpm.senior &gt; 5, "Senior", IF( _xlpm.senior &gt;+ 2, "Semi senior", "Junior" ) ))</f>
        <v>Junior</v>
      </c>
    </row>
    <row r="58" spans="2:9" x14ac:dyDescent="0.3">
      <c r="B58" s="36">
        <v>36</v>
      </c>
      <c r="C58">
        <v>93250</v>
      </c>
      <c r="D58">
        <v>99000</v>
      </c>
      <c r="E58">
        <v>9590000</v>
      </c>
      <c r="F58">
        <v>427500</v>
      </c>
      <c r="G58">
        <v>104400</v>
      </c>
      <c r="H58">
        <v>10314150</v>
      </c>
      <c r="I58" s="54" t="str">
        <f xml:space="preserve"> _xlfn.LET( _xlpm.senior, _xlfn.XLOOKUP(B58,ventas[id_empleado], ventas[antiguedad_vendedor]), IF( _xlpm.senior &gt; 5, "Senior", IF( _xlpm.senior &gt;+ 2, "Semi senior", "Junior" ) ))</f>
        <v>Semi senior</v>
      </c>
    </row>
    <row r="59" spans="2:9" x14ac:dyDescent="0.3">
      <c r="B59" s="36">
        <v>37</v>
      </c>
      <c r="D59">
        <v>107250</v>
      </c>
      <c r="E59">
        <v>13415000</v>
      </c>
      <c r="F59">
        <v>750000</v>
      </c>
      <c r="H59">
        <v>14272250</v>
      </c>
      <c r="I59" s="53" t="str">
        <f xml:space="preserve"> _xlfn.LET( _xlpm.senior, _xlfn.XLOOKUP(B59,ventas[id_empleado], ventas[antiguedad_vendedor]), IF( _xlpm.senior &gt; 5, "Senior", IF( _xlpm.senior &gt;+ 2, "Semi senior", "Junior" ) ))</f>
        <v>Junior</v>
      </c>
    </row>
    <row r="60" spans="2:9" x14ac:dyDescent="0.3">
      <c r="B60" s="36">
        <v>38</v>
      </c>
      <c r="C60">
        <v>70000</v>
      </c>
      <c r="D60">
        <v>99000</v>
      </c>
      <c r="F60">
        <v>1500000</v>
      </c>
      <c r="G60">
        <v>46800</v>
      </c>
      <c r="H60">
        <v>1715800</v>
      </c>
      <c r="I60" s="54" t="str">
        <f xml:space="preserve"> _xlfn.LET( _xlpm.senior, _xlfn.XLOOKUP(B60,ventas[id_empleado], ventas[antiguedad_vendedor]), IF( _xlpm.senior &gt; 5, "Senior", IF( _xlpm.senior &gt;+ 2, "Semi senior", "Junior" ) ))</f>
        <v>Senior</v>
      </c>
    </row>
    <row r="61" spans="2:9" x14ac:dyDescent="0.3">
      <c r="B61" s="36">
        <v>39</v>
      </c>
      <c r="C61">
        <v>123000</v>
      </c>
      <c r="E61">
        <v>5590000</v>
      </c>
      <c r="F61">
        <v>8377500</v>
      </c>
      <c r="G61">
        <v>179800</v>
      </c>
      <c r="H61">
        <v>14270300</v>
      </c>
      <c r="I61" s="53" t="str">
        <f xml:space="preserve"> _xlfn.LET( _xlpm.senior, _xlfn.XLOOKUP(B61,ventas[id_empleado], ventas[antiguedad_vendedor]), IF( _xlpm.senior &gt; 5, "Senior", IF( _xlpm.senior &gt;+ 2, "Semi senior", "Junior" ) ))</f>
        <v>Senior</v>
      </c>
    </row>
    <row r="62" spans="2:9" x14ac:dyDescent="0.3">
      <c r="B62" s="36">
        <v>40</v>
      </c>
      <c r="C62">
        <v>65000</v>
      </c>
      <c r="D62">
        <v>52250</v>
      </c>
      <c r="E62">
        <v>13805000</v>
      </c>
      <c r="F62">
        <v>4177500</v>
      </c>
      <c r="G62">
        <v>62000</v>
      </c>
      <c r="H62">
        <v>18161750</v>
      </c>
      <c r="I62" s="54" t="str">
        <f xml:space="preserve"> _xlfn.LET( _xlpm.senior, _xlfn.XLOOKUP(B62,ventas[id_empleado], ventas[antiguedad_vendedor]), IF( _xlpm.senior &gt; 5, "Senior", IF( _xlpm.senior &gt;+ 2, "Semi senior", "Junior" ) ))</f>
        <v>Junior</v>
      </c>
    </row>
    <row r="63" spans="2:9" x14ac:dyDescent="0.3">
      <c r="B63" s="36">
        <v>41</v>
      </c>
      <c r="C63">
        <v>87750</v>
      </c>
      <c r="D63">
        <v>99000</v>
      </c>
      <c r="E63">
        <v>9932500</v>
      </c>
      <c r="F63">
        <v>6472500</v>
      </c>
      <c r="G63">
        <v>47800</v>
      </c>
      <c r="H63">
        <v>16639550</v>
      </c>
      <c r="I63" s="53" t="str">
        <f xml:space="preserve"> _xlfn.LET( _xlpm.senior, _xlfn.XLOOKUP(B63,ventas[id_empleado], ventas[antiguedad_vendedor]), IF( _xlpm.senior &gt; 5, "Senior", IF( _xlpm.senior &gt;+ 2, "Semi senior", "Junior" ) ))</f>
        <v>Semi senior</v>
      </c>
    </row>
    <row r="64" spans="2:9" x14ac:dyDescent="0.3">
      <c r="B64" s="36">
        <v>42</v>
      </c>
      <c r="C64">
        <v>172250</v>
      </c>
      <c r="D64">
        <v>99000</v>
      </c>
      <c r="E64">
        <v>5670000</v>
      </c>
      <c r="F64">
        <v>2850000</v>
      </c>
      <c r="G64">
        <v>171600</v>
      </c>
      <c r="H64">
        <v>8962850</v>
      </c>
      <c r="I64" s="54" t="str">
        <f xml:space="preserve"> _xlfn.LET( _xlpm.senior, _xlfn.XLOOKUP(B64,ventas[id_empleado], ventas[antiguedad_vendedor]), IF( _xlpm.senior &gt; 5, "Senior", IF( _xlpm.senior &gt;+ 2, "Semi senior", "Junior" ) ))</f>
        <v>Semi senior</v>
      </c>
    </row>
    <row r="65" spans="2:9" x14ac:dyDescent="0.3">
      <c r="B65" s="36">
        <v>43</v>
      </c>
      <c r="C65">
        <v>151500</v>
      </c>
      <c r="E65">
        <v>7740000</v>
      </c>
      <c r="F65">
        <v>5235000</v>
      </c>
      <c r="H65">
        <v>13126500</v>
      </c>
      <c r="I65" s="53" t="str">
        <f xml:space="preserve"> _xlfn.LET( _xlpm.senior, _xlfn.XLOOKUP(B65,ventas[id_empleado], ventas[antiguedad_vendedor]), IF( _xlpm.senior &gt; 5, "Senior", IF( _xlpm.senior &gt;+ 2, "Semi senior", "Junior" ) ))</f>
        <v>Junior</v>
      </c>
    </row>
    <row r="66" spans="2:9" x14ac:dyDescent="0.3">
      <c r="B66" s="36">
        <v>44</v>
      </c>
      <c r="C66">
        <v>87750</v>
      </c>
      <c r="D66">
        <v>99000</v>
      </c>
      <c r="E66">
        <v>7967500</v>
      </c>
      <c r="F66">
        <v>6450000</v>
      </c>
      <c r="G66">
        <v>45600</v>
      </c>
      <c r="H66">
        <v>14649850</v>
      </c>
      <c r="I66" s="54" t="str">
        <f xml:space="preserve"> _xlfn.LET( _xlpm.senior, _xlfn.XLOOKUP(B66,ventas[id_empleado], ventas[antiguedad_vendedor]), IF( _xlpm.senior &gt; 5, "Senior", IF( _xlpm.senior &gt;+ 2, "Semi senior", "Junior" ) ))</f>
        <v>Senior</v>
      </c>
    </row>
    <row r="67" spans="2:9" x14ac:dyDescent="0.3">
      <c r="B67" s="36">
        <v>45</v>
      </c>
      <c r="C67">
        <v>124500</v>
      </c>
      <c r="E67">
        <v>1985000</v>
      </c>
      <c r="F67">
        <v>2565000</v>
      </c>
      <c r="G67">
        <v>105450</v>
      </c>
      <c r="H67">
        <v>4779950</v>
      </c>
      <c r="I67" s="53" t="str">
        <f xml:space="preserve"> _xlfn.LET( _xlpm.senior, _xlfn.XLOOKUP(B67,ventas[id_empleado], ventas[antiguedad_vendedor]), IF( _xlpm.senior &gt; 5, "Senior", IF( _xlpm.senior &gt;+ 2, "Semi senior", "Junior" ) ))</f>
        <v>Junior</v>
      </c>
    </row>
    <row r="68" spans="2:9" x14ac:dyDescent="0.3">
      <c r="B68" s="36">
        <v>46</v>
      </c>
      <c r="C68">
        <v>94500</v>
      </c>
      <c r="D68">
        <v>55000</v>
      </c>
      <c r="E68">
        <v>6540000</v>
      </c>
      <c r="G68">
        <v>154000</v>
      </c>
      <c r="H68">
        <v>6843500</v>
      </c>
      <c r="I68" s="54" t="str">
        <f xml:space="preserve"> _xlfn.LET( _xlpm.senior, _xlfn.XLOOKUP(B68,ventas[id_empleado], ventas[antiguedad_vendedor]), IF( _xlpm.senior &gt; 5, "Senior", IF( _xlpm.senior &gt;+ 2, "Semi senior", "Junior" ) ))</f>
        <v>Semi senior</v>
      </c>
    </row>
    <row r="69" spans="2:9" x14ac:dyDescent="0.3">
      <c r="B69" s="36">
        <v>47</v>
      </c>
      <c r="C69">
        <v>198500</v>
      </c>
      <c r="E69">
        <v>4165000</v>
      </c>
      <c r="F69">
        <v>4755000</v>
      </c>
      <c r="G69">
        <v>129200</v>
      </c>
      <c r="H69">
        <v>9247700</v>
      </c>
      <c r="I69" s="53" t="str">
        <f xml:space="preserve"> _xlfn.LET( _xlpm.senior, _xlfn.XLOOKUP(B69,ventas[id_empleado], ventas[antiguedad_vendedor]), IF( _xlpm.senior &gt; 5, "Senior", IF( _xlpm.senior &gt;+ 2, "Semi senior", "Junior" ) ))</f>
        <v>Junior</v>
      </c>
    </row>
    <row r="70" spans="2:9" x14ac:dyDescent="0.3">
      <c r="B70" s="36">
        <v>48</v>
      </c>
      <c r="C70">
        <v>30000</v>
      </c>
      <c r="D70">
        <v>110000</v>
      </c>
      <c r="E70">
        <v>9290000</v>
      </c>
      <c r="G70">
        <v>350900</v>
      </c>
      <c r="H70">
        <v>9780900</v>
      </c>
      <c r="I70" s="54" t="str">
        <f xml:space="preserve"> _xlfn.LET( _xlpm.senior, _xlfn.XLOOKUP(B70,ventas[id_empleado], ventas[antiguedad_vendedor]), IF( _xlpm.senior &gt; 5, "Senior", IF( _xlpm.senior &gt;+ 2, "Semi senior", "Junior" ) ))</f>
        <v>Senior</v>
      </c>
    </row>
    <row r="71" spans="2:9" x14ac:dyDescent="0.3">
      <c r="B71" s="36">
        <v>49</v>
      </c>
      <c r="C71">
        <v>216500</v>
      </c>
      <c r="D71">
        <v>49500</v>
      </c>
      <c r="E71">
        <v>8435000</v>
      </c>
      <c r="F71">
        <v>3727500</v>
      </c>
      <c r="G71">
        <v>59750</v>
      </c>
      <c r="H71">
        <v>12488250</v>
      </c>
      <c r="I71" s="53" t="str">
        <f xml:space="preserve"> _xlfn.LET( _xlpm.senior, _xlfn.XLOOKUP(B71,ventas[id_empleado], ventas[antiguedad_vendedor]), IF( _xlpm.senior &gt; 5, "Senior", IF( _xlpm.senior &gt;+ 2, "Semi senior", "Junior" ) ))</f>
        <v>Junior</v>
      </c>
    </row>
    <row r="72" spans="2:9" x14ac:dyDescent="0.3">
      <c r="B72" s="36">
        <v>50</v>
      </c>
      <c r="C72">
        <v>105000</v>
      </c>
      <c r="D72">
        <v>558250</v>
      </c>
      <c r="E72">
        <v>5255000</v>
      </c>
      <c r="F72">
        <v>5302500</v>
      </c>
      <c r="G72">
        <v>108600</v>
      </c>
      <c r="H72">
        <v>11329350</v>
      </c>
      <c r="I72" s="54" t="str">
        <f xml:space="preserve"> _xlfn.LET( _xlpm.senior, _xlfn.XLOOKUP(B72,ventas[id_empleado], ventas[antiguedad_vendedor]), IF( _xlpm.senior &gt; 5, "Senior", IF( _xlpm.senior &gt;+ 2, "Semi senior", "Junior" ) ))</f>
        <v>Junior</v>
      </c>
    </row>
    <row r="73" spans="2:9" x14ac:dyDescent="0.3">
      <c r="B73" s="36">
        <v>51</v>
      </c>
      <c r="C73">
        <v>131250</v>
      </c>
      <c r="D73">
        <v>148500</v>
      </c>
      <c r="E73">
        <v>5337500</v>
      </c>
      <c r="G73">
        <v>307100</v>
      </c>
      <c r="H73">
        <v>5924350</v>
      </c>
      <c r="I73" s="53" t="str">
        <f xml:space="preserve"> _xlfn.LET( _xlpm.senior, _xlfn.XLOOKUP(B73,ventas[id_empleado], ventas[antiguedad_vendedor]), IF( _xlpm.senior &gt; 5, "Senior", IF( _xlpm.senior &gt;+ 2, "Semi senior", "Junior" ) ))</f>
        <v>Senior</v>
      </c>
    </row>
    <row r="74" spans="2:9" x14ac:dyDescent="0.3">
      <c r="B74" s="36">
        <v>52</v>
      </c>
      <c r="C74">
        <v>343000</v>
      </c>
      <c r="D74">
        <v>107250</v>
      </c>
      <c r="E74">
        <v>6565000</v>
      </c>
      <c r="F74">
        <v>8692500</v>
      </c>
      <c r="G74">
        <v>121800</v>
      </c>
      <c r="H74">
        <v>15829550</v>
      </c>
      <c r="I74" s="54" t="str">
        <f xml:space="preserve"> _xlfn.LET( _xlpm.senior, _xlfn.XLOOKUP(B74,ventas[id_empleado], ventas[antiguedad_vendedor]), IF( _xlpm.senior &gt; 5, "Senior", IF( _xlpm.senior &gt;+ 2, "Semi senior", "Junior" ) ))</f>
        <v>Junior</v>
      </c>
    </row>
    <row r="75" spans="2:9" x14ac:dyDescent="0.3">
      <c r="B75" s="36">
        <v>53</v>
      </c>
      <c r="C75">
        <v>121500</v>
      </c>
      <c r="D75">
        <v>148500</v>
      </c>
      <c r="E75">
        <v>13957500</v>
      </c>
      <c r="G75">
        <v>33000</v>
      </c>
      <c r="H75">
        <v>14260500</v>
      </c>
      <c r="I75" s="53" t="str">
        <f xml:space="preserve"> _xlfn.LET( _xlpm.senior, _xlfn.XLOOKUP(B75,ventas[id_empleado], ventas[antiguedad_vendedor]), IF( _xlpm.senior &gt; 5, "Senior", IF( _xlpm.senior &gt;+ 2, "Semi senior", "Junior" ) ))</f>
        <v>Junior</v>
      </c>
    </row>
    <row r="76" spans="2:9" x14ac:dyDescent="0.3">
      <c r="B76" s="36">
        <v>54</v>
      </c>
      <c r="C76">
        <v>161250</v>
      </c>
      <c r="D76">
        <v>110000</v>
      </c>
      <c r="E76">
        <v>9075000</v>
      </c>
      <c r="F76">
        <v>4005000</v>
      </c>
      <c r="G76">
        <v>71250</v>
      </c>
      <c r="H76">
        <v>13422500</v>
      </c>
      <c r="I76" s="54" t="str">
        <f xml:space="preserve"> _xlfn.LET( _xlpm.senior, _xlfn.XLOOKUP(B76,ventas[id_empleado], ventas[antiguedad_vendedor]), IF( _xlpm.senior &gt; 5, "Senior", IF( _xlpm.senior &gt;+ 2, "Semi senior", "Junior" ) ))</f>
        <v>Senior</v>
      </c>
    </row>
    <row r="77" spans="2:9" x14ac:dyDescent="0.3">
      <c r="B77" s="36">
        <v>55</v>
      </c>
      <c r="C77">
        <v>174750</v>
      </c>
      <c r="D77">
        <v>52250</v>
      </c>
      <c r="E77">
        <v>3252500</v>
      </c>
      <c r="F77">
        <v>7740000</v>
      </c>
      <c r="G77">
        <v>50000</v>
      </c>
      <c r="H77">
        <v>11269500</v>
      </c>
      <c r="I77" s="53" t="str">
        <f xml:space="preserve"> _xlfn.LET( _xlpm.senior, _xlfn.XLOOKUP(B77,ventas[id_empleado], ventas[antiguedad_vendedor]), IF( _xlpm.senior &gt; 5, "Senior", IF( _xlpm.senior &gt;+ 2, "Semi senior", "Junior" ) ))</f>
        <v>Senior</v>
      </c>
    </row>
    <row r="78" spans="2:9" x14ac:dyDescent="0.3">
      <c r="B78" s="36">
        <v>56</v>
      </c>
      <c r="C78">
        <v>175000</v>
      </c>
      <c r="D78">
        <v>55000</v>
      </c>
      <c r="E78">
        <v>7280000</v>
      </c>
      <c r="F78">
        <v>3465000</v>
      </c>
      <c r="G78">
        <v>117750</v>
      </c>
      <c r="H78">
        <v>11092750</v>
      </c>
      <c r="I78" s="54" t="str">
        <f xml:space="preserve"> _xlfn.LET( _xlpm.senior, _xlfn.XLOOKUP(B78,ventas[id_empleado], ventas[antiguedad_vendedor]), IF( _xlpm.senior &gt; 5, "Senior", IF( _xlpm.senior &gt;+ 2, "Semi senior", "Junior" ) ))</f>
        <v>Junior</v>
      </c>
    </row>
    <row r="79" spans="2:9" x14ac:dyDescent="0.3">
      <c r="B79" s="36">
        <v>57</v>
      </c>
      <c r="C79">
        <v>175500</v>
      </c>
      <c r="D79">
        <v>253000</v>
      </c>
      <c r="E79">
        <v>4285000</v>
      </c>
      <c r="F79">
        <v>4485000</v>
      </c>
      <c r="G79">
        <v>136300</v>
      </c>
      <c r="H79">
        <v>9334800</v>
      </c>
      <c r="I79" s="53" t="str">
        <f xml:space="preserve"> _xlfn.LET( _xlpm.senior, _xlfn.XLOOKUP(B79,ventas[id_empleado], ventas[antiguedad_vendedor]), IF( _xlpm.senior &gt; 5, "Senior", IF( _xlpm.senior &gt;+ 2, "Semi senior", "Junior" ) ))</f>
        <v>Semi senior</v>
      </c>
    </row>
    <row r="80" spans="2:9" x14ac:dyDescent="0.3">
      <c r="B80" s="36">
        <v>58</v>
      </c>
      <c r="C80">
        <v>525500</v>
      </c>
      <c r="D80">
        <v>104500</v>
      </c>
      <c r="E80">
        <v>4635000</v>
      </c>
      <c r="F80">
        <v>4650000</v>
      </c>
      <c r="G80">
        <v>153200</v>
      </c>
      <c r="H80">
        <v>10068200</v>
      </c>
      <c r="I80" s="54" t="str">
        <f xml:space="preserve"> _xlfn.LET( _xlpm.senior, _xlfn.XLOOKUP(B80,ventas[id_empleado], ventas[antiguedad_vendedor]), IF( _xlpm.senior &gt; 5, "Senior", IF( _xlpm.senior &gt;+ 2, "Semi senior", "Junior" ) ))</f>
        <v>Junior</v>
      </c>
    </row>
    <row r="81" spans="2:9" x14ac:dyDescent="0.3">
      <c r="B81" s="36">
        <v>59</v>
      </c>
      <c r="C81">
        <v>61500</v>
      </c>
      <c r="D81">
        <v>269500</v>
      </c>
      <c r="E81">
        <v>4285000</v>
      </c>
      <c r="F81">
        <v>2632500</v>
      </c>
      <c r="H81">
        <v>7248500</v>
      </c>
      <c r="I81" s="53" t="str">
        <f xml:space="preserve"> _xlfn.LET( _xlpm.senior, _xlfn.XLOOKUP(B81,ventas[id_empleado], ventas[antiguedad_vendedor]), IF( _xlpm.senior &gt; 5, "Senior", IF( _xlpm.senior &gt;+ 2, "Semi senior", "Junior" ) ))</f>
        <v>Junior</v>
      </c>
    </row>
    <row r="82" spans="2:9" x14ac:dyDescent="0.3">
      <c r="B82" s="36">
        <v>60</v>
      </c>
      <c r="C82">
        <v>187000</v>
      </c>
      <c r="D82">
        <v>165000</v>
      </c>
      <c r="E82">
        <v>6555000</v>
      </c>
      <c r="F82">
        <v>2227500</v>
      </c>
      <c r="G82">
        <v>290200</v>
      </c>
      <c r="H82">
        <v>9424700</v>
      </c>
      <c r="I82" s="54" t="str">
        <f xml:space="preserve"> _xlfn.LET( _xlpm.senior, _xlfn.XLOOKUP(B82,ventas[id_empleado], ventas[antiguedad_vendedor]), IF( _xlpm.senior &gt; 5, "Senior", IF( _xlpm.senior &gt;+ 2, "Semi senior", "Junior" ) ))</f>
        <v>Junior</v>
      </c>
    </row>
    <row r="83" spans="2:9" x14ac:dyDescent="0.3">
      <c r="B83" s="36">
        <v>61</v>
      </c>
      <c r="C83">
        <v>83250</v>
      </c>
      <c r="D83">
        <v>437250</v>
      </c>
      <c r="E83">
        <v>1260000</v>
      </c>
      <c r="G83">
        <v>98750</v>
      </c>
      <c r="H83">
        <v>1879250</v>
      </c>
      <c r="I83" s="53" t="str">
        <f xml:space="preserve"> _xlfn.LET( _xlpm.senior, _xlfn.XLOOKUP(B83,ventas[id_empleado], ventas[antiguedad_vendedor]), IF( _xlpm.senior &gt; 5, "Senior", IF( _xlpm.senior &gt;+ 2, "Semi senior", "Junior" ) ))</f>
        <v>Semi senior</v>
      </c>
    </row>
    <row r="84" spans="2:9" x14ac:dyDescent="0.3">
      <c r="B84" s="36">
        <v>62</v>
      </c>
      <c r="E84">
        <v>6925000</v>
      </c>
      <c r="F84">
        <v>4635000</v>
      </c>
      <c r="G84">
        <v>24000</v>
      </c>
      <c r="H84">
        <v>11584000</v>
      </c>
      <c r="I84" s="54" t="str">
        <f xml:space="preserve"> _xlfn.LET( _xlpm.senior, _xlfn.XLOOKUP(B84,ventas[id_empleado], ventas[antiguedad_vendedor]), IF( _xlpm.senior &gt; 5, "Senior", IF( _xlpm.senior &gt;+ 2, "Semi senior", "Junior" ) ))</f>
        <v>Semi senior</v>
      </c>
    </row>
    <row r="85" spans="2:9" x14ac:dyDescent="0.3">
      <c r="B85" s="36">
        <v>63</v>
      </c>
      <c r="C85">
        <v>149250</v>
      </c>
      <c r="D85">
        <v>55000</v>
      </c>
      <c r="E85">
        <v>10305000</v>
      </c>
      <c r="F85">
        <v>3487500</v>
      </c>
      <c r="G85">
        <v>121200</v>
      </c>
      <c r="H85">
        <v>14117950</v>
      </c>
      <c r="I85" s="53" t="str">
        <f xml:space="preserve"> _xlfn.LET( _xlpm.senior, _xlfn.XLOOKUP(B85,ventas[id_empleado], ventas[antiguedad_vendedor]), IF( _xlpm.senior &gt; 5, "Senior", IF( _xlpm.senior &gt;+ 2, "Semi senior", "Junior" ) ))</f>
        <v>Semi senior</v>
      </c>
    </row>
    <row r="86" spans="2:9" x14ac:dyDescent="0.3">
      <c r="B86" s="36">
        <v>64</v>
      </c>
      <c r="C86">
        <v>126000</v>
      </c>
      <c r="D86">
        <v>209000</v>
      </c>
      <c r="E86">
        <v>8655000</v>
      </c>
      <c r="F86">
        <v>2250000</v>
      </c>
      <c r="G86">
        <v>199900</v>
      </c>
      <c r="H86">
        <v>11439900</v>
      </c>
      <c r="I86" s="54" t="str">
        <f xml:space="preserve"> _xlfn.LET( _xlpm.senior, _xlfn.XLOOKUP(B86,ventas[id_empleado], ventas[antiguedad_vendedor]), IF( _xlpm.senior &gt; 5, "Senior", IF( _xlpm.senior &gt;+ 2, "Semi senior", "Junior" ) ))</f>
        <v>Semi senior</v>
      </c>
    </row>
    <row r="87" spans="2:9" x14ac:dyDescent="0.3">
      <c r="B87" s="36">
        <v>65</v>
      </c>
      <c r="C87">
        <v>210750</v>
      </c>
      <c r="E87">
        <v>7262500</v>
      </c>
      <c r="F87">
        <v>4680000</v>
      </c>
      <c r="G87">
        <v>22800</v>
      </c>
      <c r="H87">
        <v>12176050</v>
      </c>
      <c r="I87" s="53" t="str">
        <f xml:space="preserve"> _xlfn.LET( _xlpm.senior, _xlfn.XLOOKUP(B87,ventas[id_empleado], ventas[antiguedad_vendedor]), IF( _xlpm.senior &gt; 5, "Senior", IF( _xlpm.senior &gt;+ 2, "Semi senior", "Junior" ) ))</f>
        <v>Junior</v>
      </c>
    </row>
    <row r="88" spans="2:9" x14ac:dyDescent="0.3">
      <c r="B88" s="36">
        <v>66</v>
      </c>
      <c r="C88">
        <v>93250</v>
      </c>
      <c r="D88">
        <v>308000</v>
      </c>
      <c r="E88">
        <v>4387500</v>
      </c>
      <c r="F88">
        <v>2400000</v>
      </c>
      <c r="G88">
        <v>178650</v>
      </c>
      <c r="H88">
        <v>7367400</v>
      </c>
      <c r="I88" s="54" t="str">
        <f xml:space="preserve"> _xlfn.LET( _xlpm.senior, _xlfn.XLOOKUP(B88,ventas[id_empleado], ventas[antiguedad_vendedor]), IF( _xlpm.senior &gt; 5, "Senior", IF( _xlpm.senior &gt;+ 2, "Semi senior", "Junior" ) ))</f>
        <v>Junior</v>
      </c>
    </row>
    <row r="89" spans="2:9" x14ac:dyDescent="0.3">
      <c r="B89" s="36">
        <v>67</v>
      </c>
      <c r="C89">
        <v>35000</v>
      </c>
      <c r="D89">
        <v>110000</v>
      </c>
      <c r="E89">
        <v>7240000</v>
      </c>
      <c r="F89">
        <v>6637500</v>
      </c>
      <c r="H89">
        <v>14022500</v>
      </c>
      <c r="I89" s="53" t="str">
        <f xml:space="preserve"> _xlfn.LET( _xlpm.senior, _xlfn.XLOOKUP(B89,ventas[id_empleado], ventas[antiguedad_vendedor]), IF( _xlpm.senior &gt; 5, "Senior", IF( _xlpm.senior &gt;+ 2, "Semi senior", "Junior" ) ))</f>
        <v>Junior</v>
      </c>
    </row>
    <row r="90" spans="2:9" x14ac:dyDescent="0.3">
      <c r="B90" s="36">
        <v>68</v>
      </c>
      <c r="C90">
        <v>325000</v>
      </c>
      <c r="D90">
        <v>55000</v>
      </c>
      <c r="E90">
        <v>6710000</v>
      </c>
      <c r="F90">
        <v>5550000</v>
      </c>
      <c r="G90">
        <v>48750</v>
      </c>
      <c r="H90">
        <v>12688750</v>
      </c>
      <c r="I90" s="54" t="str">
        <f xml:space="preserve"> _xlfn.LET( _xlpm.senior, _xlfn.XLOOKUP(B90,ventas[id_empleado], ventas[antiguedad_vendedor]), IF( _xlpm.senior &gt; 5, "Senior", IF( _xlpm.senior &gt;+ 2, "Semi senior", "Junior" ) ))</f>
        <v>Junior</v>
      </c>
    </row>
    <row r="91" spans="2:9" x14ac:dyDescent="0.3">
      <c r="B91" s="36">
        <v>69</v>
      </c>
      <c r="C91">
        <v>105000</v>
      </c>
      <c r="D91">
        <v>110000</v>
      </c>
      <c r="E91">
        <v>3540000</v>
      </c>
      <c r="F91">
        <v>5100000</v>
      </c>
      <c r="G91">
        <v>50000</v>
      </c>
      <c r="H91">
        <v>8905000</v>
      </c>
      <c r="I91" s="53" t="str">
        <f xml:space="preserve"> _xlfn.LET( _xlpm.senior, _xlfn.XLOOKUP(B91,ventas[id_empleado], ventas[antiguedad_vendedor]), IF( _xlpm.senior &gt; 5, "Senior", IF( _xlpm.senior &gt;+ 2, "Semi senior", "Junior" ) ))</f>
        <v>Junior</v>
      </c>
    </row>
    <row r="92" spans="2:9" x14ac:dyDescent="0.3">
      <c r="B92" s="36">
        <v>70</v>
      </c>
      <c r="C92">
        <v>142750</v>
      </c>
      <c r="D92">
        <v>220000</v>
      </c>
      <c r="E92">
        <v>2000000</v>
      </c>
      <c r="F92">
        <v>4567500</v>
      </c>
      <c r="H92">
        <v>6930250</v>
      </c>
      <c r="I92" s="54" t="str">
        <f xml:space="preserve"> _xlfn.LET( _xlpm.senior, _xlfn.XLOOKUP(B92,ventas[id_empleado], ventas[antiguedad_vendedor]), IF( _xlpm.senior &gt; 5, "Senior", IF( _xlpm.senior &gt;+ 2, "Semi senior", "Junior" ) ))</f>
        <v>Senior</v>
      </c>
    </row>
    <row r="93" spans="2:9" ht="15" thickBot="1" x14ac:dyDescent="0.35">
      <c r="B93" s="25" t="s">
        <v>623</v>
      </c>
      <c r="C93" s="27">
        <v>9495250</v>
      </c>
      <c r="D93" s="27">
        <v>8998000</v>
      </c>
      <c r="E93" s="27">
        <v>452362500</v>
      </c>
      <c r="F93" s="27">
        <v>257047500</v>
      </c>
      <c r="G93" s="27">
        <v>7246250</v>
      </c>
      <c r="H93" s="27">
        <v>735149500</v>
      </c>
      <c r="I93" s="59"/>
    </row>
  </sheetData>
  <mergeCells count="1">
    <mergeCell ref="B19:I20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95D8-5CD3-4E8A-8487-AE8BD77B678D}">
  <dimension ref="B1:V50"/>
  <sheetViews>
    <sheetView tabSelected="1" workbookViewId="0">
      <selection activeCell="D3" sqref="D3"/>
    </sheetView>
  </sheetViews>
  <sheetFormatPr baseColWidth="10" defaultRowHeight="14.4" x14ac:dyDescent="0.3"/>
  <cols>
    <col min="2" max="2" width="23.109375" customWidth="1"/>
    <col min="3" max="3" width="16.5546875" bestFit="1" customWidth="1"/>
    <col min="4" max="4" width="21.21875" bestFit="1" customWidth="1"/>
    <col min="5" max="5" width="7.77734375" bestFit="1" customWidth="1"/>
    <col min="6" max="6" width="11.44140625" bestFit="1" customWidth="1"/>
    <col min="7" max="7" width="9.88671875" bestFit="1" customWidth="1"/>
    <col min="8" max="8" width="8.88671875" bestFit="1" customWidth="1"/>
    <col min="16" max="16" width="16.5546875" bestFit="1" customWidth="1"/>
    <col min="17" max="17" width="12.21875" customWidth="1"/>
    <col min="18" max="18" width="7.77734375" bestFit="1" customWidth="1"/>
    <col min="19" max="19" width="11.44140625" bestFit="1" customWidth="1"/>
    <col min="20" max="20" width="9.88671875" bestFit="1" customWidth="1"/>
    <col min="21" max="21" width="8.88671875" bestFit="1" customWidth="1"/>
  </cols>
  <sheetData>
    <row r="1" spans="2:4" ht="15" thickBot="1" x14ac:dyDescent="0.35"/>
    <row r="2" spans="2:4" ht="15" thickBot="1" x14ac:dyDescent="0.35">
      <c r="B2" s="64" t="s">
        <v>684</v>
      </c>
      <c r="C2" s="35">
        <f>GETPIVOTDATA("cantidad",$C$25)</f>
        <v>2079</v>
      </c>
    </row>
    <row r="3" spans="2:4" ht="15" thickBot="1" x14ac:dyDescent="0.35">
      <c r="B3" s="63" t="s">
        <v>685</v>
      </c>
      <c r="C3" s="65" t="str">
        <f>_xlfn.XLOOKUP( MAX(D38:M38),D38:M38, D27:M27)</f>
        <v>TV</v>
      </c>
      <c r="D3" s="66">
        <f>MAX(D38:M38)</f>
        <v>235</v>
      </c>
    </row>
    <row r="4" spans="2:4" ht="15" thickBot="1" x14ac:dyDescent="0.35">
      <c r="B4" s="63" t="s">
        <v>686</v>
      </c>
      <c r="C4" s="65" t="str">
        <f>_xlfn.XLOOKUP(D4, V27:V34, P27:P34)</f>
        <v>Biobío</v>
      </c>
      <c r="D4" s="66">
        <f>MAX(V27:V34)</f>
        <v>544</v>
      </c>
    </row>
    <row r="22" spans="3:22" ht="15" thickBot="1" x14ac:dyDescent="0.35"/>
    <row r="23" spans="3:22" x14ac:dyDescent="0.3">
      <c r="C23" s="76" t="s">
        <v>627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8"/>
      <c r="P23" s="86" t="s">
        <v>687</v>
      </c>
      <c r="Q23" s="87"/>
      <c r="R23" s="87"/>
      <c r="S23" s="87"/>
      <c r="T23" s="87"/>
      <c r="U23" s="87"/>
      <c r="V23" s="88"/>
    </row>
    <row r="24" spans="3:22" x14ac:dyDescent="0.3">
      <c r="C24" s="79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1"/>
      <c r="P24" s="89"/>
      <c r="Q24" s="90"/>
      <c r="R24" s="90"/>
      <c r="S24" s="90"/>
      <c r="T24" s="90"/>
      <c r="U24" s="90"/>
      <c r="V24" s="91"/>
    </row>
    <row r="25" spans="3:22" x14ac:dyDescent="0.3">
      <c r="C25" s="60" t="s">
        <v>616</v>
      </c>
      <c r="D25" s="61" t="s">
        <v>621</v>
      </c>
      <c r="F25" s="62"/>
      <c r="G25" s="62"/>
      <c r="H25" s="62"/>
      <c r="I25" s="62"/>
      <c r="J25" s="62"/>
      <c r="K25" s="62"/>
      <c r="L25" s="62"/>
      <c r="M25" s="62"/>
      <c r="N25" s="37"/>
      <c r="P25" s="45" t="s">
        <v>616</v>
      </c>
      <c r="Q25" s="2" t="s">
        <v>621</v>
      </c>
      <c r="V25" s="42"/>
    </row>
    <row r="26" spans="3:22" x14ac:dyDescent="0.3">
      <c r="C26" s="36"/>
      <c r="D26" t="s">
        <v>24</v>
      </c>
      <c r="F26" t="s">
        <v>152</v>
      </c>
      <c r="G26" t="s">
        <v>31</v>
      </c>
      <c r="J26" t="s">
        <v>53</v>
      </c>
      <c r="L26" t="s">
        <v>57</v>
      </c>
      <c r="N26" s="37" t="s">
        <v>623</v>
      </c>
      <c r="P26" s="45" t="s">
        <v>606</v>
      </c>
      <c r="Q26" t="s">
        <v>24</v>
      </c>
      <c r="R26" t="s">
        <v>152</v>
      </c>
      <c r="S26" t="s">
        <v>31</v>
      </c>
      <c r="T26" t="s">
        <v>53</v>
      </c>
      <c r="U26" t="s">
        <v>57</v>
      </c>
      <c r="V26" s="42" t="s">
        <v>620</v>
      </c>
    </row>
    <row r="27" spans="3:22" x14ac:dyDescent="0.3">
      <c r="C27" s="60" t="s">
        <v>606</v>
      </c>
      <c r="D27" s="62" t="s">
        <v>23</v>
      </c>
      <c r="E27" s="62" t="s">
        <v>39</v>
      </c>
      <c r="F27" s="62" t="s">
        <v>98</v>
      </c>
      <c r="G27" s="62" t="s">
        <v>30</v>
      </c>
      <c r="H27" s="62" t="s">
        <v>49</v>
      </c>
      <c r="I27" s="62" t="s">
        <v>62</v>
      </c>
      <c r="J27" s="62" t="s">
        <v>46</v>
      </c>
      <c r="K27" s="62" t="s">
        <v>69</v>
      </c>
      <c r="L27" s="62" t="s">
        <v>56</v>
      </c>
      <c r="M27" s="62" t="s">
        <v>102</v>
      </c>
      <c r="N27" s="37"/>
      <c r="P27" s="23" t="s">
        <v>43</v>
      </c>
      <c r="Q27">
        <v>39</v>
      </c>
      <c r="R27">
        <v>16</v>
      </c>
      <c r="S27">
        <v>69</v>
      </c>
      <c r="T27">
        <v>65</v>
      </c>
      <c r="U27">
        <v>38</v>
      </c>
      <c r="V27" s="42">
        <v>227</v>
      </c>
    </row>
    <row r="28" spans="3:22" x14ac:dyDescent="0.3">
      <c r="C28" s="36" t="s">
        <v>43</v>
      </c>
      <c r="D28">
        <v>23</v>
      </c>
      <c r="E28">
        <v>16</v>
      </c>
      <c r="F28">
        <v>16</v>
      </c>
      <c r="G28">
        <v>24</v>
      </c>
      <c r="H28">
        <v>17</v>
      </c>
      <c r="I28">
        <v>28</v>
      </c>
      <c r="J28">
        <v>32</v>
      </c>
      <c r="K28">
        <v>33</v>
      </c>
      <c r="L28">
        <v>16</v>
      </c>
      <c r="M28">
        <v>22</v>
      </c>
      <c r="N28" s="42">
        <v>227</v>
      </c>
      <c r="P28" s="23" t="s">
        <v>28</v>
      </c>
      <c r="Q28">
        <v>101</v>
      </c>
      <c r="R28">
        <v>49</v>
      </c>
      <c r="S28">
        <v>157</v>
      </c>
      <c r="T28">
        <v>122</v>
      </c>
      <c r="U28">
        <v>115</v>
      </c>
      <c r="V28" s="42">
        <v>544</v>
      </c>
    </row>
    <row r="29" spans="3:22" x14ac:dyDescent="0.3">
      <c r="C29" s="36" t="s">
        <v>52</v>
      </c>
      <c r="D29">
        <v>18</v>
      </c>
      <c r="E29">
        <v>19</v>
      </c>
      <c r="F29">
        <v>21</v>
      </c>
      <c r="G29">
        <v>18</v>
      </c>
      <c r="H29">
        <v>14</v>
      </c>
      <c r="I29">
        <v>10</v>
      </c>
      <c r="J29">
        <v>19</v>
      </c>
      <c r="K29">
        <v>8</v>
      </c>
      <c r="L29">
        <v>21</v>
      </c>
      <c r="M29">
        <v>24</v>
      </c>
      <c r="N29" s="42">
        <v>172</v>
      </c>
      <c r="P29" s="23" t="s">
        <v>85</v>
      </c>
      <c r="Q29">
        <v>11</v>
      </c>
      <c r="R29">
        <v>1</v>
      </c>
      <c r="S29">
        <v>13</v>
      </c>
      <c r="T29">
        <v>6</v>
      </c>
      <c r="U29">
        <v>20</v>
      </c>
      <c r="V29" s="42">
        <v>51</v>
      </c>
    </row>
    <row r="30" spans="3:22" x14ac:dyDescent="0.3">
      <c r="C30" s="36" t="s">
        <v>84</v>
      </c>
      <c r="D30">
        <v>6</v>
      </c>
      <c r="E30">
        <v>5</v>
      </c>
      <c r="F30">
        <v>1</v>
      </c>
      <c r="G30">
        <v>9</v>
      </c>
      <c r="I30">
        <v>4</v>
      </c>
      <c r="J30">
        <v>3</v>
      </c>
      <c r="K30">
        <v>3</v>
      </c>
      <c r="L30">
        <v>12</v>
      </c>
      <c r="M30">
        <v>8</v>
      </c>
      <c r="N30" s="42">
        <v>51</v>
      </c>
      <c r="P30" s="23" t="s">
        <v>21</v>
      </c>
      <c r="Q30">
        <v>29</v>
      </c>
      <c r="R30">
        <v>25</v>
      </c>
      <c r="S30">
        <v>44</v>
      </c>
      <c r="T30">
        <v>36</v>
      </c>
      <c r="U30">
        <v>41</v>
      </c>
      <c r="V30" s="42">
        <v>175</v>
      </c>
    </row>
    <row r="31" spans="3:22" x14ac:dyDescent="0.3">
      <c r="C31" s="36" t="s">
        <v>76</v>
      </c>
      <c r="D31">
        <v>22</v>
      </c>
      <c r="E31">
        <v>25</v>
      </c>
      <c r="F31">
        <v>17</v>
      </c>
      <c r="G31">
        <v>19</v>
      </c>
      <c r="H31">
        <v>15</v>
      </c>
      <c r="I31">
        <v>38</v>
      </c>
      <c r="J31">
        <v>27</v>
      </c>
      <c r="K31">
        <v>30</v>
      </c>
      <c r="L31">
        <v>15</v>
      </c>
      <c r="M31">
        <v>31</v>
      </c>
      <c r="N31" s="42">
        <v>239</v>
      </c>
      <c r="P31" s="23" t="s">
        <v>77</v>
      </c>
      <c r="Q31">
        <v>47</v>
      </c>
      <c r="R31">
        <v>17</v>
      </c>
      <c r="S31">
        <v>72</v>
      </c>
      <c r="T31">
        <v>57</v>
      </c>
      <c r="U31">
        <v>46</v>
      </c>
      <c r="V31" s="42">
        <v>239</v>
      </c>
    </row>
    <row r="32" spans="3:22" x14ac:dyDescent="0.3">
      <c r="C32" s="36" t="s">
        <v>101</v>
      </c>
      <c r="D32">
        <v>14</v>
      </c>
      <c r="E32">
        <v>26</v>
      </c>
      <c r="F32">
        <v>15</v>
      </c>
      <c r="G32">
        <v>27</v>
      </c>
      <c r="H32">
        <v>28</v>
      </c>
      <c r="I32">
        <v>25</v>
      </c>
      <c r="J32">
        <v>29</v>
      </c>
      <c r="K32">
        <v>13</v>
      </c>
      <c r="L32">
        <v>17</v>
      </c>
      <c r="M32">
        <v>31</v>
      </c>
      <c r="N32" s="42">
        <v>225</v>
      </c>
      <c r="P32" s="23" t="s">
        <v>273</v>
      </c>
      <c r="Q32">
        <v>43</v>
      </c>
      <c r="R32">
        <v>3</v>
      </c>
      <c r="S32">
        <v>66</v>
      </c>
      <c r="T32">
        <v>38</v>
      </c>
      <c r="U32">
        <v>20</v>
      </c>
      <c r="V32" s="42">
        <v>170</v>
      </c>
    </row>
    <row r="33" spans="3:22" x14ac:dyDescent="0.3">
      <c r="C33" s="36" t="s">
        <v>34</v>
      </c>
      <c r="D33">
        <v>16</v>
      </c>
      <c r="E33">
        <v>27</v>
      </c>
      <c r="F33">
        <v>3</v>
      </c>
      <c r="G33">
        <v>32</v>
      </c>
      <c r="H33">
        <v>18</v>
      </c>
      <c r="I33">
        <v>16</v>
      </c>
      <c r="J33">
        <v>24</v>
      </c>
      <c r="K33">
        <v>14</v>
      </c>
      <c r="L33">
        <v>6</v>
      </c>
      <c r="M33">
        <v>14</v>
      </c>
      <c r="N33" s="42">
        <v>170</v>
      </c>
      <c r="P33" s="23" t="s">
        <v>109</v>
      </c>
      <c r="Q33">
        <v>40</v>
      </c>
      <c r="R33">
        <v>15</v>
      </c>
      <c r="S33">
        <v>80</v>
      </c>
      <c r="T33">
        <v>42</v>
      </c>
      <c r="U33">
        <v>48</v>
      </c>
      <c r="V33" s="42">
        <v>225</v>
      </c>
    </row>
    <row r="34" spans="3:22" x14ac:dyDescent="0.3">
      <c r="C34" s="36" t="s">
        <v>27</v>
      </c>
      <c r="D34">
        <v>30</v>
      </c>
      <c r="E34">
        <v>34</v>
      </c>
      <c r="F34">
        <v>28</v>
      </c>
      <c r="G34">
        <v>18</v>
      </c>
      <c r="H34">
        <v>50</v>
      </c>
      <c r="I34">
        <v>47</v>
      </c>
      <c r="J34">
        <v>37</v>
      </c>
      <c r="K34">
        <v>58</v>
      </c>
      <c r="L34">
        <v>41</v>
      </c>
      <c r="M34">
        <v>29</v>
      </c>
      <c r="N34" s="42">
        <v>372</v>
      </c>
      <c r="P34" s="23" t="s">
        <v>37</v>
      </c>
      <c r="Q34">
        <v>81</v>
      </c>
      <c r="R34">
        <v>45</v>
      </c>
      <c r="S34">
        <v>156</v>
      </c>
      <c r="T34">
        <v>75</v>
      </c>
      <c r="U34">
        <v>91</v>
      </c>
      <c r="V34" s="42">
        <v>448</v>
      </c>
    </row>
    <row r="35" spans="3:22" ht="15" thickBot="1" x14ac:dyDescent="0.35">
      <c r="C35" s="36" t="s">
        <v>20</v>
      </c>
      <c r="D35">
        <v>12</v>
      </c>
      <c r="E35">
        <v>17</v>
      </c>
      <c r="F35">
        <v>25</v>
      </c>
      <c r="G35">
        <v>8</v>
      </c>
      <c r="H35">
        <v>21</v>
      </c>
      <c r="I35">
        <v>15</v>
      </c>
      <c r="J35">
        <v>20</v>
      </c>
      <c r="K35">
        <v>16</v>
      </c>
      <c r="L35">
        <v>16</v>
      </c>
      <c r="M35">
        <v>25</v>
      </c>
      <c r="N35" s="42">
        <v>175</v>
      </c>
      <c r="P35" s="25" t="s">
        <v>620</v>
      </c>
      <c r="Q35" s="27">
        <v>391</v>
      </c>
      <c r="R35" s="27">
        <v>171</v>
      </c>
      <c r="S35" s="27">
        <v>657</v>
      </c>
      <c r="T35" s="27">
        <v>441</v>
      </c>
      <c r="U35" s="27">
        <v>419</v>
      </c>
      <c r="V35" s="34">
        <v>2079</v>
      </c>
    </row>
    <row r="36" spans="3:22" x14ac:dyDescent="0.3">
      <c r="C36" s="36" t="s">
        <v>37</v>
      </c>
      <c r="D36">
        <v>38</v>
      </c>
      <c r="E36">
        <v>15</v>
      </c>
      <c r="F36">
        <v>20</v>
      </c>
      <c r="G36">
        <v>22</v>
      </c>
      <c r="H36">
        <v>39</v>
      </c>
      <c r="I36">
        <v>31</v>
      </c>
      <c r="J36">
        <v>15</v>
      </c>
      <c r="K36">
        <v>21</v>
      </c>
      <c r="L36">
        <v>28</v>
      </c>
      <c r="M36">
        <v>28</v>
      </c>
      <c r="N36" s="42">
        <v>257</v>
      </c>
    </row>
    <row r="37" spans="3:22" x14ac:dyDescent="0.3">
      <c r="C37" s="36" t="s">
        <v>116</v>
      </c>
      <c r="D37">
        <v>14</v>
      </c>
      <c r="E37">
        <v>14</v>
      </c>
      <c r="F37">
        <v>25</v>
      </c>
      <c r="G37">
        <v>24</v>
      </c>
      <c r="H37">
        <v>19</v>
      </c>
      <c r="I37">
        <v>21</v>
      </c>
      <c r="J37">
        <v>24</v>
      </c>
      <c r="K37">
        <v>15</v>
      </c>
      <c r="L37">
        <v>23</v>
      </c>
      <c r="M37">
        <v>12</v>
      </c>
      <c r="N37" s="42">
        <v>191</v>
      </c>
    </row>
    <row r="38" spans="3:22" ht="15" thickBot="1" x14ac:dyDescent="0.35">
      <c r="C38" s="25" t="s">
        <v>623</v>
      </c>
      <c r="D38" s="27">
        <v>193</v>
      </c>
      <c r="E38" s="27">
        <v>198</v>
      </c>
      <c r="F38" s="27">
        <v>171</v>
      </c>
      <c r="G38" s="27">
        <v>201</v>
      </c>
      <c r="H38" s="27">
        <v>221</v>
      </c>
      <c r="I38" s="27">
        <v>235</v>
      </c>
      <c r="J38" s="27">
        <v>230</v>
      </c>
      <c r="K38" s="27">
        <v>211</v>
      </c>
      <c r="L38" s="27">
        <v>195</v>
      </c>
      <c r="M38" s="27">
        <v>224</v>
      </c>
      <c r="N38" s="34">
        <v>2079</v>
      </c>
    </row>
    <row r="40" spans="3:22" x14ac:dyDescent="0.3">
      <c r="C40" s="2" t="s">
        <v>649</v>
      </c>
      <c r="D40" s="2" t="s">
        <v>621</v>
      </c>
    </row>
    <row r="41" spans="3:22" x14ac:dyDescent="0.3">
      <c r="C41" s="2" t="s">
        <v>606</v>
      </c>
      <c r="D41" t="s">
        <v>24</v>
      </c>
      <c r="E41" t="s">
        <v>152</v>
      </c>
      <c r="F41" t="s">
        <v>31</v>
      </c>
      <c r="G41" t="s">
        <v>53</v>
      </c>
      <c r="H41" t="s">
        <v>57</v>
      </c>
      <c r="I41" t="s">
        <v>620</v>
      </c>
    </row>
    <row r="42" spans="3:22" x14ac:dyDescent="0.3">
      <c r="C42" s="3" t="s">
        <v>19</v>
      </c>
      <c r="D42" s="92">
        <v>214</v>
      </c>
      <c r="E42" s="92">
        <v>77</v>
      </c>
      <c r="F42" s="92">
        <v>327</v>
      </c>
      <c r="G42" s="92">
        <v>227</v>
      </c>
      <c r="H42" s="92">
        <v>204</v>
      </c>
      <c r="I42" s="92">
        <v>1049</v>
      </c>
    </row>
    <row r="43" spans="3:22" x14ac:dyDescent="0.3">
      <c r="C43" s="3" t="s">
        <v>42</v>
      </c>
      <c r="D43" s="92">
        <v>177</v>
      </c>
      <c r="E43" s="92">
        <v>94</v>
      </c>
      <c r="F43" s="92">
        <v>330</v>
      </c>
      <c r="G43" s="92">
        <v>214</v>
      </c>
      <c r="H43" s="92">
        <v>215</v>
      </c>
      <c r="I43" s="92">
        <v>1030</v>
      </c>
    </row>
    <row r="44" spans="3:22" x14ac:dyDescent="0.3">
      <c r="C44" s="3" t="s">
        <v>620</v>
      </c>
      <c r="D44" s="92">
        <v>391</v>
      </c>
      <c r="E44" s="92">
        <v>171</v>
      </c>
      <c r="F44" s="92">
        <v>657</v>
      </c>
      <c r="G44" s="92">
        <v>441</v>
      </c>
      <c r="H44" s="92">
        <v>419</v>
      </c>
      <c r="I44" s="92">
        <v>2079</v>
      </c>
    </row>
    <row r="46" spans="3:22" x14ac:dyDescent="0.3">
      <c r="C46" s="2" t="s">
        <v>616</v>
      </c>
      <c r="D46" s="2" t="s">
        <v>621</v>
      </c>
    </row>
    <row r="47" spans="3:22" x14ac:dyDescent="0.3">
      <c r="C47" s="2" t="s">
        <v>606</v>
      </c>
      <c r="D47" t="s">
        <v>24</v>
      </c>
      <c r="E47" t="s">
        <v>152</v>
      </c>
      <c r="F47" t="s">
        <v>31</v>
      </c>
      <c r="G47" t="s">
        <v>53</v>
      </c>
      <c r="H47" t="s">
        <v>57</v>
      </c>
    </row>
    <row r="48" spans="3:22" x14ac:dyDescent="0.3">
      <c r="C48" s="3" t="s">
        <v>19</v>
      </c>
      <c r="D48" s="102">
        <v>0.20400381315538607</v>
      </c>
      <c r="E48" s="102">
        <v>7.3403241182078166E-2</v>
      </c>
      <c r="F48" s="102">
        <v>0.3117254528122021</v>
      </c>
      <c r="G48" s="102">
        <v>0.21639656816015251</v>
      </c>
      <c r="H48" s="102">
        <v>0.19447092469018112</v>
      </c>
    </row>
    <row r="49" spans="3:8" x14ac:dyDescent="0.3">
      <c r="C49" s="3" t="s">
        <v>42</v>
      </c>
      <c r="D49" s="102">
        <v>0.17184466019417477</v>
      </c>
      <c r="E49" s="102">
        <v>9.1262135922330095E-2</v>
      </c>
      <c r="F49" s="102">
        <v>0.32038834951456313</v>
      </c>
      <c r="G49" s="102">
        <v>0.20776699029126214</v>
      </c>
      <c r="H49" s="102">
        <v>0.20873786407766989</v>
      </c>
    </row>
    <row r="50" spans="3:8" x14ac:dyDescent="0.3">
      <c r="C50" s="3" t="s">
        <v>620</v>
      </c>
      <c r="D50" s="102">
        <v>0.18807118807118808</v>
      </c>
      <c r="E50" s="102">
        <v>8.2251082251082255E-2</v>
      </c>
      <c r="F50" s="102">
        <v>0.31601731601731603</v>
      </c>
      <c r="G50" s="102">
        <v>0.21212121212121213</v>
      </c>
      <c r="H50" s="102">
        <v>0.20153920153920155</v>
      </c>
    </row>
  </sheetData>
  <mergeCells count="2">
    <mergeCell ref="C23:N24"/>
    <mergeCell ref="P23:V24"/>
  </mergeCells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F028ED-62DD-4DF3-ACB3-D1BE43CCA7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Tablas Aux</vt:lpstr>
      <vt:lpstr>Tablas de Ventas</vt:lpstr>
      <vt:lpstr>Ventas</vt:lpstr>
      <vt:lpstr>Clientes</vt:lpstr>
      <vt:lpstr>Vendedores</vt:lpstr>
      <vt:lpstr>Productos</vt:lpstr>
      <vt:lpstr>edadesPgraf</vt:lpstr>
      <vt:lpstr>Frecuente</vt:lpstr>
      <vt:lpstr>listaClientes</vt:lpstr>
      <vt:lpstr>Nclientes</vt:lpstr>
      <vt:lpstr>Premium</vt:lpstr>
      <vt:lpstr>totalesPorCliente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Manolo Henriquez</dc:creator>
  <cp:lastModifiedBy>Manolo Henriquez</cp:lastModifiedBy>
  <dcterms:created xsi:type="dcterms:W3CDTF">2026-01-09T18:52:19Z</dcterms:created>
  <dcterms:modified xsi:type="dcterms:W3CDTF">2026-01-16T17:57:03Z</dcterms:modified>
</cp:coreProperties>
</file>